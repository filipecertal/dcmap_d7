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mc:AlternateContent xmlns:mc="http://schemas.openxmlformats.org/markup-compatibility/2006">
    <mc:Choice Requires="x15">
      <x15ac:absPath xmlns:x15ac="http://schemas.microsoft.com/office/spreadsheetml/2010/11/ac" url="W:\Data Collection Regulation\DCF 2014-2020\Annual Report 2019\Final for submission 29_May_2020\"/>
    </mc:Choice>
  </mc:AlternateContent>
  <bookViews>
    <workbookView xWindow="30" yWindow="-150" windowWidth="15105" windowHeight="4515" tabRatio="596" firstSheet="12" activeTab="12"/>
  </bookViews>
  <sheets>
    <sheet name="Table1A List of required stocks" sheetId="45" r:id="rId1"/>
    <sheet name="Table1B Planning of sampling " sheetId="46" r:id="rId2"/>
    <sheet name="Table1C Sampling intensity " sheetId="47" r:id="rId3"/>
    <sheet name="Table1D Recreational Fisheries" sheetId="55" r:id="rId4"/>
    <sheet name="Table1E Anadromous catadromous" sheetId="64" r:id="rId5"/>
    <sheet name="Table1F Incidental by catch" sheetId="65" r:id="rId6"/>
    <sheet name="Table1G List of research survey" sheetId="79" r:id="rId7"/>
    <sheet name="Table1H Research survey data" sheetId="81" r:id="rId8"/>
    <sheet name="Table2A Fishing activity variab" sheetId="56" r:id="rId9"/>
    <sheet name="Table3A  Pop segment fisheries" sheetId="76" r:id="rId10"/>
    <sheet name="Table3B Pop segments aquacultur" sheetId="77" r:id="rId11"/>
    <sheet name="Table3C Pop segments processin" sheetId="78" r:id="rId12"/>
    <sheet name="Table4A Sampling plan descripti" sheetId="71" r:id="rId13"/>
    <sheet name="Table4B Sampling frame descrip" sheetId="72" r:id="rId14"/>
    <sheet name="Table4C Data on the fisheries" sheetId="73" r:id="rId15"/>
    <sheet name="Table4D Landing locations" sheetId="74" r:id="rId16"/>
    <sheet name="Table5A Quality assurance frame" sheetId="44" r:id="rId17"/>
    <sheet name="Table5B Quality assurance frame" sheetId="60" r:id="rId18"/>
    <sheet name="Table6A_Data_availability" sheetId="70" r:id="rId19"/>
    <sheet name="Table7A_Planned Regional_coord" sheetId="61" r:id="rId20"/>
    <sheet name="Table7B_Follow up of Recommenda" sheetId="62" r:id="rId21"/>
    <sheet name="Table7C_Bi- and multilateral " sheetId="63" r:id="rId22"/>
    <sheet name="Sheet1" sheetId="82" r:id="rId23"/>
  </sheets>
  <externalReferences>
    <externalReference r:id="rId24"/>
  </externalReferences>
  <definedNames>
    <definedName name="_xlnm._FilterDatabase" localSheetId="0" hidden="1">'Table1A List of required stocks'!$A$5:$W$239</definedName>
    <definedName name="_xlnm._FilterDatabase" localSheetId="2" hidden="1">'Table1C Sampling intensity '!$A$4:$Y$461</definedName>
    <definedName name="_xlnm._FilterDatabase" localSheetId="5" hidden="1">'Table1F Incidental by catch'!$A$1:$Y$463</definedName>
    <definedName name="_xlnm._FilterDatabase" localSheetId="6" hidden="1">'Table1G List of research survey'!$AB$5:$AM$23</definedName>
    <definedName name="_xlnm._FilterDatabase" localSheetId="8" hidden="1">'Table2A Fishing activity variab'!$A$4:$Y$108</definedName>
    <definedName name="_xlnm._FilterDatabase" localSheetId="12" hidden="1">'Table4A Sampling plan descripti'!$A$1:$Y$50</definedName>
    <definedName name="_xlnm._FilterDatabase" localSheetId="14" hidden="1">'Table4C Data on the fisheries'!$A$4:$Y$36</definedName>
    <definedName name="_xlnm._FilterDatabase" localSheetId="19" hidden="1">'Table7A_Planned Regional_coord'!$A$4:$Y$83</definedName>
    <definedName name="aa">#REF!</definedName>
    <definedName name="Edd" localSheetId="8">#REF!</definedName>
    <definedName name="Edd">#REF!</definedName>
    <definedName name="Excel_BuiltIn_Print_Area_1_1" localSheetId="3">#REF!</definedName>
    <definedName name="Excel_BuiltIn_Print_Area_1_1" localSheetId="4">#REF!</definedName>
    <definedName name="Excel_BuiltIn_Print_Area_1_1" localSheetId="5">#REF!</definedName>
    <definedName name="Excel_BuiltIn_Print_Area_1_1" localSheetId="6">#REF!</definedName>
    <definedName name="Excel_BuiltIn_Print_Area_1_1" localSheetId="7">#REF!</definedName>
    <definedName name="Excel_BuiltIn_Print_Area_1_1" localSheetId="8">#REF!</definedName>
    <definedName name="Excel_BuiltIn_Print_Area_1_1" localSheetId="16">#REF!</definedName>
    <definedName name="Excel_BuiltIn_Print_Area_1_1" localSheetId="18">#REF!</definedName>
    <definedName name="Excel_BuiltIn_Print_Area_1_1">#REF!</definedName>
    <definedName name="Excel_BuiltIn_Print_Area_1_1_1" localSheetId="3">#REF!</definedName>
    <definedName name="Excel_BuiltIn_Print_Area_1_1_1" localSheetId="5">#REF!</definedName>
    <definedName name="Excel_BuiltIn_Print_Area_1_1_1" localSheetId="6">#REF!</definedName>
    <definedName name="Excel_BuiltIn_Print_Area_1_1_1" localSheetId="7">#REF!</definedName>
    <definedName name="Excel_BuiltIn_Print_Area_1_1_1" localSheetId="8">#REF!</definedName>
    <definedName name="Excel_BuiltIn_Print_Area_1_1_1" localSheetId="16">#REF!</definedName>
    <definedName name="Excel_BuiltIn_Print_Area_1_1_1">#REF!</definedName>
    <definedName name="Excel_BuiltIn_Print_Area_10_1" localSheetId="3">#REF!</definedName>
    <definedName name="Excel_BuiltIn_Print_Area_10_1" localSheetId="5">#REF!</definedName>
    <definedName name="Excel_BuiltIn_Print_Area_10_1" localSheetId="6">#REF!</definedName>
    <definedName name="Excel_BuiltIn_Print_Area_10_1" localSheetId="7">#REF!</definedName>
    <definedName name="Excel_BuiltIn_Print_Area_10_1">#REF!</definedName>
    <definedName name="Excel_BuiltIn_Print_Area_10_1_1" localSheetId="3">#REF!</definedName>
    <definedName name="Excel_BuiltIn_Print_Area_10_1_1" localSheetId="5">#REF!</definedName>
    <definedName name="Excel_BuiltIn_Print_Area_10_1_1" localSheetId="6">#REF!</definedName>
    <definedName name="Excel_BuiltIn_Print_Area_10_1_1" localSheetId="7">#REF!</definedName>
    <definedName name="Excel_BuiltIn_Print_Area_10_1_1" localSheetId="16">#REF!</definedName>
    <definedName name="Excel_BuiltIn_Print_Area_10_1_1">#REF!</definedName>
    <definedName name="Excel_BuiltIn_Print_Area_11_1" localSheetId="3">#REF!</definedName>
    <definedName name="Excel_BuiltIn_Print_Area_11_1" localSheetId="5">#REF!</definedName>
    <definedName name="Excel_BuiltIn_Print_Area_11_1" localSheetId="6">#REF!</definedName>
    <definedName name="Excel_BuiltIn_Print_Area_11_1" localSheetId="7">#REF!</definedName>
    <definedName name="Excel_BuiltIn_Print_Area_11_1">#REF!</definedName>
    <definedName name="Excel_BuiltIn_Print_Area_12_1" localSheetId="3">#REF!</definedName>
    <definedName name="Excel_BuiltIn_Print_Area_12_1" localSheetId="5">#REF!</definedName>
    <definedName name="Excel_BuiltIn_Print_Area_12_1" localSheetId="6">#REF!</definedName>
    <definedName name="Excel_BuiltIn_Print_Area_12_1" localSheetId="7">#REF!</definedName>
    <definedName name="Excel_BuiltIn_Print_Area_12_1">#REF!</definedName>
    <definedName name="Excel_BuiltIn_Print_Area_12_1_1" localSheetId="3">#REF!</definedName>
    <definedName name="Excel_BuiltIn_Print_Area_12_1_1" localSheetId="5">#REF!</definedName>
    <definedName name="Excel_BuiltIn_Print_Area_12_1_1" localSheetId="6">#REF!</definedName>
    <definedName name="Excel_BuiltIn_Print_Area_12_1_1" localSheetId="7">#REF!</definedName>
    <definedName name="Excel_BuiltIn_Print_Area_12_1_1">#REF!</definedName>
    <definedName name="Excel_BuiltIn_Print_Area_14_1" localSheetId="3">#REF!</definedName>
    <definedName name="Excel_BuiltIn_Print_Area_14_1" localSheetId="5">#REF!</definedName>
    <definedName name="Excel_BuiltIn_Print_Area_14_1" localSheetId="6">#REF!</definedName>
    <definedName name="Excel_BuiltIn_Print_Area_14_1" localSheetId="7">#REF!</definedName>
    <definedName name="Excel_BuiltIn_Print_Area_14_1">#REF!</definedName>
    <definedName name="Excel_BuiltIn_Print_Area_15_1" localSheetId="3">#REF!</definedName>
    <definedName name="Excel_BuiltIn_Print_Area_15_1" localSheetId="5">#REF!</definedName>
    <definedName name="Excel_BuiltIn_Print_Area_15_1" localSheetId="6">#REF!</definedName>
    <definedName name="Excel_BuiltIn_Print_Area_15_1" localSheetId="7">#REF!</definedName>
    <definedName name="Excel_BuiltIn_Print_Area_15_1">#REF!</definedName>
    <definedName name="Excel_BuiltIn_Print_Area_24_1" localSheetId="3">#REF!</definedName>
    <definedName name="Excel_BuiltIn_Print_Area_24_1" localSheetId="5">#REF!</definedName>
    <definedName name="Excel_BuiltIn_Print_Area_24_1" localSheetId="6">#REF!</definedName>
    <definedName name="Excel_BuiltIn_Print_Area_24_1" localSheetId="7">#REF!</definedName>
    <definedName name="Excel_BuiltIn_Print_Area_24_1">#REF!</definedName>
    <definedName name="Excel_BuiltIn_Print_Area_4_1" localSheetId="3">#REF!</definedName>
    <definedName name="Excel_BuiltIn_Print_Area_4_1" localSheetId="5">#REF!</definedName>
    <definedName name="Excel_BuiltIn_Print_Area_4_1" localSheetId="6">#REF!</definedName>
    <definedName name="Excel_BuiltIn_Print_Area_4_1" localSheetId="7">#REF!</definedName>
    <definedName name="Excel_BuiltIn_Print_Area_4_1">#REF!</definedName>
    <definedName name="Excel_BuiltIn_Print_Area_5_1" localSheetId="3">#REF!</definedName>
    <definedName name="Excel_BuiltIn_Print_Area_5_1" localSheetId="5">#REF!</definedName>
    <definedName name="Excel_BuiltIn_Print_Area_5_1" localSheetId="6">#REF!</definedName>
    <definedName name="Excel_BuiltIn_Print_Area_5_1" localSheetId="7">#REF!</definedName>
    <definedName name="Excel_BuiltIn_Print_Area_5_1">#REF!</definedName>
    <definedName name="Excel_BuiltIn_Print_Area_7_1" localSheetId="3">#REF!</definedName>
    <definedName name="Excel_BuiltIn_Print_Area_7_1" localSheetId="5">#REF!</definedName>
    <definedName name="Excel_BuiltIn_Print_Area_7_1" localSheetId="6">#REF!</definedName>
    <definedName name="Excel_BuiltIn_Print_Area_7_1" localSheetId="7">#REF!</definedName>
    <definedName name="Excel_BuiltIn_Print_Area_7_1">#REF!</definedName>
    <definedName name="Excel_BuiltIn_Print_Area_8_1" localSheetId="3">#REF!</definedName>
    <definedName name="Excel_BuiltIn_Print_Area_8_1" localSheetId="5">#REF!</definedName>
    <definedName name="Excel_BuiltIn_Print_Area_8_1" localSheetId="6">#REF!</definedName>
    <definedName name="Excel_BuiltIn_Print_Area_8_1" localSheetId="7">#REF!</definedName>
    <definedName name="Excel_BuiltIn_Print_Area_8_1">#REF!</definedName>
    <definedName name="Excel_BuiltIn_Print_Area_9_1" localSheetId="3">#REF!</definedName>
    <definedName name="Excel_BuiltIn_Print_Area_9_1" localSheetId="5">#REF!</definedName>
    <definedName name="Excel_BuiltIn_Print_Area_9_1" localSheetId="6">#REF!</definedName>
    <definedName name="Excel_BuiltIn_Print_Area_9_1" localSheetId="7">#REF!</definedName>
    <definedName name="Excel_BuiltIn_Print_Area_9_1">#REF!</definedName>
    <definedName name="Excel_Builtin_PrintArea_10_1_2">#REF!</definedName>
    <definedName name="fffff">#REF!</definedName>
    <definedName name="g">#REF!</definedName>
    <definedName name="GSA">[1]codification!$A$51:$A$81</definedName>
    <definedName name="nuevo">#REF!</definedName>
    <definedName name="print" localSheetId="3">#REF!</definedName>
    <definedName name="print" localSheetId="4">#REF!</definedName>
    <definedName name="print" localSheetId="5">#REF!</definedName>
    <definedName name="print" localSheetId="6">#REF!</definedName>
    <definedName name="print" localSheetId="7">#REF!</definedName>
    <definedName name="print" localSheetId="18">#REF!</definedName>
    <definedName name="print">#REF!</definedName>
    <definedName name="_xlnm.Print_Area" localSheetId="6">'Table1G List of research survey'!$A$4:$AA$7</definedName>
    <definedName name="_xlnm.Print_Area" localSheetId="7">'Table1H Research survey data'!$A$1:$M$4</definedName>
    <definedName name="_xlnm.Print_Area" localSheetId="9">'Table3A  Pop segment fisheries'!#REF!</definedName>
  </definedNames>
  <calcPr calcId="162913"/>
</workbook>
</file>

<file path=xl/calcChain.xml><?xml version="1.0" encoding="utf-8"?>
<calcChain xmlns="http://schemas.openxmlformats.org/spreadsheetml/2006/main">
  <c r="Z31" i="79" l="1"/>
  <c r="Z30" i="79"/>
  <c r="Z29" i="79"/>
  <c r="Z28" i="79"/>
  <c r="Z26" i="79"/>
  <c r="Z25" i="79"/>
  <c r="Z24" i="79"/>
  <c r="Z23" i="79"/>
  <c r="Z22" i="79"/>
  <c r="Z21" i="79"/>
  <c r="Z20" i="79"/>
  <c r="Z6" i="79"/>
  <c r="Z7" i="79"/>
  <c r="Z8" i="79"/>
  <c r="Z9" i="79"/>
  <c r="Z10" i="79"/>
  <c r="Z11" i="79"/>
  <c r="Z12" i="79"/>
  <c r="Z13" i="79"/>
  <c r="Z14" i="79"/>
  <c r="Z15" i="79"/>
  <c r="Z16" i="79"/>
  <c r="Z17" i="79"/>
  <c r="Z18" i="79"/>
  <c r="Z19" i="79"/>
  <c r="Z27" i="79"/>
  <c r="Z32" i="79"/>
  <c r="Z5" i="79"/>
  <c r="Y32" i="79"/>
  <c r="Y31" i="79"/>
  <c r="Y30" i="79"/>
  <c r="Y29" i="79"/>
  <c r="Y28" i="79"/>
  <c r="Y27" i="79"/>
  <c r="Y26" i="79"/>
  <c r="Y25" i="79"/>
  <c r="Y24" i="79"/>
  <c r="Y23" i="79"/>
  <c r="Y22" i="79"/>
  <c r="Y21" i="79"/>
  <c r="Y20" i="79"/>
  <c r="Y19" i="79"/>
  <c r="Y18" i="79"/>
  <c r="Y17" i="79"/>
  <c r="Y16" i="79"/>
  <c r="Y15" i="79"/>
  <c r="Y11" i="79"/>
  <c r="Y10" i="79"/>
  <c r="Y9" i="79"/>
  <c r="Y8" i="79"/>
  <c r="Y7" i="79"/>
  <c r="Y6" i="79"/>
  <c r="Y12" i="79"/>
  <c r="Y13" i="79"/>
  <c r="Y14" i="79"/>
  <c r="Y5" i="79"/>
  <c r="R6" i="71"/>
  <c r="N5" i="78"/>
  <c r="N6" i="78"/>
  <c r="N7" i="78"/>
  <c r="N8" i="78"/>
  <c r="N9" i="78"/>
  <c r="N10" i="78"/>
  <c r="N11" i="78"/>
  <c r="N12" i="78"/>
  <c r="N13" i="78"/>
  <c r="N14" i="78"/>
  <c r="N15" i="78"/>
  <c r="N16" i="78"/>
  <c r="N17" i="78"/>
  <c r="N18" i="78"/>
  <c r="N19" i="78"/>
  <c r="N20" i="78"/>
  <c r="N21" i="78"/>
  <c r="N22" i="78"/>
  <c r="N23" i="78"/>
  <c r="N24" i="78"/>
  <c r="N25" i="78"/>
  <c r="N26" i="78"/>
  <c r="N27" i="78"/>
  <c r="N28" i="78"/>
  <c r="N29" i="78"/>
  <c r="N30" i="78"/>
  <c r="N31" i="78"/>
  <c r="N32" i="78"/>
  <c r="N33" i="78"/>
  <c r="N34" i="78"/>
  <c r="N35" i="78"/>
  <c r="N36" i="78"/>
  <c r="N37" i="78"/>
  <c r="N38" i="78"/>
  <c r="N39" i="78"/>
  <c r="N40" i="78"/>
  <c r="N41" i="78"/>
  <c r="N42" i="78"/>
  <c r="N43" i="78"/>
  <c r="N44" i="78"/>
  <c r="N45" i="78"/>
  <c r="N46" i="78"/>
  <c r="N47" i="78"/>
  <c r="N48" i="78"/>
  <c r="N49" i="78"/>
  <c r="N50" i="78"/>
  <c r="N51" i="78"/>
  <c r="N52" i="78"/>
  <c r="N53" i="78"/>
  <c r="N54" i="78"/>
  <c r="N55" i="78"/>
  <c r="N56" i="78"/>
  <c r="N57" i="78"/>
  <c r="N58" i="78"/>
  <c r="N59" i="78"/>
  <c r="N60" i="78"/>
  <c r="N61" i="78"/>
  <c r="N62" i="78"/>
  <c r="N63" i="78"/>
  <c r="N64" i="78"/>
  <c r="N65" i="78"/>
  <c r="N66" i="78"/>
  <c r="N67" i="78"/>
  <c r="N68" i="78"/>
  <c r="N69" i="78"/>
  <c r="N70" i="78"/>
  <c r="N71" i="78"/>
  <c r="N72" i="78"/>
  <c r="N73" i="78"/>
  <c r="N74" i="78"/>
  <c r="N75" i="78"/>
  <c r="N76" i="78"/>
  <c r="N77" i="78"/>
  <c r="N78" i="78"/>
  <c r="N79" i="78"/>
  <c r="N80" i="78"/>
  <c r="N81" i="78"/>
  <c r="N82" i="78"/>
  <c r="Q261" i="77"/>
  <c r="Q6" i="77"/>
  <c r="Q7" i="77"/>
  <c r="Q8" i="77"/>
  <c r="Q9" i="77"/>
  <c r="Q10" i="77"/>
  <c r="Q11" i="77"/>
  <c r="Q12" i="77"/>
  <c r="Q13" i="77"/>
  <c r="Q14" i="77"/>
  <c r="Q15" i="77"/>
  <c r="Q16" i="77"/>
  <c r="Q17" i="77"/>
  <c r="Q18" i="77"/>
  <c r="Q19" i="77"/>
  <c r="Q20" i="77"/>
  <c r="Q21" i="77"/>
  <c r="Q22" i="77"/>
  <c r="Q23" i="77"/>
  <c r="Q24" i="77"/>
  <c r="Q25" i="77"/>
  <c r="Q26" i="77"/>
  <c r="Q27" i="77"/>
  <c r="Q28" i="77"/>
  <c r="Q29" i="77"/>
  <c r="Q30" i="77"/>
  <c r="Q31" i="77"/>
  <c r="Q32" i="77"/>
  <c r="Q33" i="77"/>
  <c r="Q34" i="77"/>
  <c r="Q35" i="77"/>
  <c r="Q36" i="77"/>
  <c r="Q37" i="77"/>
  <c r="Q38" i="77"/>
  <c r="Q39" i="77"/>
  <c r="Q40" i="77"/>
  <c r="Q41" i="77"/>
  <c r="Q42" i="77"/>
  <c r="Q43" i="77"/>
  <c r="Q44" i="77"/>
  <c r="Q45" i="77"/>
  <c r="Q46" i="77"/>
  <c r="Q47" i="77"/>
  <c r="Q48" i="77"/>
  <c r="Q49" i="77"/>
  <c r="Q50" i="77"/>
  <c r="Q51" i="77"/>
  <c r="Q52" i="77"/>
  <c r="Q53" i="77"/>
  <c r="Q54" i="77"/>
  <c r="Q55" i="77"/>
  <c r="Q56" i="77"/>
  <c r="Q57" i="77"/>
  <c r="Q58" i="77"/>
  <c r="Q59" i="77"/>
  <c r="Q60" i="77"/>
  <c r="Q61" i="77"/>
  <c r="Q62" i="77"/>
  <c r="Q63" i="77"/>
  <c r="Q64" i="77"/>
  <c r="Q65" i="77"/>
  <c r="Q66" i="77"/>
  <c r="Q67" i="77"/>
  <c r="Q68" i="77"/>
  <c r="Q69" i="77"/>
  <c r="Q70" i="77"/>
  <c r="Q71" i="77"/>
  <c r="Q72" i="77"/>
  <c r="Q73" i="77"/>
  <c r="Q74" i="77"/>
  <c r="Q75" i="77"/>
  <c r="Q76" i="77"/>
  <c r="Q77" i="77"/>
  <c r="Q78" i="77"/>
  <c r="Q79" i="77"/>
  <c r="Q80" i="77"/>
  <c r="Q81" i="77"/>
  <c r="Q82" i="77"/>
  <c r="Q83" i="77"/>
  <c r="Q84" i="77"/>
  <c r="Q85" i="77"/>
  <c r="Q86" i="77"/>
  <c r="Q87" i="77"/>
  <c r="Q88" i="77"/>
  <c r="Q89" i="77"/>
  <c r="Q90" i="77"/>
  <c r="Q91" i="77"/>
  <c r="Q92" i="77"/>
  <c r="Q93" i="77"/>
  <c r="Q94" i="77"/>
  <c r="Q95" i="77"/>
  <c r="Q96" i="77"/>
  <c r="Q97" i="77"/>
  <c r="Q98" i="77"/>
  <c r="Q99" i="77"/>
  <c r="Q100" i="77"/>
  <c r="Q101" i="77"/>
  <c r="Q102" i="77"/>
  <c r="Q103" i="77"/>
  <c r="Q104" i="77"/>
  <c r="Q105" i="77"/>
  <c r="Q106" i="77"/>
  <c r="Q107" i="77"/>
  <c r="Q108" i="77"/>
  <c r="Q109" i="77"/>
  <c r="Q110" i="77"/>
  <c r="Q111" i="77"/>
  <c r="Q112" i="77"/>
  <c r="Q113" i="77"/>
  <c r="Q114" i="77"/>
  <c r="Q115" i="77"/>
  <c r="Q116" i="77"/>
  <c r="Q117" i="77"/>
  <c r="Q118" i="77"/>
  <c r="Q119" i="77"/>
  <c r="Q120" i="77"/>
  <c r="Q121" i="77"/>
  <c r="Q122" i="77"/>
  <c r="Q123" i="77"/>
  <c r="Q124" i="77"/>
  <c r="Q125" i="77"/>
  <c r="Q126" i="77"/>
  <c r="Q127" i="77"/>
  <c r="Q128" i="77"/>
  <c r="Q129" i="77"/>
  <c r="Q130" i="77"/>
  <c r="Q131" i="77"/>
  <c r="Q132" i="77"/>
  <c r="Q133" i="77"/>
  <c r="Q134" i="77"/>
  <c r="Q135" i="77"/>
  <c r="Q136" i="77"/>
  <c r="Q137" i="77"/>
  <c r="Q138" i="77"/>
  <c r="Q139" i="77"/>
  <c r="Q140" i="77"/>
  <c r="Q141" i="77"/>
  <c r="Q142" i="77"/>
  <c r="Q143" i="77"/>
  <c r="Q144" i="77"/>
  <c r="Q145" i="77"/>
  <c r="Q146" i="77"/>
  <c r="Q147" i="77"/>
  <c r="Q148" i="77"/>
  <c r="Q149" i="77"/>
  <c r="Q150" i="77"/>
  <c r="Q151" i="77"/>
  <c r="Q152" i="77"/>
  <c r="Q153" i="77"/>
  <c r="Q154" i="77"/>
  <c r="Q155" i="77"/>
  <c r="Q156" i="77"/>
  <c r="Q157" i="77"/>
  <c r="Q158" i="77"/>
  <c r="Q159" i="77"/>
  <c r="Q160" i="77"/>
  <c r="Q161" i="77"/>
  <c r="Q162" i="77"/>
  <c r="Q163" i="77"/>
  <c r="Q164" i="77"/>
  <c r="Q165" i="77"/>
  <c r="Q166" i="77"/>
  <c r="Q167" i="77"/>
  <c r="Q168" i="77"/>
  <c r="Q169" i="77"/>
  <c r="Q170" i="77"/>
  <c r="Q171" i="77"/>
  <c r="Q172" i="77"/>
  <c r="Q173" i="77"/>
  <c r="Q174" i="77"/>
  <c r="Q175" i="77"/>
  <c r="Q176" i="77"/>
  <c r="Q177" i="77"/>
  <c r="Q178" i="77"/>
  <c r="Q179" i="77"/>
  <c r="Q180" i="77"/>
  <c r="Q181" i="77"/>
  <c r="Q182" i="77"/>
  <c r="Q183" i="77"/>
  <c r="Q184" i="77"/>
  <c r="Q185" i="77"/>
  <c r="Q186" i="77"/>
  <c r="Q187" i="77"/>
  <c r="Q188" i="77"/>
  <c r="Q189" i="77"/>
  <c r="Q190" i="77"/>
  <c r="Q191" i="77"/>
  <c r="Q192" i="77"/>
  <c r="Q193" i="77"/>
  <c r="Q194" i="77"/>
  <c r="Q195" i="77"/>
  <c r="Q196" i="77"/>
  <c r="Q197" i="77"/>
  <c r="Q198" i="77"/>
  <c r="Q199" i="77"/>
  <c r="Q200" i="77"/>
  <c r="Q201" i="77"/>
  <c r="Q202" i="77"/>
  <c r="Q203" i="77"/>
  <c r="Q204" i="77"/>
  <c r="Q205" i="77"/>
  <c r="Q206" i="77"/>
  <c r="Q207" i="77"/>
  <c r="Q208" i="77"/>
  <c r="Q209" i="77"/>
  <c r="Q210" i="77"/>
  <c r="Q211" i="77"/>
  <c r="Q212" i="77"/>
  <c r="Q213" i="77"/>
  <c r="Q214" i="77"/>
  <c r="Q215" i="77"/>
  <c r="Q216" i="77"/>
  <c r="Q217" i="77"/>
  <c r="Q218" i="77"/>
  <c r="Q219" i="77"/>
  <c r="Q220" i="77"/>
  <c r="Q221" i="77"/>
  <c r="Q222" i="77"/>
  <c r="Q223" i="77"/>
  <c r="Q224" i="77"/>
  <c r="Q225" i="77"/>
  <c r="Q226" i="77"/>
  <c r="Q227" i="77"/>
  <c r="Q228" i="77"/>
  <c r="Q229" i="77"/>
  <c r="Q230" i="77"/>
  <c r="Q231" i="77"/>
  <c r="Q232" i="77"/>
  <c r="Q233" i="77"/>
  <c r="Q234" i="77"/>
  <c r="Q235" i="77"/>
  <c r="Q236" i="77"/>
  <c r="Q237" i="77"/>
  <c r="Q238" i="77"/>
  <c r="Q239" i="77"/>
  <c r="Q240" i="77"/>
  <c r="Q241" i="77"/>
  <c r="Q242" i="77"/>
  <c r="Q243" i="77"/>
  <c r="Q244" i="77"/>
  <c r="Q245" i="77"/>
  <c r="Q246" i="77"/>
  <c r="Q247" i="77"/>
  <c r="Q248" i="77"/>
  <c r="Q249" i="77"/>
  <c r="Q250" i="77"/>
  <c r="Q251" i="77"/>
  <c r="Q252" i="77"/>
  <c r="Q253" i="77"/>
  <c r="Q254" i="77"/>
  <c r="Q255" i="77"/>
  <c r="Q256" i="77"/>
  <c r="Q257" i="77"/>
  <c r="Q258" i="77"/>
  <c r="Q259" i="77"/>
  <c r="Q260" i="77"/>
  <c r="Q262" i="77"/>
  <c r="Q263" i="77"/>
  <c r="Q264" i="77"/>
  <c r="Q265" i="77"/>
  <c r="Q266" i="77"/>
  <c r="Q267" i="77"/>
  <c r="Q268" i="77"/>
  <c r="Q269" i="77"/>
  <c r="Q270" i="77"/>
  <c r="Q271" i="77"/>
  <c r="Q272" i="77"/>
  <c r="Q273" i="77"/>
  <c r="Q274" i="77"/>
  <c r="Q275" i="77"/>
  <c r="Q276" i="77"/>
  <c r="Q277" i="77"/>
  <c r="Q278" i="77"/>
  <c r="Q279" i="77"/>
  <c r="Q280" i="77"/>
  <c r="Q281" i="77"/>
  <c r="Q282" i="77"/>
  <c r="Q283" i="77"/>
  <c r="Q284" i="77"/>
  <c r="Q285" i="77"/>
  <c r="Q286" i="77"/>
  <c r="Q287" i="77"/>
  <c r="Q288" i="77"/>
  <c r="Q289" i="77"/>
  <c r="Q290" i="77"/>
  <c r="Q291" i="77"/>
  <c r="Q292" i="77"/>
  <c r="Q293" i="77"/>
  <c r="Q294" i="77"/>
  <c r="Q295" i="77"/>
  <c r="Q296" i="77"/>
  <c r="Q297" i="77"/>
  <c r="Q298" i="77"/>
  <c r="Q299" i="77"/>
  <c r="Q300" i="77"/>
  <c r="Q301" i="77"/>
  <c r="Q302" i="77"/>
  <c r="Q303" i="77"/>
  <c r="Q304" i="77"/>
  <c r="Q305" i="77"/>
  <c r="Q306" i="77"/>
  <c r="Q307" i="77"/>
  <c r="Q308" i="77"/>
  <c r="Q309" i="77"/>
  <c r="Q310" i="77"/>
  <c r="Q311" i="77"/>
  <c r="Q312" i="77"/>
  <c r="Q313" i="77"/>
  <c r="Q314" i="77"/>
  <c r="Q315" i="77"/>
  <c r="Q316" i="77"/>
  <c r="Q317" i="77"/>
  <c r="Q318" i="77"/>
  <c r="Q319" i="77"/>
  <c r="Q320" i="77"/>
  <c r="Q321" i="77"/>
  <c r="Q322" i="77"/>
  <c r="Q323" i="77"/>
  <c r="Q324" i="77"/>
  <c r="Q325" i="77"/>
  <c r="Q326" i="77"/>
  <c r="Q327" i="77"/>
  <c r="Q328" i="77"/>
  <c r="Q329" i="77"/>
  <c r="Q330" i="77"/>
  <c r="Q331" i="77"/>
  <c r="Q332" i="77"/>
  <c r="Q333" i="77"/>
  <c r="Q334" i="77"/>
  <c r="Q335" i="77"/>
  <c r="Q336" i="77"/>
  <c r="Q337" i="77"/>
  <c r="Q338" i="77"/>
  <c r="Q339" i="77"/>
  <c r="Q340" i="77"/>
  <c r="Q341" i="77"/>
  <c r="Q342" i="77"/>
  <c r="Q343" i="77"/>
  <c r="Q344" i="77"/>
  <c r="Q345" i="77"/>
  <c r="Q346" i="77"/>
  <c r="Q347" i="77"/>
  <c r="Q348" i="77"/>
  <c r="Q349" i="77"/>
  <c r="Q350" i="77"/>
  <c r="Q351" i="77"/>
  <c r="Q352" i="77"/>
  <c r="Q353" i="77"/>
  <c r="Q354" i="77"/>
  <c r="Q355" i="77"/>
  <c r="Q356" i="77"/>
  <c r="Q357" i="77"/>
  <c r="Q358" i="77"/>
  <c r="Q359" i="77"/>
  <c r="Q360" i="77"/>
  <c r="Q361" i="77"/>
  <c r="Q362" i="77"/>
  <c r="Q363" i="77"/>
  <c r="Q364" i="77"/>
  <c r="Q365" i="77"/>
  <c r="Q366" i="77"/>
  <c r="Q367" i="77"/>
  <c r="Q368" i="77"/>
  <c r="Q369" i="77"/>
  <c r="Q370" i="77"/>
  <c r="Q371" i="77"/>
  <c r="Q372" i="77"/>
  <c r="Q373" i="77"/>
  <c r="Q374" i="77"/>
  <c r="Q375" i="77"/>
  <c r="Q376" i="77"/>
  <c r="Q377" i="77"/>
  <c r="Q378" i="77"/>
  <c r="Q379" i="77"/>
  <c r="Q380" i="77"/>
  <c r="Q381" i="77"/>
  <c r="Q382" i="77"/>
  <c r="Q383" i="77"/>
  <c r="Q384" i="77"/>
  <c r="Q385" i="77"/>
  <c r="Q386" i="77"/>
  <c r="Q387" i="77"/>
  <c r="Q388" i="77"/>
  <c r="Q389" i="77"/>
  <c r="Q390" i="77"/>
  <c r="Q391" i="77"/>
  <c r="Q392" i="77"/>
  <c r="Q393" i="77"/>
  <c r="Q394" i="77"/>
  <c r="Q395" i="77"/>
  <c r="Q396" i="77"/>
  <c r="Q397" i="77"/>
  <c r="Q398" i="77"/>
  <c r="Q399" i="77"/>
  <c r="Q400" i="77"/>
  <c r="Q401" i="77"/>
  <c r="Q402" i="77"/>
  <c r="Q403" i="77"/>
  <c r="Q404" i="77"/>
  <c r="Q405" i="77"/>
  <c r="Q406" i="77"/>
  <c r="Q407" i="77"/>
  <c r="Q408" i="77"/>
  <c r="Q409" i="77"/>
  <c r="Q410" i="77"/>
  <c r="Q411" i="77"/>
  <c r="Q412" i="77"/>
  <c r="Q413" i="77"/>
  <c r="Q414" i="77"/>
  <c r="Q5" i="77"/>
  <c r="Q12" i="76"/>
  <c r="Q13" i="76"/>
  <c r="Q14" i="76"/>
  <c r="Q15" i="76"/>
  <c r="Q16" i="76"/>
  <c r="Q17" i="76"/>
  <c r="Q18" i="76"/>
  <c r="Q19" i="76"/>
  <c r="Q20" i="76"/>
  <c r="Q21" i="76"/>
  <c r="Q22" i="76"/>
  <c r="Q23" i="76"/>
  <c r="Q24" i="76"/>
  <c r="Q25" i="76"/>
  <c r="Q26" i="76"/>
  <c r="Q27" i="76"/>
  <c r="Q28" i="76"/>
  <c r="Q29" i="76"/>
  <c r="Q30" i="76"/>
  <c r="Q31" i="76"/>
  <c r="Q32" i="76"/>
  <c r="Q33" i="76"/>
  <c r="Q34" i="76"/>
  <c r="Q35" i="76"/>
  <c r="Q36" i="76"/>
  <c r="Q37" i="76"/>
  <c r="Q38" i="76"/>
  <c r="Q39" i="76"/>
  <c r="Q40" i="76"/>
  <c r="Q41" i="76"/>
  <c r="Q42" i="76"/>
  <c r="Q43" i="76"/>
  <c r="Q44" i="76"/>
  <c r="Q45" i="76"/>
  <c r="Q46" i="76"/>
  <c r="Q47" i="76"/>
  <c r="Q48" i="76"/>
  <c r="Q49" i="76"/>
  <c r="Q50" i="76"/>
  <c r="Q51" i="76"/>
  <c r="Q52" i="76"/>
  <c r="Q53" i="76"/>
  <c r="Q54" i="76"/>
  <c r="Q55" i="76"/>
  <c r="Q56" i="76"/>
  <c r="Q57" i="76"/>
  <c r="Q58" i="76"/>
  <c r="Q59" i="76"/>
  <c r="Q60" i="76"/>
  <c r="Q61" i="76"/>
  <c r="Q62" i="76"/>
  <c r="Q63" i="76"/>
  <c r="Q64" i="76"/>
  <c r="Q65" i="76"/>
  <c r="Q66" i="76"/>
  <c r="Q67" i="76"/>
  <c r="Q68" i="76"/>
  <c r="Q69" i="76"/>
  <c r="Q70" i="76"/>
  <c r="Q71" i="76"/>
  <c r="Q72" i="76"/>
  <c r="Q73" i="76"/>
  <c r="Q74" i="76"/>
  <c r="Q75" i="76"/>
  <c r="Q76" i="76"/>
  <c r="Q77" i="76"/>
  <c r="Q78" i="76"/>
  <c r="Q79" i="76"/>
  <c r="Q80" i="76"/>
  <c r="Q81" i="76"/>
  <c r="Q82" i="76"/>
  <c r="Q83" i="76"/>
  <c r="Q84" i="76"/>
  <c r="Q85" i="76"/>
  <c r="Q86" i="76"/>
  <c r="Q87" i="76"/>
  <c r="Q88" i="76"/>
  <c r="Q89" i="76"/>
  <c r="Q90" i="76"/>
  <c r="Q91" i="76"/>
  <c r="Q92" i="76"/>
  <c r="Q93" i="76"/>
  <c r="Q94" i="76"/>
  <c r="Q95" i="76"/>
  <c r="Q96" i="76"/>
  <c r="Q97" i="76"/>
  <c r="Q98" i="76"/>
  <c r="Q99" i="76"/>
  <c r="Q100" i="76"/>
  <c r="Q101" i="76"/>
  <c r="Q102" i="76"/>
  <c r="Q103" i="76"/>
  <c r="Q104" i="76"/>
  <c r="Q105" i="76"/>
  <c r="Q106" i="76"/>
  <c r="Q107" i="76"/>
  <c r="Q108" i="76"/>
  <c r="Q109" i="76"/>
  <c r="Q110" i="76"/>
  <c r="Q111" i="76"/>
  <c r="Q112" i="76"/>
  <c r="Q113" i="76"/>
  <c r="Q114" i="76"/>
  <c r="Q115" i="76"/>
  <c r="Q116" i="76"/>
  <c r="Q117" i="76"/>
  <c r="Q118" i="76"/>
  <c r="Q119" i="76"/>
  <c r="Q120" i="76"/>
  <c r="Q121" i="76"/>
  <c r="Q122" i="76"/>
  <c r="Q123" i="76"/>
  <c r="Q124" i="76"/>
  <c r="Q125" i="76"/>
  <c r="Q126" i="76"/>
  <c r="Q127" i="76"/>
  <c r="Q128" i="76"/>
  <c r="Q129" i="76"/>
  <c r="Q130" i="76"/>
  <c r="Q131" i="76"/>
  <c r="Q132" i="76"/>
  <c r="Q133" i="76"/>
  <c r="Q134" i="76"/>
  <c r="Q135" i="76"/>
  <c r="Q136" i="76"/>
  <c r="Q137" i="76"/>
  <c r="Q138" i="76"/>
  <c r="Q139" i="76"/>
  <c r="Q140" i="76"/>
  <c r="Q141" i="76"/>
  <c r="Q142" i="76"/>
  <c r="Q143" i="76"/>
  <c r="Q144" i="76"/>
  <c r="Q145" i="76"/>
  <c r="Q146" i="76"/>
  <c r="Q147" i="76"/>
  <c r="Q148" i="76"/>
  <c r="Q149" i="76"/>
  <c r="Q150" i="76"/>
  <c r="Q151" i="76"/>
  <c r="Q152" i="76"/>
  <c r="Q153" i="76"/>
  <c r="Q154" i="76"/>
  <c r="Q155" i="76"/>
  <c r="Q156" i="76"/>
  <c r="Q157" i="76"/>
  <c r="Q158" i="76"/>
  <c r="Q159" i="76"/>
  <c r="Q160" i="76"/>
  <c r="Q161" i="76"/>
  <c r="Q162" i="76"/>
  <c r="Q163" i="76"/>
  <c r="Q164" i="76"/>
  <c r="Q165" i="76"/>
  <c r="Q166" i="76"/>
  <c r="Q167" i="76"/>
  <c r="Q168" i="76"/>
  <c r="Q169" i="76"/>
  <c r="Q170" i="76"/>
  <c r="Q171" i="76"/>
  <c r="Q172" i="76"/>
  <c r="Q173" i="76"/>
  <c r="Q174" i="76"/>
  <c r="Q175" i="76"/>
  <c r="Q176" i="76"/>
  <c r="Q177" i="76"/>
  <c r="Q178" i="76"/>
  <c r="Q179" i="76"/>
  <c r="Q180" i="76"/>
  <c r="Q181" i="76"/>
  <c r="Q182" i="76"/>
  <c r="Q183" i="76"/>
  <c r="Q184" i="76"/>
  <c r="Q185" i="76"/>
  <c r="Q186" i="76"/>
  <c r="Q187" i="76"/>
  <c r="Q188" i="76"/>
  <c r="Q189" i="76"/>
  <c r="Q190" i="76"/>
  <c r="Q191" i="76"/>
  <c r="Q192" i="76"/>
  <c r="Q193" i="76"/>
  <c r="Q194" i="76"/>
  <c r="Q195" i="76"/>
  <c r="Q196" i="76"/>
  <c r="Q197" i="76"/>
  <c r="Q198" i="76"/>
  <c r="Q199" i="76"/>
  <c r="Q200" i="76"/>
  <c r="Q201" i="76"/>
  <c r="Q202" i="76"/>
  <c r="Q203" i="76"/>
  <c r="Q204" i="76"/>
  <c r="Q205" i="76"/>
  <c r="Q206" i="76"/>
  <c r="Q207" i="76"/>
  <c r="Q208" i="76"/>
  <c r="Q209" i="76"/>
  <c r="Q210" i="76"/>
  <c r="Q211" i="76"/>
  <c r="Q212" i="76"/>
  <c r="Q213" i="76"/>
  <c r="Q214" i="76"/>
  <c r="Q215" i="76"/>
  <c r="Q216" i="76"/>
  <c r="Q217" i="76"/>
  <c r="Q218" i="76"/>
  <c r="Q219" i="76"/>
  <c r="Q220" i="76"/>
  <c r="Q221" i="76"/>
  <c r="Q222" i="76"/>
  <c r="Q223" i="76"/>
  <c r="Q224" i="76"/>
  <c r="Q225" i="76"/>
  <c r="Q226" i="76"/>
  <c r="Q227" i="76"/>
  <c r="Q228" i="76"/>
  <c r="Q229" i="76"/>
  <c r="Q230" i="76"/>
  <c r="Q231" i="76"/>
  <c r="Q232" i="76"/>
  <c r="Q233" i="76"/>
  <c r="Q234" i="76"/>
  <c r="Q235" i="76"/>
  <c r="Q236" i="76"/>
  <c r="Q237" i="76"/>
  <c r="Q238" i="76"/>
  <c r="Q239" i="76"/>
  <c r="Q240" i="76"/>
  <c r="Q241" i="76"/>
  <c r="Q242" i="76"/>
  <c r="Q243" i="76"/>
  <c r="Q244" i="76"/>
  <c r="Q245" i="76"/>
  <c r="Q246" i="76"/>
  <c r="Q247" i="76"/>
  <c r="Q248" i="76"/>
  <c r="Q249" i="76"/>
  <c r="Q250" i="76"/>
  <c r="Q251" i="76"/>
  <c r="Q252" i="76"/>
  <c r="Q253" i="76"/>
  <c r="Q254" i="76"/>
  <c r="Q255" i="76"/>
  <c r="Q256" i="76"/>
  <c r="Q257" i="76"/>
  <c r="Q258" i="76"/>
  <c r="Q259" i="76"/>
  <c r="Q260" i="76"/>
  <c r="Q261" i="76"/>
  <c r="Q262" i="76"/>
  <c r="Q263" i="76"/>
  <c r="Q264" i="76"/>
  <c r="Q265" i="76"/>
  <c r="Q266" i="76"/>
  <c r="Q267" i="76"/>
  <c r="Q268" i="76"/>
  <c r="Q269" i="76"/>
  <c r="Q270" i="76"/>
  <c r="Q271" i="76"/>
  <c r="Q272" i="76"/>
  <c r="Q273" i="76"/>
  <c r="Q274" i="76"/>
  <c r="Q275" i="76"/>
  <c r="Q276" i="76"/>
  <c r="Q277" i="76"/>
  <c r="Q278" i="76"/>
  <c r="Q279" i="76"/>
  <c r="Q280" i="76"/>
  <c r="Q281" i="76"/>
  <c r="Q282" i="76"/>
  <c r="Q283" i="76"/>
  <c r="Q284" i="76"/>
  <c r="Q285" i="76"/>
  <c r="Q286" i="76"/>
  <c r="Q287" i="76"/>
  <c r="Q288" i="76"/>
  <c r="Q289" i="76"/>
  <c r="Q290" i="76"/>
  <c r="Q291" i="76"/>
  <c r="Q292" i="76"/>
  <c r="Q293" i="76"/>
  <c r="Q294" i="76"/>
  <c r="Q295" i="76"/>
  <c r="Q296" i="76"/>
  <c r="Q297" i="76"/>
  <c r="Q298" i="76"/>
  <c r="Q299" i="76"/>
  <c r="Q300" i="76"/>
  <c r="Q301" i="76"/>
  <c r="Q302" i="76"/>
  <c r="Q303" i="76"/>
  <c r="Q304" i="76"/>
  <c r="Q305" i="76"/>
  <c r="Q306" i="76"/>
  <c r="Q307" i="76"/>
  <c r="Q308" i="76"/>
  <c r="Q309" i="76"/>
  <c r="Q310" i="76"/>
  <c r="Q311" i="76"/>
  <c r="Q312" i="76"/>
  <c r="Q313" i="76"/>
  <c r="Q314" i="76"/>
  <c r="Q315" i="76"/>
  <c r="Q316" i="76"/>
  <c r="Q317" i="76"/>
  <c r="Q318" i="76"/>
  <c r="Q319" i="76"/>
  <c r="Q320" i="76"/>
  <c r="Q321" i="76"/>
  <c r="Q322" i="76"/>
  <c r="Q323" i="76"/>
  <c r="Q324" i="76"/>
  <c r="Q325" i="76"/>
  <c r="Q326" i="76"/>
  <c r="Q327" i="76"/>
  <c r="Q328" i="76"/>
  <c r="Q329" i="76"/>
  <c r="Q330" i="76"/>
  <c r="Q331" i="76"/>
  <c r="Q332" i="76"/>
  <c r="Q333" i="76"/>
  <c r="Q334" i="76"/>
  <c r="Q335" i="76"/>
  <c r="Q336" i="76"/>
  <c r="Q337" i="76"/>
  <c r="Q338" i="76"/>
  <c r="Q339" i="76"/>
  <c r="Q340" i="76"/>
  <c r="Q341" i="76"/>
  <c r="Q342" i="76"/>
  <c r="Q343" i="76"/>
  <c r="Q344" i="76"/>
  <c r="Q345" i="76"/>
  <c r="Q346" i="76"/>
  <c r="Q347" i="76"/>
  <c r="Q348" i="76"/>
  <c r="Q349" i="76"/>
  <c r="Q350" i="76"/>
  <c r="Q351" i="76"/>
  <c r="Q352" i="76"/>
  <c r="Q353" i="76"/>
  <c r="Q354" i="76"/>
  <c r="Q355" i="76"/>
  <c r="Q356" i="76"/>
  <c r="Q357" i="76"/>
  <c r="Q358" i="76"/>
  <c r="Q359" i="76"/>
  <c r="Q360" i="76"/>
  <c r="Q361" i="76"/>
  <c r="Q362" i="76"/>
  <c r="Q363" i="76"/>
  <c r="Q364" i="76"/>
  <c r="Q365" i="76"/>
  <c r="Q366" i="76"/>
  <c r="Q367" i="76"/>
  <c r="Q368" i="76"/>
  <c r="Q369" i="76"/>
  <c r="Q370" i="76"/>
  <c r="Q371" i="76"/>
  <c r="Q372" i="76"/>
  <c r="Q373" i="76"/>
  <c r="Q374" i="76"/>
  <c r="Q375" i="76"/>
  <c r="Q376" i="76"/>
  <c r="Q377" i="76"/>
  <c r="Q378" i="76"/>
  <c r="Q379" i="76"/>
  <c r="Q380" i="76"/>
  <c r="Q381" i="76"/>
  <c r="Q382" i="76"/>
  <c r="Q383" i="76"/>
  <c r="Q384" i="76"/>
  <c r="Q385" i="76"/>
  <c r="Q386" i="76"/>
  <c r="Q387" i="76"/>
  <c r="Q388" i="76"/>
  <c r="Q389" i="76"/>
  <c r="Q390" i="76"/>
  <c r="Q391" i="76"/>
  <c r="Q392" i="76"/>
  <c r="Q393" i="76"/>
  <c r="Q394" i="76"/>
  <c r="Q395" i="76"/>
  <c r="Q396" i="76"/>
  <c r="Q397" i="76"/>
  <c r="Q398" i="76"/>
  <c r="Q399" i="76"/>
  <c r="Q400" i="76"/>
  <c r="Q401" i="76"/>
  <c r="Q402" i="76"/>
  <c r="Q403" i="76"/>
  <c r="Q404" i="76"/>
  <c r="Q405" i="76"/>
  <c r="Q406" i="76"/>
  <c r="Q407" i="76"/>
  <c r="Q408" i="76"/>
  <c r="Q409" i="76"/>
  <c r="Q410" i="76"/>
  <c r="Q411" i="76"/>
  <c r="Q412" i="76"/>
  <c r="Q413" i="76"/>
  <c r="Q414" i="76"/>
  <c r="Q415" i="76"/>
  <c r="Q416" i="76"/>
  <c r="Q417" i="76"/>
  <c r="Q418" i="76"/>
  <c r="Q419" i="76"/>
  <c r="Q420" i="76"/>
  <c r="Q421" i="76"/>
  <c r="Q422" i="76"/>
  <c r="Q423" i="76"/>
  <c r="Q424" i="76"/>
  <c r="Q425" i="76"/>
  <c r="Q426" i="76"/>
  <c r="Q427" i="76"/>
  <c r="Q428" i="76"/>
  <c r="Q429" i="76"/>
  <c r="Q430" i="76"/>
  <c r="Q431" i="76"/>
  <c r="Q432" i="76"/>
  <c r="Q433" i="76"/>
  <c r="Q434" i="76"/>
  <c r="Q435" i="76"/>
  <c r="Q436" i="76"/>
  <c r="Q437" i="76"/>
  <c r="Q438" i="76"/>
  <c r="Q439" i="76"/>
  <c r="Q440" i="76"/>
  <c r="Q441" i="76"/>
  <c r="Q442" i="76"/>
  <c r="Q443" i="76"/>
  <c r="Q444" i="76"/>
  <c r="Q445" i="76"/>
  <c r="Q446" i="76"/>
  <c r="Q447" i="76"/>
  <c r="Q448" i="76"/>
  <c r="Q449" i="76"/>
  <c r="Q450" i="76"/>
  <c r="Q451" i="76"/>
  <c r="Q452" i="76"/>
  <c r="Q453" i="76"/>
  <c r="Q454" i="76"/>
  <c r="Q455" i="76"/>
  <c r="Q456" i="76"/>
  <c r="Q457" i="76"/>
  <c r="Q458" i="76"/>
  <c r="Q459" i="76"/>
  <c r="Q460" i="76"/>
  <c r="Q461" i="76"/>
  <c r="Q462" i="76"/>
  <c r="Q463" i="76"/>
  <c r="Q464" i="76"/>
  <c r="Q465" i="76"/>
  <c r="Q466" i="76"/>
  <c r="Q467" i="76"/>
  <c r="Q468" i="76"/>
  <c r="Q469" i="76"/>
  <c r="Q470" i="76"/>
  <c r="Q471" i="76"/>
  <c r="Q472" i="76"/>
  <c r="Q473" i="76"/>
  <c r="Q474" i="76"/>
  <c r="Q475" i="76"/>
  <c r="Q476" i="76"/>
  <c r="Q477" i="76"/>
  <c r="Q478" i="76"/>
  <c r="Q479" i="76"/>
  <c r="Q480" i="76"/>
  <c r="Q481" i="76"/>
  <c r="Q482" i="76"/>
  <c r="Q483" i="76"/>
  <c r="Q484" i="76"/>
  <c r="Q485" i="76"/>
  <c r="Q486" i="76"/>
  <c r="Q487" i="76"/>
  <c r="Q488" i="76"/>
  <c r="Q489" i="76"/>
  <c r="Q490" i="76"/>
  <c r="Q491" i="76"/>
  <c r="Q492" i="76"/>
  <c r="Q493" i="76"/>
  <c r="Q494" i="76"/>
  <c r="Q495" i="76"/>
  <c r="Q496" i="76"/>
  <c r="Q497" i="76"/>
  <c r="Q498" i="76"/>
  <c r="Q499" i="76"/>
  <c r="Q500" i="76"/>
  <c r="Q501" i="76"/>
  <c r="Q502" i="76"/>
  <c r="Q503" i="76"/>
  <c r="Q504" i="76"/>
  <c r="Q505" i="76"/>
  <c r="Q506" i="76"/>
  <c r="Q507" i="76"/>
  <c r="Q508" i="76"/>
  <c r="Q509" i="76"/>
  <c r="Q510" i="76"/>
  <c r="Q511" i="76"/>
  <c r="Q512" i="76"/>
  <c r="Q513" i="76"/>
  <c r="Q514" i="76"/>
  <c r="Q515" i="76"/>
  <c r="Q516" i="76"/>
  <c r="Q517" i="76"/>
  <c r="Q518" i="76"/>
  <c r="Q519" i="76"/>
  <c r="Q520" i="76"/>
  <c r="Q521" i="76"/>
  <c r="Q522" i="76"/>
  <c r="Q523" i="76"/>
  <c r="Q524" i="76"/>
  <c r="Q525" i="76"/>
  <c r="Q526" i="76"/>
  <c r="Q527" i="76"/>
  <c r="Q528" i="76"/>
  <c r="Q529" i="76"/>
  <c r="Q530" i="76"/>
  <c r="Q531" i="76"/>
  <c r="Q532" i="76"/>
  <c r="Q533" i="76"/>
  <c r="Q534" i="76"/>
  <c r="Q535" i="76"/>
  <c r="Q536" i="76"/>
  <c r="Q537" i="76"/>
  <c r="Q538" i="76"/>
  <c r="Q539" i="76"/>
  <c r="Q540" i="76"/>
  <c r="Q541" i="76"/>
  <c r="Q542" i="76"/>
  <c r="Q543" i="76"/>
  <c r="Q544" i="76"/>
  <c r="Q545" i="76"/>
  <c r="Q546" i="76"/>
  <c r="Q547" i="76"/>
  <c r="Q548" i="76"/>
  <c r="Q549" i="76"/>
  <c r="Q550" i="76"/>
  <c r="Q551" i="76"/>
  <c r="Q552" i="76"/>
  <c r="Q553" i="76"/>
  <c r="Q554" i="76"/>
  <c r="Q555" i="76"/>
  <c r="Q556" i="76"/>
  <c r="Q557" i="76"/>
  <c r="Q558" i="76"/>
  <c r="Q559" i="76"/>
  <c r="Q560" i="76"/>
  <c r="Q561" i="76"/>
  <c r="Q562" i="76"/>
  <c r="Q563" i="76"/>
  <c r="Q564" i="76"/>
  <c r="Q565" i="76"/>
  <c r="Q566" i="76"/>
  <c r="Q567" i="76"/>
  <c r="Q568" i="76"/>
  <c r="Q569" i="76"/>
  <c r="Q570" i="76"/>
  <c r="Q571" i="76"/>
  <c r="Q572" i="76"/>
  <c r="Q573" i="76"/>
  <c r="Q574" i="76"/>
  <c r="Q575" i="76"/>
  <c r="Q576" i="76"/>
  <c r="Q577" i="76"/>
  <c r="Q578" i="76"/>
  <c r="Q579" i="76"/>
  <c r="Q580" i="76"/>
  <c r="Q581" i="76"/>
  <c r="Q582" i="76"/>
  <c r="Q583" i="76"/>
  <c r="Q584" i="76"/>
  <c r="Q585" i="76"/>
  <c r="Q586" i="76"/>
  <c r="Q587" i="76"/>
  <c r="Q588" i="76"/>
  <c r="Q589" i="76"/>
  <c r="Q590" i="76"/>
  <c r="Q591" i="76"/>
  <c r="Q592" i="76"/>
  <c r="Q593" i="76"/>
  <c r="Q594" i="76"/>
  <c r="Q595" i="76"/>
  <c r="Q596" i="76"/>
  <c r="Q597" i="76"/>
  <c r="Q598" i="76"/>
  <c r="Q599" i="76"/>
  <c r="Q600" i="76"/>
  <c r="Q601" i="76"/>
  <c r="Q602" i="76"/>
  <c r="Q603" i="76"/>
  <c r="Q604" i="76"/>
  <c r="Q605" i="76"/>
  <c r="Q606" i="76"/>
  <c r="Q607" i="76"/>
  <c r="Q608" i="76"/>
  <c r="Q609" i="76"/>
  <c r="Q610" i="76"/>
  <c r="Q611" i="76"/>
  <c r="Q612" i="76"/>
  <c r="Q613" i="76"/>
  <c r="Q614" i="76"/>
  <c r="Q615" i="76"/>
  <c r="Q616" i="76"/>
  <c r="Q617" i="76"/>
  <c r="Q618" i="76"/>
  <c r="Q619" i="76"/>
  <c r="Q620" i="76"/>
  <c r="Q621" i="76"/>
  <c r="Q622" i="76"/>
  <c r="Q623" i="76"/>
  <c r="Q624" i="76"/>
  <c r="Q625" i="76"/>
  <c r="Q626" i="76"/>
  <c r="Q627" i="76"/>
  <c r="Q628" i="76"/>
  <c r="Q629" i="76"/>
  <c r="Q630" i="76"/>
  <c r="Q631" i="76"/>
  <c r="Q632" i="76"/>
  <c r="Q633" i="76"/>
  <c r="Q634" i="76"/>
  <c r="Q635" i="76"/>
  <c r="Q636" i="76"/>
  <c r="Q637" i="76"/>
  <c r="Q638" i="76"/>
  <c r="Q639" i="76"/>
  <c r="Q640" i="76"/>
  <c r="Q641" i="76"/>
  <c r="Q642" i="76"/>
  <c r="Q643" i="76"/>
  <c r="Q644" i="76"/>
  <c r="Q645" i="76"/>
  <c r="Q646" i="76"/>
  <c r="Q647" i="76"/>
  <c r="Q648" i="76"/>
  <c r="Q649" i="76"/>
  <c r="Q650" i="76"/>
  <c r="Q651" i="76"/>
  <c r="Q652" i="76"/>
  <c r="Q653" i="76"/>
  <c r="Q654" i="76"/>
  <c r="Q655" i="76"/>
  <c r="Q656" i="76"/>
  <c r="Q657" i="76"/>
  <c r="Q658" i="76"/>
  <c r="Q659" i="76"/>
  <c r="Q660" i="76"/>
  <c r="Q661" i="76"/>
  <c r="Q662" i="76"/>
  <c r="Q663" i="76"/>
  <c r="Q664" i="76"/>
  <c r="Q665" i="76"/>
  <c r="Q666" i="76"/>
  <c r="Q667" i="76"/>
  <c r="Q668" i="76"/>
  <c r="Q669" i="76"/>
  <c r="Q670" i="76"/>
  <c r="Q671" i="76"/>
  <c r="Q672" i="76"/>
  <c r="Q673" i="76"/>
  <c r="Q674" i="76"/>
  <c r="Q675" i="76"/>
  <c r="Q676" i="76"/>
  <c r="Q677" i="76"/>
  <c r="Q678" i="76"/>
  <c r="Q679" i="76"/>
  <c r="Q680" i="76"/>
  <c r="Q681" i="76"/>
  <c r="Q682" i="76"/>
  <c r="Q683" i="76"/>
  <c r="Q684" i="76"/>
  <c r="Q685" i="76"/>
  <c r="Q686" i="76"/>
  <c r="Q687" i="76"/>
  <c r="Q688" i="76"/>
  <c r="Q689" i="76"/>
  <c r="Q690" i="76"/>
  <c r="Q691" i="76"/>
  <c r="Q692" i="76"/>
  <c r="Q693" i="76"/>
  <c r="Q694" i="76"/>
  <c r="Q695" i="76"/>
  <c r="Q696" i="76"/>
  <c r="Q697" i="76"/>
  <c r="Q698" i="76"/>
  <c r="Q699" i="76"/>
  <c r="Q700" i="76"/>
  <c r="Q701" i="76"/>
  <c r="Q702" i="76"/>
  <c r="Q703" i="76"/>
  <c r="Q704" i="76"/>
  <c r="Q705" i="76"/>
  <c r="Q706" i="76"/>
  <c r="Q707" i="76"/>
  <c r="Q708" i="76"/>
  <c r="Q709" i="76"/>
  <c r="Q710" i="76"/>
  <c r="Q711" i="76"/>
  <c r="Q712" i="76"/>
  <c r="Q713" i="76"/>
  <c r="Q714" i="76"/>
  <c r="Q715" i="76"/>
  <c r="Q716" i="76"/>
  <c r="Q717" i="76"/>
  <c r="Q718" i="76"/>
  <c r="Q719" i="76"/>
  <c r="Q720" i="76"/>
  <c r="Q721" i="76"/>
  <c r="Q722" i="76"/>
  <c r="Q723" i="76"/>
  <c r="Q724" i="76"/>
  <c r="Q725" i="76"/>
  <c r="Q726" i="76"/>
  <c r="Q727" i="76"/>
  <c r="Q728" i="76"/>
  <c r="Q729" i="76"/>
  <c r="Q730" i="76"/>
  <c r="Q731" i="76"/>
  <c r="Q732" i="76"/>
  <c r="Q733" i="76"/>
  <c r="Q734" i="76"/>
  <c r="Q735" i="76"/>
  <c r="Q736" i="76"/>
  <c r="Q737" i="76"/>
  <c r="Q738" i="76"/>
  <c r="Q739" i="76"/>
  <c r="Q740" i="76"/>
  <c r="Q741" i="76"/>
  <c r="Q742" i="76"/>
  <c r="Q743" i="76"/>
  <c r="Q744" i="76"/>
  <c r="Q745" i="76"/>
  <c r="Q746" i="76"/>
  <c r="Q747" i="76"/>
  <c r="Q748" i="76"/>
  <c r="Q749" i="76"/>
  <c r="Q750" i="76"/>
  <c r="Q751" i="76"/>
  <c r="Q752" i="76"/>
  <c r="Q753" i="76"/>
  <c r="Q754" i="76"/>
  <c r="Q755" i="76"/>
  <c r="Q756" i="76"/>
  <c r="Q757" i="76"/>
  <c r="Q758" i="76"/>
  <c r="Q759" i="76"/>
  <c r="Q760" i="76"/>
  <c r="Q761" i="76"/>
  <c r="Q762" i="76"/>
  <c r="Q763" i="76"/>
  <c r="Q764" i="76"/>
  <c r="Q765" i="76"/>
  <c r="Q766" i="76"/>
  <c r="Q767" i="76"/>
  <c r="Q768" i="76"/>
  <c r="Q769" i="76"/>
  <c r="Q770" i="76"/>
  <c r="Q771" i="76"/>
  <c r="Q772" i="76"/>
  <c r="Q773" i="76"/>
  <c r="Q774" i="76"/>
  <c r="Q775" i="76"/>
  <c r="Q776" i="76"/>
  <c r="Q777" i="76"/>
  <c r="Q778" i="76"/>
  <c r="Q779" i="76"/>
  <c r="Q780" i="76"/>
  <c r="Q781" i="76"/>
  <c r="Q782" i="76"/>
  <c r="Q783" i="76"/>
  <c r="Q784" i="76"/>
  <c r="Q785" i="76"/>
  <c r="Q786" i="76"/>
  <c r="Q787" i="76"/>
  <c r="Q788" i="76"/>
  <c r="Q789" i="76"/>
  <c r="Q790" i="76"/>
  <c r="Q791" i="76"/>
  <c r="Q792" i="76"/>
  <c r="Q793" i="76"/>
  <c r="Q794" i="76"/>
  <c r="Q795" i="76"/>
  <c r="Q796" i="76"/>
  <c r="Q797" i="76"/>
  <c r="Q798" i="76"/>
  <c r="Q799" i="76"/>
  <c r="Q800" i="76"/>
  <c r="Q801" i="76"/>
  <c r="Q802" i="76"/>
  <c r="Q803" i="76"/>
  <c r="Q804" i="76"/>
  <c r="Q805" i="76"/>
  <c r="Q806" i="76"/>
  <c r="Q807" i="76"/>
  <c r="Q808" i="76"/>
  <c r="Q809" i="76"/>
  <c r="Q810" i="76"/>
  <c r="Q811" i="76"/>
  <c r="Q812" i="76"/>
  <c r="Q813" i="76"/>
  <c r="Q814" i="76"/>
  <c r="Q815" i="76"/>
  <c r="Q816" i="76"/>
  <c r="Q817" i="76"/>
  <c r="Q818" i="76"/>
  <c r="Q819" i="76"/>
  <c r="Q820" i="76"/>
  <c r="Q821" i="76"/>
  <c r="Q822" i="76"/>
  <c r="Q823" i="76"/>
  <c r="Q824" i="76"/>
  <c r="Q825" i="76"/>
  <c r="Q826" i="76"/>
  <c r="Q827" i="76"/>
  <c r="Q828" i="76"/>
  <c r="Q829" i="76"/>
  <c r="Q830" i="76"/>
  <c r="Q831" i="76"/>
  <c r="Q832" i="76"/>
  <c r="Q833" i="76"/>
  <c r="Q834" i="76"/>
  <c r="Q835" i="76"/>
  <c r="Q836" i="76"/>
  <c r="Q837" i="76"/>
  <c r="Q838" i="76"/>
  <c r="Q839" i="76"/>
  <c r="Q840" i="76"/>
  <c r="Q841" i="76"/>
  <c r="Q842" i="76"/>
  <c r="Q843" i="76"/>
  <c r="Q844" i="76"/>
  <c r="Q845" i="76"/>
  <c r="Q846" i="76"/>
  <c r="Q847" i="76"/>
  <c r="Q848" i="76"/>
  <c r="Q849" i="76"/>
  <c r="Q850" i="76"/>
  <c r="Q851" i="76"/>
  <c r="Q852" i="76"/>
  <c r="Q853" i="76"/>
  <c r="Q854" i="76"/>
  <c r="Q855" i="76"/>
  <c r="Q856" i="76"/>
  <c r="Q857" i="76"/>
  <c r="Q858" i="76"/>
  <c r="Q859" i="76"/>
  <c r="Q860" i="76"/>
  <c r="Q861" i="76"/>
  <c r="Q862" i="76"/>
  <c r="Q863" i="76"/>
  <c r="Q864" i="76"/>
  <c r="Q865" i="76"/>
  <c r="Q866" i="76"/>
  <c r="Q867" i="76"/>
  <c r="Q868" i="76"/>
  <c r="Q869" i="76"/>
  <c r="Q870" i="76"/>
  <c r="Q871" i="76"/>
  <c r="Q872" i="76"/>
  <c r="Q873" i="76"/>
  <c r="Q874" i="76"/>
  <c r="Q875" i="76"/>
  <c r="Q876" i="76"/>
  <c r="Q877" i="76"/>
  <c r="Q878" i="76"/>
  <c r="Q879" i="76"/>
  <c r="Q880" i="76"/>
  <c r="Q881" i="76"/>
  <c r="Q882" i="76"/>
  <c r="Q883" i="76"/>
  <c r="Q884" i="76"/>
  <c r="Q885" i="76"/>
  <c r="Q886" i="76"/>
  <c r="Q887" i="76"/>
  <c r="Q888" i="76"/>
  <c r="Q889" i="76"/>
  <c r="Q890" i="76"/>
  <c r="Q891" i="76"/>
  <c r="Q892" i="76"/>
  <c r="Q893" i="76"/>
  <c r="Q894" i="76"/>
  <c r="Q895" i="76"/>
  <c r="Q896" i="76"/>
  <c r="Q897" i="76"/>
  <c r="Q898" i="76"/>
  <c r="Q899" i="76"/>
  <c r="Q900" i="76"/>
  <c r="Q901" i="76"/>
  <c r="Q902" i="76"/>
  <c r="Q903" i="76"/>
  <c r="Q904" i="76"/>
  <c r="Q905" i="76"/>
  <c r="Q906" i="76"/>
  <c r="Q907" i="76"/>
  <c r="Q908" i="76"/>
  <c r="Q909" i="76"/>
  <c r="Q910" i="76"/>
  <c r="Q911" i="76"/>
  <c r="Q912" i="76"/>
  <c r="Q913" i="76"/>
  <c r="Q914" i="76"/>
  <c r="Q915" i="76"/>
  <c r="Q916" i="76"/>
  <c r="Q917" i="76"/>
  <c r="Q918" i="76"/>
  <c r="Q919" i="76"/>
  <c r="Q920" i="76"/>
  <c r="Q921" i="76"/>
  <c r="Q922" i="76"/>
  <c r="Q923" i="76"/>
  <c r="Q924" i="76"/>
  <c r="Q925" i="76"/>
  <c r="Q926" i="76"/>
  <c r="Q927" i="76"/>
  <c r="Q928" i="76"/>
  <c r="Q929" i="76"/>
  <c r="Q930" i="76"/>
  <c r="Q931" i="76"/>
  <c r="Q932" i="76"/>
  <c r="Q933" i="76"/>
  <c r="Q934" i="76"/>
  <c r="Q935" i="76"/>
  <c r="Q936" i="76"/>
  <c r="Q937" i="76"/>
  <c r="Q938" i="76"/>
  <c r="Q939" i="76"/>
  <c r="Q940" i="76"/>
  <c r="Q941" i="76"/>
  <c r="Q942" i="76"/>
  <c r="Q943" i="76"/>
  <c r="Q944" i="76"/>
  <c r="Q945" i="76"/>
  <c r="Q946" i="76"/>
  <c r="Q947" i="76"/>
  <c r="Q948" i="76"/>
  <c r="Q949" i="76"/>
  <c r="Q950" i="76"/>
  <c r="Q951" i="76"/>
  <c r="Q952" i="76"/>
  <c r="Q953" i="76"/>
  <c r="Q954" i="76"/>
  <c r="Q955" i="76"/>
  <c r="Q956" i="76"/>
  <c r="Q957" i="76"/>
  <c r="Q958" i="76"/>
  <c r="Q959" i="76"/>
  <c r="Q960" i="76"/>
  <c r="Q961" i="76"/>
  <c r="Q962" i="76"/>
  <c r="Q963" i="76"/>
  <c r="Q964" i="76"/>
  <c r="Q965" i="76"/>
  <c r="Q966" i="76"/>
  <c r="Q967" i="76"/>
  <c r="Q968" i="76"/>
  <c r="Q969" i="76"/>
  <c r="Q970" i="76"/>
  <c r="Q971" i="76"/>
  <c r="Q972" i="76"/>
  <c r="Q973" i="76"/>
  <c r="Q974" i="76"/>
  <c r="Q975" i="76"/>
  <c r="Q976" i="76"/>
  <c r="Q977" i="76"/>
  <c r="Q978" i="76"/>
  <c r="Q979" i="76"/>
  <c r="Q980" i="76"/>
  <c r="Q981" i="76"/>
  <c r="Q982" i="76"/>
  <c r="Q983" i="76"/>
  <c r="Q984" i="76"/>
  <c r="Q985" i="76"/>
  <c r="Q986" i="76"/>
  <c r="Q987" i="76"/>
  <c r="Q988" i="76"/>
  <c r="Q989" i="76"/>
  <c r="Q990" i="76"/>
  <c r="Q991" i="76"/>
  <c r="Q992" i="76"/>
  <c r="Q993" i="76"/>
  <c r="Q994" i="76"/>
  <c r="Q995" i="76"/>
  <c r="Q996" i="76"/>
  <c r="Q997" i="76"/>
  <c r="Q998" i="76"/>
  <c r="Q999" i="76"/>
  <c r="Q1000" i="76"/>
  <c r="Q1001" i="76"/>
  <c r="Q1002" i="76"/>
  <c r="Q1003" i="76"/>
  <c r="Q1004" i="76"/>
  <c r="Q1005" i="76"/>
  <c r="Q1006" i="76"/>
  <c r="Q1007" i="76"/>
  <c r="Q1008" i="76"/>
  <c r="Q1009" i="76"/>
  <c r="Q1010" i="76"/>
  <c r="Q1011" i="76"/>
  <c r="Q1012" i="76"/>
  <c r="Q1013" i="76"/>
  <c r="Q1014" i="76"/>
  <c r="Q1015" i="76"/>
  <c r="Q1016" i="76"/>
  <c r="Q1017" i="76"/>
  <c r="Q1018" i="76"/>
  <c r="Q1019" i="76"/>
  <c r="Q1020" i="76"/>
  <c r="Q1021" i="76"/>
  <c r="Q1022" i="76"/>
  <c r="Q1023" i="76"/>
  <c r="Q1024" i="76"/>
  <c r="Q1025" i="76"/>
  <c r="Q1026" i="76"/>
  <c r="Q1027" i="76"/>
  <c r="Q1028" i="76"/>
  <c r="Q1029" i="76"/>
  <c r="Q1030" i="76"/>
  <c r="Q1031" i="76"/>
  <c r="Q1032" i="76"/>
  <c r="Q1033" i="76"/>
  <c r="Q1034" i="76"/>
  <c r="Q1035" i="76"/>
  <c r="Q1036" i="76"/>
  <c r="Q1037" i="76"/>
  <c r="Q1038" i="76"/>
  <c r="Q1039" i="76"/>
  <c r="Q1040" i="76"/>
  <c r="Q1041" i="76"/>
  <c r="Q1042" i="76"/>
  <c r="Q1043" i="76"/>
  <c r="Q1044" i="76"/>
  <c r="Q1045" i="76"/>
  <c r="Q1046" i="76"/>
  <c r="Q1047" i="76"/>
  <c r="Q1048" i="76"/>
  <c r="Q1049" i="76"/>
  <c r="Q1050" i="76"/>
  <c r="Q1051" i="76"/>
  <c r="Q1052" i="76"/>
  <c r="Q1053" i="76"/>
  <c r="Q1054" i="76"/>
  <c r="Q1055" i="76"/>
  <c r="Q1056" i="76"/>
  <c r="Q1057" i="76"/>
  <c r="Q1058" i="76"/>
  <c r="Q1059" i="76"/>
  <c r="Q1060" i="76"/>
  <c r="Q1061" i="76"/>
  <c r="Q1062" i="76"/>
  <c r="Q1063" i="76"/>
  <c r="Q1064" i="76"/>
  <c r="Q1065" i="76"/>
  <c r="Q1066" i="76"/>
  <c r="Q1067" i="76"/>
  <c r="Q1068" i="76"/>
  <c r="Q1069" i="76"/>
  <c r="Q1070" i="76"/>
  <c r="Q1071" i="76"/>
  <c r="Q1072" i="76"/>
  <c r="Q1073" i="76"/>
  <c r="Q1074" i="76"/>
  <c r="Q1075" i="76"/>
  <c r="Q1076" i="76"/>
  <c r="Q1077" i="76"/>
  <c r="Q1078" i="76"/>
  <c r="Q1079" i="76"/>
  <c r="Q1080" i="76"/>
  <c r="Q1081" i="76"/>
  <c r="Q1082" i="76"/>
  <c r="Q1083" i="76"/>
  <c r="Q1084" i="76"/>
  <c r="Q1085" i="76"/>
  <c r="Q1086" i="76"/>
  <c r="Q1087" i="76"/>
  <c r="Q1088" i="76"/>
  <c r="Q1089" i="76"/>
  <c r="Q1090" i="76"/>
  <c r="Q1091" i="76"/>
  <c r="Q1092" i="76"/>
  <c r="Q1093" i="76"/>
  <c r="Q1094" i="76"/>
  <c r="Q1095" i="76"/>
  <c r="Q1096" i="76"/>
  <c r="Q1097" i="76"/>
  <c r="Q1098" i="76"/>
  <c r="Q1099" i="76"/>
  <c r="Q1100" i="76"/>
  <c r="Q1101" i="76"/>
  <c r="Q1102" i="76"/>
  <c r="Q1103" i="76"/>
  <c r="Q1104" i="76"/>
  <c r="Q1105" i="76"/>
  <c r="Q1106" i="76"/>
  <c r="Q1107" i="76"/>
  <c r="Q1108" i="76"/>
  <c r="Q1109" i="76"/>
  <c r="Q1110" i="76"/>
  <c r="Q1111" i="76"/>
  <c r="Q1112" i="76"/>
  <c r="Q1113" i="76"/>
  <c r="Q1114" i="76"/>
  <c r="Q1115" i="76"/>
  <c r="Q1116" i="76"/>
  <c r="Q1117" i="76"/>
  <c r="Q1118" i="76"/>
  <c r="Q1119" i="76"/>
  <c r="Q1120" i="76"/>
  <c r="Q1121" i="76"/>
  <c r="Q1122" i="76"/>
  <c r="Q1123" i="76"/>
  <c r="Q1124" i="76"/>
  <c r="Q1125" i="76"/>
  <c r="Q1126" i="76"/>
  <c r="Q1127" i="76"/>
  <c r="Q1128" i="76"/>
  <c r="Q1129" i="76"/>
  <c r="Q1130" i="76"/>
  <c r="Q1131" i="76"/>
  <c r="Q1132" i="76"/>
  <c r="Q1133" i="76"/>
  <c r="Q1134" i="76"/>
  <c r="Q1135" i="76"/>
  <c r="Q1136" i="76"/>
  <c r="Q1137" i="76"/>
  <c r="Q1138" i="76"/>
  <c r="Q1139" i="76"/>
  <c r="Q1140" i="76"/>
  <c r="Q1141" i="76"/>
  <c r="Q1142" i="76"/>
  <c r="Q1143" i="76"/>
  <c r="Q1144" i="76"/>
  <c r="Q1145" i="76"/>
  <c r="Q1146" i="76"/>
  <c r="Q1147" i="76"/>
  <c r="Q1148" i="76"/>
  <c r="Q1149" i="76"/>
  <c r="Q1150" i="76"/>
  <c r="Q1151" i="76"/>
  <c r="Q1152" i="76"/>
  <c r="Q1153" i="76"/>
  <c r="Q1154" i="76"/>
  <c r="Q1155" i="76"/>
  <c r="Q1156" i="76"/>
  <c r="Q1157" i="76"/>
  <c r="Q1158" i="76"/>
  <c r="Q1159" i="76"/>
  <c r="Q1160" i="76"/>
  <c r="Q1161" i="76"/>
  <c r="Q1162" i="76"/>
  <c r="Q1163" i="76"/>
  <c r="Q1164" i="76"/>
  <c r="Q1165" i="76"/>
  <c r="Q1166" i="76"/>
  <c r="Q1167" i="76"/>
  <c r="Q1168" i="76"/>
  <c r="Q1169" i="76"/>
  <c r="Q5" i="76"/>
  <c r="Q6" i="76"/>
  <c r="Q7" i="76"/>
  <c r="Q8" i="76"/>
  <c r="Q9" i="76"/>
  <c r="Q10" i="76"/>
  <c r="Q11" i="76"/>
  <c r="AB29" i="79"/>
  <c r="AB30" i="79"/>
  <c r="AB31" i="79"/>
  <c r="AB32" i="79"/>
  <c r="AB28" i="79"/>
  <c r="AB7" i="79"/>
  <c r="AB8" i="79"/>
  <c r="AB9" i="79"/>
  <c r="AB10" i="79"/>
  <c r="AB11" i="79"/>
  <c r="AB12" i="79"/>
  <c r="AB13" i="79"/>
  <c r="AB14" i="79"/>
  <c r="AB15" i="79"/>
  <c r="AB16" i="79"/>
  <c r="AB17" i="79"/>
  <c r="AB18" i="79"/>
  <c r="AB19" i="79"/>
  <c r="AB20" i="79"/>
  <c r="AB21" i="79"/>
  <c r="AB22" i="79"/>
  <c r="AB23" i="79"/>
  <c r="AB24" i="79"/>
  <c r="AB25" i="79"/>
  <c r="AB26" i="79"/>
  <c r="AB27" i="79"/>
  <c r="AB6" i="79"/>
  <c r="L45" i="81"/>
  <c r="L27" i="81"/>
  <c r="L28" i="81"/>
  <c r="L29" i="81"/>
  <c r="L30" i="81"/>
  <c r="L31" i="81"/>
  <c r="L32" i="81"/>
  <c r="L33" i="81"/>
  <c r="L34" i="81"/>
  <c r="L35" i="81"/>
  <c r="L36" i="81"/>
  <c r="L37" i="81"/>
  <c r="L38" i="81"/>
  <c r="L39" i="81"/>
  <c r="L40" i="81"/>
  <c r="L41" i="81"/>
  <c r="L42" i="81"/>
  <c r="L43" i="81"/>
  <c r="L44" i="81"/>
  <c r="L46" i="81"/>
  <c r="L47" i="81"/>
  <c r="L48" i="81"/>
  <c r="L49" i="81"/>
  <c r="L50" i="81"/>
  <c r="L51" i="81"/>
  <c r="L52" i="81"/>
  <c r="L53" i="81"/>
  <c r="L54" i="81"/>
  <c r="L55" i="81"/>
  <c r="L56" i="81"/>
  <c r="L57" i="81"/>
  <c r="L58" i="81"/>
  <c r="L59" i="81"/>
  <c r="L60" i="81"/>
  <c r="L61" i="81"/>
  <c r="L26" i="81"/>
  <c r="L6" i="81"/>
  <c r="L7" i="81"/>
  <c r="L8" i="81"/>
  <c r="L9" i="81"/>
  <c r="L10" i="81"/>
  <c r="L11" i="81"/>
  <c r="L12" i="81"/>
  <c r="L13" i="81"/>
  <c r="L14" i="81"/>
  <c r="L15" i="81"/>
  <c r="L16" i="81"/>
  <c r="L17" i="81"/>
  <c r="L18" i="81"/>
  <c r="L19" i="81"/>
  <c r="L20" i="81"/>
  <c r="L21" i="81"/>
  <c r="L22" i="81"/>
  <c r="L23" i="81"/>
  <c r="L24" i="81"/>
  <c r="L25" i="81"/>
  <c r="L5" i="81"/>
  <c r="N55" i="47" l="1"/>
  <c r="N56" i="47"/>
  <c r="N65" i="47"/>
  <c r="N5" i="47"/>
  <c r="Q13" i="64" l="1"/>
  <c r="Q14" i="64"/>
  <c r="Q29" i="64" l="1"/>
  <c r="Q27" i="64"/>
  <c r="Q7" i="64"/>
  <c r="Q8" i="64"/>
  <c r="Q9" i="64"/>
  <c r="Q10" i="64"/>
  <c r="Q11" i="64"/>
  <c r="Q12" i="64"/>
  <c r="Q15" i="64"/>
  <c r="Q16" i="64"/>
  <c r="Q17" i="64"/>
  <c r="Q18" i="64"/>
  <c r="Q19" i="64"/>
  <c r="Q20" i="64"/>
  <c r="Q21" i="64"/>
  <c r="Q22" i="64"/>
  <c r="Q23" i="64"/>
  <c r="Q24" i="64"/>
  <c r="Q25" i="64"/>
  <c r="Q26" i="64"/>
  <c r="Q28" i="64"/>
  <c r="M82" i="78" l="1"/>
  <c r="L82" i="78"/>
  <c r="M81" i="78"/>
  <c r="L81" i="78"/>
  <c r="M80" i="78"/>
  <c r="L80" i="78"/>
  <c r="M79" i="78"/>
  <c r="L79" i="78"/>
  <c r="M78" i="78"/>
  <c r="L78" i="78"/>
  <c r="M77" i="78"/>
  <c r="L77" i="78"/>
  <c r="M76" i="78"/>
  <c r="L76" i="78"/>
  <c r="M75" i="78"/>
  <c r="L75" i="78"/>
  <c r="M74" i="78"/>
  <c r="L74" i="78"/>
  <c r="M73" i="78"/>
  <c r="L73" i="78"/>
  <c r="M72" i="78"/>
  <c r="L72" i="78"/>
  <c r="M71" i="78"/>
  <c r="L71" i="78"/>
  <c r="M70" i="78"/>
  <c r="L70" i="78"/>
  <c r="M69" i="78"/>
  <c r="L69" i="78"/>
  <c r="M68" i="78"/>
  <c r="L68" i="78"/>
  <c r="M67" i="78"/>
  <c r="L67" i="78"/>
  <c r="M66" i="78"/>
  <c r="L66" i="78"/>
  <c r="M65" i="78"/>
  <c r="L65" i="78"/>
  <c r="M64" i="78"/>
  <c r="L64" i="78"/>
  <c r="M63" i="78"/>
  <c r="L63" i="78"/>
  <c r="M62" i="78"/>
  <c r="L62" i="78"/>
  <c r="M61" i="78"/>
  <c r="L61" i="78"/>
  <c r="M60" i="78"/>
  <c r="L60" i="78"/>
  <c r="M59" i="78"/>
  <c r="L59" i="78"/>
  <c r="M58" i="78"/>
  <c r="L58" i="78"/>
  <c r="M57" i="78"/>
  <c r="L57" i="78"/>
  <c r="M56" i="78"/>
  <c r="L56" i="78"/>
  <c r="M55" i="78"/>
  <c r="L55" i="78"/>
  <c r="M54" i="78"/>
  <c r="L54" i="78"/>
  <c r="M53" i="78"/>
  <c r="L53" i="78"/>
  <c r="M52" i="78"/>
  <c r="L52" i="78"/>
  <c r="M51" i="78"/>
  <c r="L51" i="78"/>
  <c r="M50" i="78"/>
  <c r="L50" i="78"/>
  <c r="M49" i="78"/>
  <c r="L49" i="78"/>
  <c r="M48" i="78"/>
  <c r="L48" i="78"/>
  <c r="M47" i="78"/>
  <c r="L47" i="78"/>
  <c r="M46" i="78"/>
  <c r="L46" i="78"/>
  <c r="M45" i="78"/>
  <c r="L45" i="78"/>
  <c r="M44" i="78"/>
  <c r="L44" i="78"/>
  <c r="M43" i="78"/>
  <c r="L43" i="78"/>
  <c r="M42" i="78"/>
  <c r="L42" i="78"/>
  <c r="M41" i="78"/>
  <c r="L41" i="78"/>
  <c r="M40" i="78"/>
  <c r="L40" i="78"/>
  <c r="M39" i="78"/>
  <c r="L39" i="78"/>
  <c r="M38" i="78"/>
  <c r="L38" i="78"/>
  <c r="M37" i="78"/>
  <c r="L37" i="78"/>
  <c r="M36" i="78"/>
  <c r="L36" i="78"/>
  <c r="M35" i="78"/>
  <c r="L35" i="78"/>
  <c r="M34" i="78"/>
  <c r="L34" i="78"/>
  <c r="M33" i="78"/>
  <c r="L33" i="78"/>
  <c r="M32" i="78"/>
  <c r="L32" i="78"/>
  <c r="M31" i="78"/>
  <c r="L31" i="78"/>
  <c r="M30" i="78"/>
  <c r="L30" i="78"/>
  <c r="M29" i="78"/>
  <c r="L29" i="78"/>
  <c r="M28" i="78"/>
  <c r="L28" i="78"/>
  <c r="M27" i="78"/>
  <c r="L27" i="78"/>
  <c r="M26" i="78"/>
  <c r="L26" i="78"/>
  <c r="M25" i="78"/>
  <c r="L25" i="78"/>
  <c r="M24" i="78"/>
  <c r="L24" i="78"/>
  <c r="M23" i="78"/>
  <c r="L23" i="78"/>
  <c r="M22" i="78"/>
  <c r="L22" i="78"/>
  <c r="M21" i="78"/>
  <c r="L21" i="78"/>
  <c r="M20" i="78"/>
  <c r="L20" i="78"/>
  <c r="M19" i="78"/>
  <c r="L19" i="78"/>
  <c r="M18" i="78"/>
  <c r="L18" i="78"/>
  <c r="M17" i="78"/>
  <c r="L17" i="78"/>
  <c r="M16" i="78"/>
  <c r="L16" i="78"/>
  <c r="M15" i="78"/>
  <c r="L15" i="78"/>
  <c r="M14" i="78"/>
  <c r="L14" i="78"/>
  <c r="M13" i="78"/>
  <c r="L13" i="78"/>
  <c r="M12" i="78"/>
  <c r="L12" i="78"/>
  <c r="M11" i="78"/>
  <c r="L11" i="78"/>
  <c r="M10" i="78"/>
  <c r="L10" i="78"/>
  <c r="M9" i="78"/>
  <c r="L9" i="78"/>
  <c r="M8" i="78"/>
  <c r="L8" i="78"/>
  <c r="M7" i="78"/>
  <c r="L7" i="78"/>
  <c r="M6" i="78"/>
  <c r="L6" i="78"/>
  <c r="M5" i="78"/>
  <c r="L5" i="78"/>
  <c r="P414" i="77"/>
  <c r="O414" i="77"/>
  <c r="P413" i="77"/>
  <c r="O413" i="77"/>
  <c r="P412" i="77"/>
  <c r="O412" i="77"/>
  <c r="P411" i="77"/>
  <c r="O411" i="77"/>
  <c r="P410" i="77"/>
  <c r="O410" i="77"/>
  <c r="P409" i="77"/>
  <c r="O409" i="77"/>
  <c r="P408" i="77"/>
  <c r="O408" i="77"/>
  <c r="P407" i="77"/>
  <c r="O407" i="77"/>
  <c r="P406" i="77"/>
  <c r="O406" i="77"/>
  <c r="P405" i="77"/>
  <c r="O405" i="77"/>
  <c r="P404" i="77"/>
  <c r="O404" i="77"/>
  <c r="P403" i="77"/>
  <c r="O403" i="77"/>
  <c r="P402" i="77"/>
  <c r="O402" i="77"/>
  <c r="P401" i="77"/>
  <c r="O401" i="77"/>
  <c r="P400" i="77"/>
  <c r="O400" i="77"/>
  <c r="P399" i="77"/>
  <c r="O399" i="77"/>
  <c r="P398" i="77"/>
  <c r="O398" i="77"/>
  <c r="P397" i="77"/>
  <c r="O397" i="77"/>
  <c r="P396" i="77"/>
  <c r="O396" i="77"/>
  <c r="P395" i="77"/>
  <c r="O395" i="77"/>
  <c r="P394" i="77"/>
  <c r="O394" i="77"/>
  <c r="P393" i="77"/>
  <c r="O393" i="77"/>
  <c r="P392" i="77"/>
  <c r="O392" i="77"/>
  <c r="P391" i="77"/>
  <c r="O391" i="77"/>
  <c r="P390" i="77"/>
  <c r="O390" i="77"/>
  <c r="P389" i="77"/>
  <c r="O389" i="77"/>
  <c r="P388" i="77"/>
  <c r="O388" i="77"/>
  <c r="P387" i="77"/>
  <c r="O387" i="77"/>
  <c r="P386" i="77"/>
  <c r="O386" i="77"/>
  <c r="P385" i="77"/>
  <c r="O385" i="77"/>
  <c r="P384" i="77"/>
  <c r="O384" i="77"/>
  <c r="P383" i="77"/>
  <c r="O383" i="77"/>
  <c r="P382" i="77"/>
  <c r="O382" i="77"/>
  <c r="P381" i="77"/>
  <c r="O381" i="77"/>
  <c r="P380" i="77"/>
  <c r="O380" i="77"/>
  <c r="P379" i="77"/>
  <c r="O379" i="77"/>
  <c r="P378" i="77"/>
  <c r="O378" i="77"/>
  <c r="P377" i="77"/>
  <c r="O377" i="77"/>
  <c r="P376" i="77"/>
  <c r="O376" i="77"/>
  <c r="P375" i="77"/>
  <c r="O375" i="77"/>
  <c r="P374" i="77"/>
  <c r="O374" i="77"/>
  <c r="P373" i="77"/>
  <c r="O373" i="77"/>
  <c r="P372" i="77"/>
  <c r="O372" i="77"/>
  <c r="P371" i="77"/>
  <c r="O371" i="77"/>
  <c r="P370" i="77"/>
  <c r="O370" i="77"/>
  <c r="P369" i="77"/>
  <c r="O369" i="77"/>
  <c r="P368" i="77"/>
  <c r="O368" i="77"/>
  <c r="P367" i="77"/>
  <c r="O367" i="77"/>
  <c r="P366" i="77"/>
  <c r="O366" i="77"/>
  <c r="P365" i="77"/>
  <c r="O365" i="77"/>
  <c r="P364" i="77"/>
  <c r="O364" i="77"/>
  <c r="P363" i="77"/>
  <c r="O363" i="77"/>
  <c r="P362" i="77"/>
  <c r="O362" i="77"/>
  <c r="P361" i="77"/>
  <c r="O361" i="77"/>
  <c r="P360" i="77"/>
  <c r="O360" i="77"/>
  <c r="P359" i="77"/>
  <c r="O359" i="77"/>
  <c r="P358" i="77"/>
  <c r="O358" i="77"/>
  <c r="P357" i="77"/>
  <c r="O357" i="77"/>
  <c r="P356" i="77"/>
  <c r="O356" i="77"/>
  <c r="P355" i="77"/>
  <c r="O355" i="77"/>
  <c r="P354" i="77"/>
  <c r="O354" i="77"/>
  <c r="P353" i="77"/>
  <c r="O353" i="77"/>
  <c r="P352" i="77"/>
  <c r="O352" i="77"/>
  <c r="P351" i="77"/>
  <c r="O351" i="77"/>
  <c r="P350" i="77"/>
  <c r="O350" i="77"/>
  <c r="P349" i="77"/>
  <c r="O349" i="77"/>
  <c r="P348" i="77"/>
  <c r="O348" i="77"/>
  <c r="P347" i="77"/>
  <c r="O347" i="77"/>
  <c r="P346" i="77"/>
  <c r="O346" i="77"/>
  <c r="P345" i="77"/>
  <c r="O345" i="77"/>
  <c r="P344" i="77"/>
  <c r="O344" i="77"/>
  <c r="P343" i="77"/>
  <c r="O343" i="77"/>
  <c r="P342" i="77"/>
  <c r="O342" i="77"/>
  <c r="P341" i="77"/>
  <c r="O341" i="77"/>
  <c r="P340" i="77"/>
  <c r="O340" i="77"/>
  <c r="P339" i="77"/>
  <c r="O339" i="77"/>
  <c r="P338" i="77"/>
  <c r="O338" i="77"/>
  <c r="P337" i="77"/>
  <c r="O337" i="77"/>
  <c r="P336" i="77"/>
  <c r="O336" i="77"/>
  <c r="P335" i="77"/>
  <c r="O335" i="77"/>
  <c r="P334" i="77"/>
  <c r="O334" i="77"/>
  <c r="P333" i="77"/>
  <c r="O333" i="77"/>
  <c r="P332" i="77"/>
  <c r="O332" i="77"/>
  <c r="P331" i="77"/>
  <c r="O331" i="77"/>
  <c r="P330" i="77"/>
  <c r="O330" i="77"/>
  <c r="P329" i="77"/>
  <c r="O329" i="77"/>
  <c r="P328" i="77"/>
  <c r="O328" i="77"/>
  <c r="P327" i="77"/>
  <c r="O327" i="77"/>
  <c r="P326" i="77"/>
  <c r="O326" i="77"/>
  <c r="P325" i="77"/>
  <c r="O325" i="77"/>
  <c r="P324" i="77"/>
  <c r="O324" i="77"/>
  <c r="P323" i="77"/>
  <c r="O323" i="77"/>
  <c r="P322" i="77"/>
  <c r="O322" i="77"/>
  <c r="P321" i="77"/>
  <c r="O321" i="77"/>
  <c r="P320" i="77"/>
  <c r="O320" i="77"/>
  <c r="P319" i="77"/>
  <c r="O319" i="77"/>
  <c r="P318" i="77"/>
  <c r="O318" i="77"/>
  <c r="P317" i="77"/>
  <c r="O317" i="77"/>
  <c r="P316" i="77"/>
  <c r="O316" i="77"/>
  <c r="P315" i="77"/>
  <c r="O315" i="77"/>
  <c r="P314" i="77"/>
  <c r="O314" i="77"/>
  <c r="P313" i="77"/>
  <c r="O313" i="77"/>
  <c r="P312" i="77"/>
  <c r="O312" i="77"/>
  <c r="P311" i="77"/>
  <c r="O311" i="77"/>
  <c r="P310" i="77"/>
  <c r="O310" i="77"/>
  <c r="P309" i="77"/>
  <c r="O309" i="77"/>
  <c r="P308" i="77"/>
  <c r="O308" i="77"/>
  <c r="P307" i="77"/>
  <c r="O307" i="77"/>
  <c r="P306" i="77"/>
  <c r="O306" i="77"/>
  <c r="P305" i="77"/>
  <c r="O305" i="77"/>
  <c r="P304" i="77"/>
  <c r="O304" i="77"/>
  <c r="P303" i="77"/>
  <c r="O303" i="77"/>
  <c r="P302" i="77"/>
  <c r="O302" i="77"/>
  <c r="P301" i="77"/>
  <c r="O301" i="77"/>
  <c r="P300" i="77"/>
  <c r="O300" i="77"/>
  <c r="P299" i="77"/>
  <c r="O299" i="77"/>
  <c r="P298" i="77"/>
  <c r="O298" i="77"/>
  <c r="P297" i="77"/>
  <c r="O297" i="77"/>
  <c r="P296" i="77"/>
  <c r="O296" i="77"/>
  <c r="P295" i="77"/>
  <c r="O295" i="77"/>
  <c r="P294" i="77"/>
  <c r="O294" i="77"/>
  <c r="P293" i="77"/>
  <c r="O293" i="77"/>
  <c r="P292" i="77"/>
  <c r="O292" i="77"/>
  <c r="P291" i="77"/>
  <c r="O291" i="77"/>
  <c r="P290" i="77"/>
  <c r="O290" i="77"/>
  <c r="P289" i="77"/>
  <c r="O289" i="77"/>
  <c r="P288" i="77"/>
  <c r="O288" i="77"/>
  <c r="P287" i="77"/>
  <c r="O287" i="77"/>
  <c r="P286" i="77"/>
  <c r="O286" i="77"/>
  <c r="P285" i="77"/>
  <c r="O285" i="77"/>
  <c r="P284" i="77"/>
  <c r="O284" i="77"/>
  <c r="P283" i="77"/>
  <c r="O283" i="77"/>
  <c r="P282" i="77"/>
  <c r="O282" i="77"/>
  <c r="P281" i="77"/>
  <c r="O281" i="77"/>
  <c r="P280" i="77"/>
  <c r="O280" i="77"/>
  <c r="P279" i="77"/>
  <c r="O279" i="77"/>
  <c r="P278" i="77"/>
  <c r="O278" i="77"/>
  <c r="P277" i="77"/>
  <c r="O277" i="77"/>
  <c r="P276" i="77"/>
  <c r="O276" i="77"/>
  <c r="P275" i="77"/>
  <c r="O275" i="77"/>
  <c r="P274" i="77"/>
  <c r="O274" i="77"/>
  <c r="P273" i="77"/>
  <c r="O273" i="77"/>
  <c r="P272" i="77"/>
  <c r="O272" i="77"/>
  <c r="P271" i="77"/>
  <c r="O271" i="77"/>
  <c r="P270" i="77"/>
  <c r="O270" i="77"/>
  <c r="P269" i="77"/>
  <c r="O269" i="77"/>
  <c r="P268" i="77"/>
  <c r="O268" i="77"/>
  <c r="P267" i="77"/>
  <c r="O267" i="77"/>
  <c r="P266" i="77"/>
  <c r="O266" i="77"/>
  <c r="P265" i="77"/>
  <c r="O265" i="77"/>
  <c r="P264" i="77"/>
  <c r="O264" i="77"/>
  <c r="P263" i="77"/>
  <c r="O263" i="77"/>
  <c r="P262" i="77"/>
  <c r="O262" i="77"/>
  <c r="P261" i="77"/>
  <c r="O261" i="77"/>
  <c r="P260" i="77"/>
  <c r="O260" i="77"/>
  <c r="P259" i="77"/>
  <c r="O259" i="77"/>
  <c r="P258" i="77"/>
  <c r="O258" i="77"/>
  <c r="P257" i="77"/>
  <c r="O257" i="77"/>
  <c r="P256" i="77"/>
  <c r="O256" i="77"/>
  <c r="P255" i="77"/>
  <c r="O255" i="77"/>
  <c r="P254" i="77"/>
  <c r="O254" i="77"/>
  <c r="P253" i="77"/>
  <c r="O253" i="77"/>
  <c r="P252" i="77"/>
  <c r="O252" i="77"/>
  <c r="P251" i="77"/>
  <c r="O251" i="77"/>
  <c r="P250" i="77"/>
  <c r="O250" i="77"/>
  <c r="P249" i="77"/>
  <c r="O249" i="77"/>
  <c r="P248" i="77"/>
  <c r="O248" i="77"/>
  <c r="P247" i="77"/>
  <c r="O247" i="77"/>
  <c r="P246" i="77"/>
  <c r="O246" i="77"/>
  <c r="P245" i="77"/>
  <c r="O245" i="77"/>
  <c r="P244" i="77"/>
  <c r="O244" i="77"/>
  <c r="P243" i="77"/>
  <c r="O243" i="77"/>
  <c r="P242" i="77"/>
  <c r="O242" i="77"/>
  <c r="P241" i="77"/>
  <c r="O241" i="77"/>
  <c r="P240" i="77"/>
  <c r="O240" i="77"/>
  <c r="P239" i="77"/>
  <c r="O239" i="77"/>
  <c r="P238" i="77"/>
  <c r="O238" i="77"/>
  <c r="P237" i="77"/>
  <c r="O237" i="77"/>
  <c r="P236" i="77"/>
  <c r="O236" i="77"/>
  <c r="P235" i="77"/>
  <c r="O235" i="77"/>
  <c r="P234" i="77"/>
  <c r="O234" i="77"/>
  <c r="P233" i="77"/>
  <c r="O233" i="77"/>
  <c r="P232" i="77"/>
  <c r="O232" i="77"/>
  <c r="P231" i="77"/>
  <c r="O231" i="77"/>
  <c r="P230" i="77"/>
  <c r="O230" i="77"/>
  <c r="P229" i="77"/>
  <c r="O229" i="77"/>
  <c r="P228" i="77"/>
  <c r="O228" i="77"/>
  <c r="P227" i="77"/>
  <c r="O227" i="77"/>
  <c r="P226" i="77"/>
  <c r="O226" i="77"/>
  <c r="P225" i="77"/>
  <c r="O225" i="77"/>
  <c r="P224" i="77"/>
  <c r="O224" i="77"/>
  <c r="P223" i="77"/>
  <c r="O223" i="77"/>
  <c r="P222" i="77"/>
  <c r="O222" i="77"/>
  <c r="P221" i="77"/>
  <c r="O221" i="77"/>
  <c r="P220" i="77"/>
  <c r="O220" i="77"/>
  <c r="P219" i="77"/>
  <c r="O219" i="77"/>
  <c r="P218" i="77"/>
  <c r="O218" i="77"/>
  <c r="P217" i="77"/>
  <c r="O217" i="77"/>
  <c r="P216" i="77"/>
  <c r="O216" i="77"/>
  <c r="P215" i="77"/>
  <c r="O215" i="77"/>
  <c r="P214" i="77"/>
  <c r="O214" i="77"/>
  <c r="P213" i="77"/>
  <c r="O213" i="77"/>
  <c r="P212" i="77"/>
  <c r="O212" i="77"/>
  <c r="P211" i="77"/>
  <c r="O211" i="77"/>
  <c r="P210" i="77"/>
  <c r="O210" i="77"/>
  <c r="P209" i="77"/>
  <c r="O209" i="77"/>
  <c r="P208" i="77"/>
  <c r="O208" i="77"/>
  <c r="P207" i="77"/>
  <c r="O207" i="77"/>
  <c r="P206" i="77"/>
  <c r="O206" i="77"/>
  <c r="P205" i="77"/>
  <c r="O205" i="77"/>
  <c r="P204" i="77"/>
  <c r="O204" i="77"/>
  <c r="P203" i="77"/>
  <c r="O203" i="77"/>
  <c r="P202" i="77"/>
  <c r="O202" i="77"/>
  <c r="P201" i="77"/>
  <c r="O201" i="77"/>
  <c r="P200" i="77"/>
  <c r="O200" i="77"/>
  <c r="P199" i="77"/>
  <c r="O199" i="77"/>
  <c r="P198" i="77"/>
  <c r="O198" i="77"/>
  <c r="P197" i="77"/>
  <c r="O197" i="77"/>
  <c r="P196" i="77"/>
  <c r="O196" i="77"/>
  <c r="P195" i="77"/>
  <c r="O195" i="77"/>
  <c r="P194" i="77"/>
  <c r="O194" i="77"/>
  <c r="P193" i="77"/>
  <c r="O193" i="77"/>
  <c r="P192" i="77"/>
  <c r="O192" i="77"/>
  <c r="P191" i="77"/>
  <c r="O191" i="77"/>
  <c r="P190" i="77"/>
  <c r="O190" i="77"/>
  <c r="P189" i="77"/>
  <c r="O189" i="77"/>
  <c r="P188" i="77"/>
  <c r="O188" i="77"/>
  <c r="P187" i="77"/>
  <c r="O187" i="77"/>
  <c r="P186" i="77"/>
  <c r="O186" i="77"/>
  <c r="P185" i="77"/>
  <c r="O185" i="77"/>
  <c r="P184" i="77"/>
  <c r="O184" i="77"/>
  <c r="P183" i="77"/>
  <c r="O183" i="77"/>
  <c r="P182" i="77"/>
  <c r="O182" i="77"/>
  <c r="P181" i="77"/>
  <c r="O181" i="77"/>
  <c r="P180" i="77"/>
  <c r="O180" i="77"/>
  <c r="P179" i="77"/>
  <c r="O179" i="77"/>
  <c r="P178" i="77"/>
  <c r="O178" i="77"/>
  <c r="P177" i="77"/>
  <c r="O177" i="77"/>
  <c r="P176" i="77"/>
  <c r="O176" i="77"/>
  <c r="P175" i="77"/>
  <c r="O175" i="77"/>
  <c r="P174" i="77"/>
  <c r="O174" i="77"/>
  <c r="P173" i="77"/>
  <c r="O173" i="77"/>
  <c r="P172" i="77"/>
  <c r="O172" i="77"/>
  <c r="P171" i="77"/>
  <c r="O171" i="77"/>
  <c r="P170" i="77"/>
  <c r="O170" i="77"/>
  <c r="P169" i="77"/>
  <c r="O169" i="77"/>
  <c r="P168" i="77"/>
  <c r="O168" i="77"/>
  <c r="P167" i="77"/>
  <c r="O167" i="77"/>
  <c r="P166" i="77"/>
  <c r="O166" i="77"/>
  <c r="P165" i="77"/>
  <c r="O165" i="77"/>
  <c r="P164" i="77"/>
  <c r="O164" i="77"/>
  <c r="P163" i="77"/>
  <c r="O163" i="77"/>
  <c r="P162" i="77"/>
  <c r="O162" i="77"/>
  <c r="P161" i="77"/>
  <c r="O161" i="77"/>
  <c r="P160" i="77"/>
  <c r="O160" i="77"/>
  <c r="P159" i="77"/>
  <c r="O159" i="77"/>
  <c r="P158" i="77"/>
  <c r="O158" i="77"/>
  <c r="P157" i="77"/>
  <c r="O157" i="77"/>
  <c r="P156" i="77"/>
  <c r="O156" i="77"/>
  <c r="P155" i="77"/>
  <c r="O155" i="77"/>
  <c r="P154" i="77"/>
  <c r="O154" i="77"/>
  <c r="P153" i="77"/>
  <c r="O153" i="77"/>
  <c r="P152" i="77"/>
  <c r="O152" i="77"/>
  <c r="P151" i="77"/>
  <c r="O151" i="77"/>
  <c r="P150" i="77"/>
  <c r="O150" i="77"/>
  <c r="P149" i="77"/>
  <c r="O149" i="77"/>
  <c r="P148" i="77"/>
  <c r="O148" i="77"/>
  <c r="P147" i="77"/>
  <c r="O147" i="77"/>
  <c r="P146" i="77"/>
  <c r="O146" i="77"/>
  <c r="P145" i="77"/>
  <c r="O145" i="77"/>
  <c r="P144" i="77"/>
  <c r="O144" i="77"/>
  <c r="P143" i="77"/>
  <c r="O143" i="77"/>
  <c r="P142" i="77"/>
  <c r="O142" i="77"/>
  <c r="P141" i="77"/>
  <c r="O141" i="77"/>
  <c r="P140" i="77"/>
  <c r="O140" i="77"/>
  <c r="P139" i="77"/>
  <c r="O139" i="77"/>
  <c r="P138" i="77"/>
  <c r="O138" i="77"/>
  <c r="P137" i="77"/>
  <c r="O137" i="77"/>
  <c r="P136" i="77"/>
  <c r="O136" i="77"/>
  <c r="P135" i="77"/>
  <c r="O135" i="77"/>
  <c r="P134" i="77"/>
  <c r="O134" i="77"/>
  <c r="P133" i="77"/>
  <c r="O133" i="77"/>
  <c r="P132" i="77"/>
  <c r="O132" i="77"/>
  <c r="P131" i="77"/>
  <c r="O131" i="77"/>
  <c r="P130" i="77"/>
  <c r="O130" i="77"/>
  <c r="P129" i="77"/>
  <c r="O129" i="77"/>
  <c r="P128" i="77"/>
  <c r="O128" i="77"/>
  <c r="P127" i="77"/>
  <c r="O127" i="77"/>
  <c r="P126" i="77"/>
  <c r="O126" i="77"/>
  <c r="P125" i="77"/>
  <c r="O125" i="77"/>
  <c r="P124" i="77"/>
  <c r="O124" i="77"/>
  <c r="P123" i="77"/>
  <c r="O123" i="77"/>
  <c r="P122" i="77"/>
  <c r="O122" i="77"/>
  <c r="P121" i="77"/>
  <c r="O121" i="77"/>
  <c r="P120" i="77"/>
  <c r="O120" i="77"/>
  <c r="P119" i="77"/>
  <c r="O119" i="77"/>
  <c r="P118" i="77"/>
  <c r="O118" i="77"/>
  <c r="P117" i="77"/>
  <c r="O117" i="77"/>
  <c r="P116" i="77"/>
  <c r="O116" i="77"/>
  <c r="P115" i="77"/>
  <c r="O115" i="77"/>
  <c r="P114" i="77"/>
  <c r="O114" i="77"/>
  <c r="P113" i="77"/>
  <c r="O113" i="77"/>
  <c r="P112" i="77"/>
  <c r="O112" i="77"/>
  <c r="P111" i="77"/>
  <c r="O111" i="77"/>
  <c r="P110" i="77"/>
  <c r="O110" i="77"/>
  <c r="P109" i="77"/>
  <c r="O109" i="77"/>
  <c r="P108" i="77"/>
  <c r="O108" i="77"/>
  <c r="P107" i="77"/>
  <c r="O107" i="77"/>
  <c r="P106" i="77"/>
  <c r="O106" i="77"/>
  <c r="P105" i="77"/>
  <c r="O105" i="77"/>
  <c r="P104" i="77"/>
  <c r="O104" i="77"/>
  <c r="P103" i="77"/>
  <c r="O103" i="77"/>
  <c r="P102" i="77"/>
  <c r="O102" i="77"/>
  <c r="P101" i="77"/>
  <c r="O101" i="77"/>
  <c r="P100" i="77"/>
  <c r="O100" i="77"/>
  <c r="P99" i="77"/>
  <c r="O99" i="77"/>
  <c r="P98" i="77"/>
  <c r="O98" i="77"/>
  <c r="P97" i="77"/>
  <c r="O97" i="77"/>
  <c r="P96" i="77"/>
  <c r="O96" i="77"/>
  <c r="P95" i="77"/>
  <c r="O95" i="77"/>
  <c r="P94" i="77"/>
  <c r="O94" i="77"/>
  <c r="P93" i="77"/>
  <c r="O93" i="77"/>
  <c r="P92" i="77"/>
  <c r="O92" i="77"/>
  <c r="P91" i="77"/>
  <c r="O91" i="77"/>
  <c r="P90" i="77"/>
  <c r="O90" i="77"/>
  <c r="P89" i="77"/>
  <c r="O89" i="77"/>
  <c r="P88" i="77"/>
  <c r="O88" i="77"/>
  <c r="P87" i="77"/>
  <c r="O87" i="77"/>
  <c r="P86" i="77"/>
  <c r="O86" i="77"/>
  <c r="P85" i="77"/>
  <c r="O85" i="77"/>
  <c r="P84" i="77"/>
  <c r="O84" i="77"/>
  <c r="P83" i="77"/>
  <c r="O83" i="77"/>
  <c r="P82" i="77"/>
  <c r="O82" i="77"/>
  <c r="P81" i="77"/>
  <c r="O81" i="77"/>
  <c r="P80" i="77"/>
  <c r="O80" i="77"/>
  <c r="P79" i="77"/>
  <c r="O79" i="77"/>
  <c r="P78" i="77"/>
  <c r="O78" i="77"/>
  <c r="P77" i="77"/>
  <c r="O77" i="77"/>
  <c r="P76" i="77"/>
  <c r="O76" i="77"/>
  <c r="P75" i="77"/>
  <c r="O75" i="77"/>
  <c r="P74" i="77"/>
  <c r="O74" i="77"/>
  <c r="P73" i="77"/>
  <c r="O73" i="77"/>
  <c r="P72" i="77"/>
  <c r="O72" i="77"/>
  <c r="P71" i="77"/>
  <c r="O71" i="77"/>
  <c r="P70" i="77"/>
  <c r="O70" i="77"/>
  <c r="P69" i="77"/>
  <c r="O69" i="77"/>
  <c r="P68" i="77"/>
  <c r="O68" i="77"/>
  <c r="P67" i="77"/>
  <c r="O67" i="77"/>
  <c r="P66" i="77"/>
  <c r="O66" i="77"/>
  <c r="P65" i="77"/>
  <c r="O65" i="77"/>
  <c r="P64" i="77"/>
  <c r="O64" i="77"/>
  <c r="P63" i="77"/>
  <c r="O63" i="77"/>
  <c r="P62" i="77"/>
  <c r="O62" i="77"/>
  <c r="P61" i="77"/>
  <c r="O61" i="77"/>
  <c r="P60" i="77"/>
  <c r="O60" i="77"/>
  <c r="P59" i="77"/>
  <c r="O59" i="77"/>
  <c r="P58" i="77"/>
  <c r="O58" i="77"/>
  <c r="P57" i="77"/>
  <c r="O57" i="77"/>
  <c r="P56" i="77"/>
  <c r="O56" i="77"/>
  <c r="P55" i="77"/>
  <c r="O55" i="77"/>
  <c r="P54" i="77"/>
  <c r="O54" i="77"/>
  <c r="P53" i="77"/>
  <c r="O53" i="77"/>
  <c r="P52" i="77"/>
  <c r="O52" i="77"/>
  <c r="P51" i="77"/>
  <c r="O51" i="77"/>
  <c r="P50" i="77"/>
  <c r="O50" i="77"/>
  <c r="P49" i="77"/>
  <c r="O49" i="77"/>
  <c r="P48" i="77"/>
  <c r="O48" i="77"/>
  <c r="P47" i="77"/>
  <c r="O47" i="77"/>
  <c r="P46" i="77"/>
  <c r="O46" i="77"/>
  <c r="P45" i="77"/>
  <c r="O45" i="77"/>
  <c r="P44" i="77"/>
  <c r="O44" i="77"/>
  <c r="P43" i="77"/>
  <c r="O43" i="77"/>
  <c r="P42" i="77"/>
  <c r="O42" i="77"/>
  <c r="P41" i="77"/>
  <c r="O41" i="77"/>
  <c r="P40" i="77"/>
  <c r="O40" i="77"/>
  <c r="P39" i="77"/>
  <c r="O39" i="77"/>
  <c r="P38" i="77"/>
  <c r="O38" i="77"/>
  <c r="P37" i="77"/>
  <c r="O37" i="77"/>
  <c r="P36" i="77"/>
  <c r="O36" i="77"/>
  <c r="P35" i="77"/>
  <c r="O35" i="77"/>
  <c r="P34" i="77"/>
  <c r="O34" i="77"/>
  <c r="P33" i="77"/>
  <c r="O33" i="77"/>
  <c r="P32" i="77"/>
  <c r="O32" i="77"/>
  <c r="P31" i="77"/>
  <c r="O31" i="77"/>
  <c r="P30" i="77"/>
  <c r="O30" i="77"/>
  <c r="P29" i="77"/>
  <c r="O29" i="77"/>
  <c r="P28" i="77"/>
  <c r="O28" i="77"/>
  <c r="P27" i="77"/>
  <c r="O27" i="77"/>
  <c r="P26" i="77"/>
  <c r="O26" i="77"/>
  <c r="P25" i="77"/>
  <c r="O25" i="77"/>
  <c r="P24" i="77"/>
  <c r="O24" i="77"/>
  <c r="P23" i="77"/>
  <c r="O23" i="77"/>
  <c r="P22" i="77"/>
  <c r="O22" i="77"/>
  <c r="P21" i="77"/>
  <c r="O21" i="77"/>
  <c r="P20" i="77"/>
  <c r="O20" i="77"/>
  <c r="P19" i="77"/>
  <c r="O19" i="77"/>
  <c r="P18" i="77"/>
  <c r="O18" i="77"/>
  <c r="P17" i="77"/>
  <c r="O17" i="77"/>
  <c r="P16" i="77"/>
  <c r="O16" i="77"/>
  <c r="P15" i="77"/>
  <c r="O15" i="77"/>
  <c r="P14" i="77"/>
  <c r="O14" i="77"/>
  <c r="P13" i="77"/>
  <c r="O13" i="77"/>
  <c r="P12" i="77"/>
  <c r="O12" i="77"/>
  <c r="P11" i="77"/>
  <c r="O11" i="77"/>
  <c r="P10" i="77"/>
  <c r="O10" i="77"/>
  <c r="P9" i="77"/>
  <c r="O9" i="77"/>
  <c r="P8" i="77"/>
  <c r="O8" i="77"/>
  <c r="P7" i="77"/>
  <c r="O7" i="77"/>
  <c r="P6" i="77"/>
  <c r="O6" i="77"/>
  <c r="P5" i="77"/>
  <c r="O5" i="77"/>
  <c r="P1169" i="76"/>
  <c r="O1169" i="76"/>
  <c r="P1168" i="76"/>
  <c r="O1168" i="76"/>
  <c r="P1167" i="76"/>
  <c r="O1167" i="76"/>
  <c r="P1166" i="76"/>
  <c r="O1166" i="76"/>
  <c r="P1165" i="76"/>
  <c r="O1165" i="76"/>
  <c r="P1164" i="76"/>
  <c r="O1164" i="76"/>
  <c r="P1163" i="76"/>
  <c r="O1163" i="76"/>
  <c r="P1162" i="76"/>
  <c r="O1162" i="76"/>
  <c r="P1161" i="76"/>
  <c r="O1161" i="76"/>
  <c r="P1160" i="76"/>
  <c r="O1160" i="76"/>
  <c r="P1159" i="76"/>
  <c r="O1159" i="76"/>
  <c r="P1158" i="76"/>
  <c r="O1158" i="76"/>
  <c r="P1157" i="76"/>
  <c r="O1157" i="76"/>
  <c r="P1156" i="76"/>
  <c r="O1156" i="76"/>
  <c r="P1155" i="76"/>
  <c r="O1155" i="76"/>
  <c r="P1154" i="76"/>
  <c r="O1154" i="76"/>
  <c r="P1153" i="76"/>
  <c r="O1153" i="76"/>
  <c r="P1152" i="76"/>
  <c r="O1152" i="76"/>
  <c r="P1151" i="76"/>
  <c r="O1151" i="76"/>
  <c r="P1150" i="76"/>
  <c r="O1150" i="76"/>
  <c r="P1149" i="76"/>
  <c r="O1149" i="76"/>
  <c r="P1148" i="76"/>
  <c r="O1148" i="76"/>
  <c r="P1147" i="76"/>
  <c r="O1147" i="76"/>
  <c r="P1146" i="76"/>
  <c r="O1146" i="76"/>
  <c r="P1145" i="76"/>
  <c r="O1145" i="76"/>
  <c r="P1144" i="76"/>
  <c r="O1144" i="76"/>
  <c r="P1143" i="76"/>
  <c r="O1143" i="76"/>
  <c r="P1142" i="76"/>
  <c r="O1142" i="76"/>
  <c r="P1141" i="76"/>
  <c r="O1141" i="76"/>
  <c r="P1140" i="76"/>
  <c r="O1140" i="76"/>
  <c r="P1139" i="76"/>
  <c r="O1139" i="76"/>
  <c r="P1138" i="76"/>
  <c r="O1138" i="76"/>
  <c r="P1137" i="76"/>
  <c r="O1137" i="76"/>
  <c r="P1136" i="76"/>
  <c r="O1136" i="76"/>
  <c r="P1135" i="76"/>
  <c r="O1135" i="76"/>
  <c r="P1134" i="76"/>
  <c r="O1134" i="76"/>
  <c r="P1133" i="76"/>
  <c r="O1133" i="76"/>
  <c r="P1132" i="76"/>
  <c r="O1132" i="76"/>
  <c r="P1131" i="76"/>
  <c r="O1131" i="76"/>
  <c r="P1130" i="76"/>
  <c r="O1130" i="76"/>
  <c r="P1129" i="76"/>
  <c r="O1129" i="76"/>
  <c r="P1128" i="76"/>
  <c r="O1128" i="76"/>
  <c r="P1127" i="76"/>
  <c r="O1127" i="76"/>
  <c r="P1126" i="76"/>
  <c r="O1126" i="76"/>
  <c r="P1125" i="76"/>
  <c r="O1125" i="76"/>
  <c r="P1124" i="76"/>
  <c r="O1124" i="76"/>
  <c r="P1123" i="76"/>
  <c r="O1123" i="76"/>
  <c r="P1122" i="76"/>
  <c r="O1122" i="76"/>
  <c r="P1121" i="76"/>
  <c r="O1121" i="76"/>
  <c r="P1120" i="76"/>
  <c r="O1120" i="76"/>
  <c r="P1119" i="76"/>
  <c r="O1119" i="76"/>
  <c r="P1118" i="76"/>
  <c r="O1118" i="76"/>
  <c r="P1117" i="76"/>
  <c r="O1117" i="76"/>
  <c r="P1116" i="76"/>
  <c r="O1116" i="76"/>
  <c r="P1115" i="76"/>
  <c r="O1115" i="76"/>
  <c r="P1114" i="76"/>
  <c r="O1114" i="76"/>
  <c r="P1113" i="76"/>
  <c r="O1113" i="76"/>
  <c r="P1112" i="76"/>
  <c r="O1112" i="76"/>
  <c r="P1111" i="76"/>
  <c r="O1111" i="76"/>
  <c r="P1110" i="76"/>
  <c r="O1110" i="76"/>
  <c r="P1109" i="76"/>
  <c r="O1109" i="76"/>
  <c r="P1108" i="76"/>
  <c r="O1108" i="76"/>
  <c r="P1107" i="76"/>
  <c r="O1107" i="76"/>
  <c r="P1106" i="76"/>
  <c r="O1106" i="76"/>
  <c r="P1105" i="76"/>
  <c r="O1105" i="76"/>
  <c r="P1104" i="76"/>
  <c r="O1104" i="76"/>
  <c r="P1103" i="76"/>
  <c r="O1103" i="76"/>
  <c r="P1102" i="76"/>
  <c r="O1102" i="76"/>
  <c r="P1101" i="76"/>
  <c r="O1101" i="76"/>
  <c r="P1100" i="76"/>
  <c r="O1100" i="76"/>
  <c r="P1099" i="76"/>
  <c r="O1099" i="76"/>
  <c r="P1098" i="76"/>
  <c r="O1098" i="76"/>
  <c r="P1097" i="76"/>
  <c r="O1097" i="76"/>
  <c r="P1096" i="76"/>
  <c r="O1096" i="76"/>
  <c r="P1095" i="76"/>
  <c r="O1095" i="76"/>
  <c r="P1094" i="76"/>
  <c r="O1094" i="76"/>
  <c r="P1093" i="76"/>
  <c r="O1093" i="76"/>
  <c r="P1092" i="76"/>
  <c r="O1092" i="76"/>
  <c r="P1091" i="76"/>
  <c r="O1091" i="76"/>
  <c r="P1090" i="76"/>
  <c r="O1090" i="76"/>
  <c r="P1089" i="76"/>
  <c r="O1089" i="76"/>
  <c r="P1088" i="76"/>
  <c r="O1088" i="76"/>
  <c r="P1087" i="76"/>
  <c r="O1087" i="76"/>
  <c r="P1086" i="76"/>
  <c r="O1086" i="76"/>
  <c r="P1085" i="76"/>
  <c r="O1085" i="76"/>
  <c r="P1084" i="76"/>
  <c r="O1084" i="76"/>
  <c r="P1083" i="76"/>
  <c r="O1083" i="76"/>
  <c r="P1082" i="76"/>
  <c r="O1082" i="76"/>
  <c r="P1081" i="76"/>
  <c r="O1081" i="76"/>
  <c r="P1080" i="76"/>
  <c r="O1080" i="76"/>
  <c r="P1079" i="76"/>
  <c r="O1079" i="76"/>
  <c r="P1078" i="76"/>
  <c r="O1078" i="76"/>
  <c r="P1077" i="76"/>
  <c r="O1077" i="76"/>
  <c r="P1076" i="76"/>
  <c r="O1076" i="76"/>
  <c r="P1075" i="76"/>
  <c r="O1075" i="76"/>
  <c r="P1074" i="76"/>
  <c r="O1074" i="76"/>
  <c r="P1073" i="76"/>
  <c r="O1073" i="76"/>
  <c r="P1072" i="76"/>
  <c r="O1072" i="76"/>
  <c r="P1071" i="76"/>
  <c r="O1071" i="76"/>
  <c r="P1070" i="76"/>
  <c r="O1070" i="76"/>
  <c r="P1069" i="76"/>
  <c r="O1069" i="76"/>
  <c r="P1068" i="76"/>
  <c r="O1068" i="76"/>
  <c r="P1067" i="76"/>
  <c r="O1067" i="76"/>
  <c r="P1066" i="76"/>
  <c r="O1066" i="76"/>
  <c r="P1065" i="76"/>
  <c r="O1065" i="76"/>
  <c r="P1064" i="76"/>
  <c r="O1064" i="76"/>
  <c r="P1063" i="76"/>
  <c r="O1063" i="76"/>
  <c r="P1062" i="76"/>
  <c r="O1062" i="76"/>
  <c r="P1061" i="76"/>
  <c r="O1061" i="76"/>
  <c r="P1060" i="76"/>
  <c r="O1060" i="76"/>
  <c r="P1059" i="76"/>
  <c r="O1059" i="76"/>
  <c r="P1058" i="76"/>
  <c r="O1058" i="76"/>
  <c r="P1057" i="76"/>
  <c r="O1057" i="76"/>
  <c r="P1056" i="76"/>
  <c r="O1056" i="76"/>
  <c r="P1055" i="76"/>
  <c r="O1055" i="76"/>
  <c r="P1054" i="76"/>
  <c r="O1054" i="76"/>
  <c r="P1053" i="76"/>
  <c r="O1053" i="76"/>
  <c r="P1052" i="76"/>
  <c r="O1052" i="76"/>
  <c r="P1051" i="76"/>
  <c r="O1051" i="76"/>
  <c r="P1050" i="76"/>
  <c r="O1050" i="76"/>
  <c r="P1049" i="76"/>
  <c r="O1049" i="76"/>
  <c r="P1048" i="76"/>
  <c r="O1048" i="76"/>
  <c r="P1047" i="76"/>
  <c r="O1047" i="76"/>
  <c r="P1046" i="76"/>
  <c r="O1046" i="76"/>
  <c r="P1045" i="76"/>
  <c r="O1045" i="76"/>
  <c r="P1044" i="76"/>
  <c r="O1044" i="76"/>
  <c r="P1043" i="76"/>
  <c r="O1043" i="76"/>
  <c r="P1042" i="76"/>
  <c r="O1042" i="76"/>
  <c r="P1041" i="76"/>
  <c r="O1041" i="76"/>
  <c r="P1040" i="76"/>
  <c r="O1040" i="76"/>
  <c r="P1039" i="76"/>
  <c r="O1039" i="76"/>
  <c r="P1038" i="76"/>
  <c r="O1038" i="76"/>
  <c r="P1037" i="76"/>
  <c r="O1037" i="76"/>
  <c r="P1036" i="76"/>
  <c r="O1036" i="76"/>
  <c r="P1035" i="76"/>
  <c r="O1035" i="76"/>
  <c r="P1034" i="76"/>
  <c r="O1034" i="76"/>
  <c r="P1033" i="76"/>
  <c r="O1033" i="76"/>
  <c r="P1032" i="76"/>
  <c r="O1032" i="76"/>
  <c r="P1031" i="76"/>
  <c r="O1031" i="76"/>
  <c r="P1030" i="76"/>
  <c r="O1030" i="76"/>
  <c r="P1029" i="76"/>
  <c r="O1029" i="76"/>
  <c r="P1028" i="76"/>
  <c r="O1028" i="76"/>
  <c r="P1027" i="76"/>
  <c r="O1027" i="76"/>
  <c r="P1026" i="76"/>
  <c r="O1026" i="76"/>
  <c r="P1025" i="76"/>
  <c r="O1025" i="76"/>
  <c r="P1024" i="76"/>
  <c r="O1024" i="76"/>
  <c r="P1023" i="76"/>
  <c r="O1023" i="76"/>
  <c r="P1022" i="76"/>
  <c r="O1022" i="76"/>
  <c r="P1021" i="76"/>
  <c r="O1021" i="76"/>
  <c r="P1020" i="76"/>
  <c r="O1020" i="76"/>
  <c r="P1019" i="76"/>
  <c r="O1019" i="76"/>
  <c r="P1018" i="76"/>
  <c r="O1018" i="76"/>
  <c r="P1017" i="76"/>
  <c r="O1017" i="76"/>
  <c r="P1016" i="76"/>
  <c r="O1016" i="76"/>
  <c r="P1015" i="76"/>
  <c r="O1015" i="76"/>
  <c r="P1014" i="76"/>
  <c r="O1014" i="76"/>
  <c r="P1013" i="76"/>
  <c r="O1013" i="76"/>
  <c r="P1012" i="76"/>
  <c r="O1012" i="76"/>
  <c r="P1011" i="76"/>
  <c r="O1011" i="76"/>
  <c r="P1010" i="76"/>
  <c r="O1010" i="76"/>
  <c r="P1009" i="76"/>
  <c r="O1009" i="76"/>
  <c r="P1008" i="76"/>
  <c r="O1008" i="76"/>
  <c r="P1007" i="76"/>
  <c r="O1007" i="76"/>
  <c r="P1006" i="76"/>
  <c r="O1006" i="76"/>
  <c r="P1005" i="76"/>
  <c r="O1005" i="76"/>
  <c r="P1004" i="76"/>
  <c r="O1004" i="76"/>
  <c r="P1003" i="76"/>
  <c r="O1003" i="76"/>
  <c r="P1002" i="76"/>
  <c r="O1002" i="76"/>
  <c r="P1001" i="76"/>
  <c r="O1001" i="76"/>
  <c r="P1000" i="76"/>
  <c r="O1000" i="76"/>
  <c r="P999" i="76"/>
  <c r="O999" i="76"/>
  <c r="P998" i="76"/>
  <c r="O998" i="76"/>
  <c r="P997" i="76"/>
  <c r="O997" i="76"/>
  <c r="P996" i="76"/>
  <c r="O996" i="76"/>
  <c r="P995" i="76"/>
  <c r="O995" i="76"/>
  <c r="P994" i="76"/>
  <c r="O994" i="76"/>
  <c r="P993" i="76"/>
  <c r="O993" i="76"/>
  <c r="P992" i="76"/>
  <c r="O992" i="76"/>
  <c r="P991" i="76"/>
  <c r="O991" i="76"/>
  <c r="P990" i="76"/>
  <c r="O990" i="76"/>
  <c r="P989" i="76"/>
  <c r="O989" i="76"/>
  <c r="P988" i="76"/>
  <c r="O988" i="76"/>
  <c r="P987" i="76"/>
  <c r="O987" i="76"/>
  <c r="P986" i="76"/>
  <c r="O986" i="76"/>
  <c r="P985" i="76"/>
  <c r="O985" i="76"/>
  <c r="P984" i="76"/>
  <c r="O984" i="76"/>
  <c r="P983" i="76"/>
  <c r="O983" i="76"/>
  <c r="P982" i="76"/>
  <c r="O982" i="76"/>
  <c r="P981" i="76"/>
  <c r="O981" i="76"/>
  <c r="P980" i="76"/>
  <c r="O980" i="76"/>
  <c r="P979" i="76"/>
  <c r="O979" i="76"/>
  <c r="P978" i="76"/>
  <c r="O978" i="76"/>
  <c r="P977" i="76"/>
  <c r="O977" i="76"/>
  <c r="P976" i="76"/>
  <c r="O976" i="76"/>
  <c r="P975" i="76"/>
  <c r="O975" i="76"/>
  <c r="P974" i="76"/>
  <c r="O974" i="76"/>
  <c r="P973" i="76"/>
  <c r="O973" i="76"/>
  <c r="P972" i="76"/>
  <c r="O972" i="76"/>
  <c r="P971" i="76"/>
  <c r="O971" i="76"/>
  <c r="P970" i="76"/>
  <c r="O970" i="76"/>
  <c r="P969" i="76"/>
  <c r="O969" i="76"/>
  <c r="P968" i="76"/>
  <c r="O968" i="76"/>
  <c r="P967" i="76"/>
  <c r="O967" i="76"/>
  <c r="P966" i="76"/>
  <c r="O966" i="76"/>
  <c r="P965" i="76"/>
  <c r="O965" i="76"/>
  <c r="P964" i="76"/>
  <c r="O964" i="76"/>
  <c r="P963" i="76"/>
  <c r="O963" i="76"/>
  <c r="P962" i="76"/>
  <c r="O962" i="76"/>
  <c r="P961" i="76"/>
  <c r="O961" i="76"/>
  <c r="P960" i="76"/>
  <c r="O960" i="76"/>
  <c r="P959" i="76"/>
  <c r="O959" i="76"/>
  <c r="P958" i="76"/>
  <c r="O958" i="76"/>
  <c r="P957" i="76"/>
  <c r="O957" i="76"/>
  <c r="P956" i="76"/>
  <c r="O956" i="76"/>
  <c r="P955" i="76"/>
  <c r="O955" i="76"/>
  <c r="P954" i="76"/>
  <c r="O954" i="76"/>
  <c r="P953" i="76"/>
  <c r="O953" i="76"/>
  <c r="P952" i="76"/>
  <c r="O952" i="76"/>
  <c r="P951" i="76"/>
  <c r="O951" i="76"/>
  <c r="P950" i="76"/>
  <c r="O950" i="76"/>
  <c r="P949" i="76"/>
  <c r="O949" i="76"/>
  <c r="P948" i="76"/>
  <c r="O948" i="76"/>
  <c r="P947" i="76"/>
  <c r="O947" i="76"/>
  <c r="P946" i="76"/>
  <c r="O946" i="76"/>
  <c r="P945" i="76"/>
  <c r="O945" i="76"/>
  <c r="P944" i="76"/>
  <c r="O944" i="76"/>
  <c r="P943" i="76"/>
  <c r="O943" i="76"/>
  <c r="P942" i="76"/>
  <c r="O942" i="76"/>
  <c r="P941" i="76"/>
  <c r="O941" i="76"/>
  <c r="P940" i="76"/>
  <c r="O940" i="76"/>
  <c r="P939" i="76"/>
  <c r="O939" i="76"/>
  <c r="P938" i="76"/>
  <c r="O938" i="76"/>
  <c r="P937" i="76"/>
  <c r="O937" i="76"/>
  <c r="P936" i="76"/>
  <c r="O936" i="76"/>
  <c r="P935" i="76"/>
  <c r="O935" i="76"/>
  <c r="P934" i="76"/>
  <c r="O934" i="76"/>
  <c r="P933" i="76"/>
  <c r="O933" i="76"/>
  <c r="P932" i="76"/>
  <c r="O932" i="76"/>
  <c r="P931" i="76"/>
  <c r="O931" i="76"/>
  <c r="P930" i="76"/>
  <c r="O930" i="76"/>
  <c r="P929" i="76"/>
  <c r="O929" i="76"/>
  <c r="P928" i="76"/>
  <c r="O928" i="76"/>
  <c r="P927" i="76"/>
  <c r="O927" i="76"/>
  <c r="P926" i="76"/>
  <c r="O926" i="76"/>
  <c r="P925" i="76"/>
  <c r="O925" i="76"/>
  <c r="P924" i="76"/>
  <c r="O924" i="76"/>
  <c r="P923" i="76"/>
  <c r="O923" i="76"/>
  <c r="P922" i="76"/>
  <c r="O922" i="76"/>
  <c r="P921" i="76"/>
  <c r="O921" i="76"/>
  <c r="P920" i="76"/>
  <c r="O920" i="76"/>
  <c r="P919" i="76"/>
  <c r="O919" i="76"/>
  <c r="P918" i="76"/>
  <c r="O918" i="76"/>
  <c r="P917" i="76"/>
  <c r="O917" i="76"/>
  <c r="P916" i="76"/>
  <c r="O916" i="76"/>
  <c r="P915" i="76"/>
  <c r="O915" i="76"/>
  <c r="P914" i="76"/>
  <c r="O914" i="76"/>
  <c r="P913" i="76"/>
  <c r="O913" i="76"/>
  <c r="P912" i="76"/>
  <c r="O912" i="76"/>
  <c r="P911" i="76"/>
  <c r="O911" i="76"/>
  <c r="P910" i="76"/>
  <c r="O910" i="76"/>
  <c r="P909" i="76"/>
  <c r="O909" i="76"/>
  <c r="P908" i="76"/>
  <c r="O908" i="76"/>
  <c r="P907" i="76"/>
  <c r="O907" i="76"/>
  <c r="P906" i="76"/>
  <c r="O906" i="76"/>
  <c r="P905" i="76"/>
  <c r="O905" i="76"/>
  <c r="P904" i="76"/>
  <c r="O904" i="76"/>
  <c r="P903" i="76"/>
  <c r="O903" i="76"/>
  <c r="P902" i="76"/>
  <c r="O902" i="76"/>
  <c r="P901" i="76"/>
  <c r="O901" i="76"/>
  <c r="P900" i="76"/>
  <c r="O900" i="76"/>
  <c r="P899" i="76"/>
  <c r="O899" i="76"/>
  <c r="P898" i="76"/>
  <c r="O898" i="76"/>
  <c r="P897" i="76"/>
  <c r="O897" i="76"/>
  <c r="P896" i="76"/>
  <c r="O896" i="76"/>
  <c r="P895" i="76"/>
  <c r="O895" i="76"/>
  <c r="P894" i="76"/>
  <c r="O894" i="76"/>
  <c r="P893" i="76"/>
  <c r="O893" i="76"/>
  <c r="P892" i="76"/>
  <c r="O892" i="76"/>
  <c r="P891" i="76"/>
  <c r="O891" i="76"/>
  <c r="P890" i="76"/>
  <c r="O890" i="76"/>
  <c r="P889" i="76"/>
  <c r="O889" i="76"/>
  <c r="P888" i="76"/>
  <c r="O888" i="76"/>
  <c r="P887" i="76"/>
  <c r="O887" i="76"/>
  <c r="P886" i="76"/>
  <c r="O886" i="76"/>
  <c r="P885" i="76"/>
  <c r="O885" i="76"/>
  <c r="P884" i="76"/>
  <c r="O884" i="76"/>
  <c r="P883" i="76"/>
  <c r="O883" i="76"/>
  <c r="P882" i="76"/>
  <c r="O882" i="76"/>
  <c r="P881" i="76"/>
  <c r="O881" i="76"/>
  <c r="P880" i="76"/>
  <c r="O880" i="76"/>
  <c r="P879" i="76"/>
  <c r="O879" i="76"/>
  <c r="P878" i="76"/>
  <c r="O878" i="76"/>
  <c r="P877" i="76"/>
  <c r="O877" i="76"/>
  <c r="P876" i="76"/>
  <c r="O876" i="76"/>
  <c r="P875" i="76"/>
  <c r="O875" i="76"/>
  <c r="P874" i="76"/>
  <c r="O874" i="76"/>
  <c r="P873" i="76"/>
  <c r="O873" i="76"/>
  <c r="P872" i="76"/>
  <c r="O872" i="76"/>
  <c r="P871" i="76"/>
  <c r="O871" i="76"/>
  <c r="P870" i="76"/>
  <c r="O870" i="76"/>
  <c r="P869" i="76"/>
  <c r="O869" i="76"/>
  <c r="P868" i="76"/>
  <c r="O868" i="76"/>
  <c r="P867" i="76"/>
  <c r="O867" i="76"/>
  <c r="P866" i="76"/>
  <c r="O866" i="76"/>
  <c r="P865" i="76"/>
  <c r="O865" i="76"/>
  <c r="P864" i="76"/>
  <c r="O864" i="76"/>
  <c r="P863" i="76"/>
  <c r="O863" i="76"/>
  <c r="P862" i="76"/>
  <c r="O862" i="76"/>
  <c r="P861" i="76"/>
  <c r="O861" i="76"/>
  <c r="P860" i="76"/>
  <c r="O860" i="76"/>
  <c r="P859" i="76"/>
  <c r="O859" i="76"/>
  <c r="P858" i="76"/>
  <c r="O858" i="76"/>
  <c r="P857" i="76"/>
  <c r="O857" i="76"/>
  <c r="P856" i="76"/>
  <c r="O856" i="76"/>
  <c r="P855" i="76"/>
  <c r="O855" i="76"/>
  <c r="P854" i="76"/>
  <c r="O854" i="76"/>
  <c r="P853" i="76"/>
  <c r="O853" i="76"/>
  <c r="P852" i="76"/>
  <c r="O852" i="76"/>
  <c r="P851" i="76"/>
  <c r="O851" i="76"/>
  <c r="P850" i="76"/>
  <c r="O850" i="76"/>
  <c r="P849" i="76"/>
  <c r="O849" i="76"/>
  <c r="P848" i="76"/>
  <c r="O848" i="76"/>
  <c r="P847" i="76"/>
  <c r="O847" i="76"/>
  <c r="P846" i="76"/>
  <c r="O846" i="76"/>
  <c r="P845" i="76"/>
  <c r="O845" i="76"/>
  <c r="P844" i="76"/>
  <c r="O844" i="76"/>
  <c r="P843" i="76"/>
  <c r="O843" i="76"/>
  <c r="P842" i="76"/>
  <c r="O842" i="76"/>
  <c r="P841" i="76"/>
  <c r="O841" i="76"/>
  <c r="P840" i="76"/>
  <c r="O840" i="76"/>
  <c r="P839" i="76"/>
  <c r="O839" i="76"/>
  <c r="P838" i="76"/>
  <c r="O838" i="76"/>
  <c r="P837" i="76"/>
  <c r="O837" i="76"/>
  <c r="P836" i="76"/>
  <c r="O836" i="76"/>
  <c r="P835" i="76"/>
  <c r="O835" i="76"/>
  <c r="P834" i="76"/>
  <c r="O834" i="76"/>
  <c r="P833" i="76"/>
  <c r="O833" i="76"/>
  <c r="P832" i="76"/>
  <c r="O832" i="76"/>
  <c r="P831" i="76"/>
  <c r="O831" i="76"/>
  <c r="P830" i="76"/>
  <c r="O830" i="76"/>
  <c r="P829" i="76"/>
  <c r="O829" i="76"/>
  <c r="P828" i="76"/>
  <c r="O828" i="76"/>
  <c r="P827" i="76"/>
  <c r="O827" i="76"/>
  <c r="P826" i="76"/>
  <c r="O826" i="76"/>
  <c r="P825" i="76"/>
  <c r="O825" i="76"/>
  <c r="P824" i="76"/>
  <c r="O824" i="76"/>
  <c r="P823" i="76"/>
  <c r="O823" i="76"/>
  <c r="P822" i="76"/>
  <c r="O822" i="76"/>
  <c r="P821" i="76"/>
  <c r="O821" i="76"/>
  <c r="P820" i="76"/>
  <c r="O820" i="76"/>
  <c r="P819" i="76"/>
  <c r="O819" i="76"/>
  <c r="P818" i="76"/>
  <c r="O818" i="76"/>
  <c r="P817" i="76"/>
  <c r="O817" i="76"/>
  <c r="P816" i="76"/>
  <c r="O816" i="76"/>
  <c r="P815" i="76"/>
  <c r="O815" i="76"/>
  <c r="P814" i="76"/>
  <c r="O814" i="76"/>
  <c r="P813" i="76"/>
  <c r="O813" i="76"/>
  <c r="P812" i="76"/>
  <c r="O812" i="76"/>
  <c r="P811" i="76"/>
  <c r="O811" i="76"/>
  <c r="P810" i="76"/>
  <c r="O810" i="76"/>
  <c r="P809" i="76"/>
  <c r="O809" i="76"/>
  <c r="P808" i="76"/>
  <c r="O808" i="76"/>
  <c r="P807" i="76"/>
  <c r="O807" i="76"/>
  <c r="P806" i="76"/>
  <c r="O806" i="76"/>
  <c r="P805" i="76"/>
  <c r="O805" i="76"/>
  <c r="P804" i="76"/>
  <c r="O804" i="76"/>
  <c r="P803" i="76"/>
  <c r="O803" i="76"/>
  <c r="P802" i="76"/>
  <c r="O802" i="76"/>
  <c r="P801" i="76"/>
  <c r="O801" i="76"/>
  <c r="P800" i="76"/>
  <c r="O800" i="76"/>
  <c r="P799" i="76"/>
  <c r="O799" i="76"/>
  <c r="P798" i="76"/>
  <c r="O798" i="76"/>
  <c r="P797" i="76"/>
  <c r="O797" i="76"/>
  <c r="P796" i="76"/>
  <c r="O796" i="76"/>
  <c r="P795" i="76"/>
  <c r="O795" i="76"/>
  <c r="P794" i="76"/>
  <c r="O794" i="76"/>
  <c r="P793" i="76"/>
  <c r="O793" i="76"/>
  <c r="P792" i="76"/>
  <c r="O792" i="76"/>
  <c r="P791" i="76"/>
  <c r="O791" i="76"/>
  <c r="P790" i="76"/>
  <c r="O790" i="76"/>
  <c r="P789" i="76"/>
  <c r="O789" i="76"/>
  <c r="P788" i="76"/>
  <c r="O788" i="76"/>
  <c r="P787" i="76"/>
  <c r="O787" i="76"/>
  <c r="P786" i="76"/>
  <c r="O786" i="76"/>
  <c r="P785" i="76"/>
  <c r="O785" i="76"/>
  <c r="P784" i="76"/>
  <c r="O784" i="76"/>
  <c r="P783" i="76"/>
  <c r="O783" i="76"/>
  <c r="P782" i="76"/>
  <c r="O782" i="76"/>
  <c r="P781" i="76"/>
  <c r="O781" i="76"/>
  <c r="P780" i="76"/>
  <c r="O780" i="76"/>
  <c r="P779" i="76"/>
  <c r="O779" i="76"/>
  <c r="P778" i="76"/>
  <c r="O778" i="76"/>
  <c r="P777" i="76"/>
  <c r="O777" i="76"/>
  <c r="P776" i="76"/>
  <c r="O776" i="76"/>
  <c r="P775" i="76"/>
  <c r="O775" i="76"/>
  <c r="P774" i="76"/>
  <c r="O774" i="76"/>
  <c r="P773" i="76"/>
  <c r="O773" i="76"/>
  <c r="P772" i="76"/>
  <c r="O772" i="76"/>
  <c r="P771" i="76"/>
  <c r="O771" i="76"/>
  <c r="P770" i="76"/>
  <c r="O770" i="76"/>
  <c r="P769" i="76"/>
  <c r="O769" i="76"/>
  <c r="P768" i="76"/>
  <c r="O768" i="76"/>
  <c r="P767" i="76"/>
  <c r="O767" i="76"/>
  <c r="P766" i="76"/>
  <c r="O766" i="76"/>
  <c r="P765" i="76"/>
  <c r="O765" i="76"/>
  <c r="P764" i="76"/>
  <c r="O764" i="76"/>
  <c r="P763" i="76"/>
  <c r="O763" i="76"/>
  <c r="P762" i="76"/>
  <c r="O762" i="76"/>
  <c r="P761" i="76"/>
  <c r="O761" i="76"/>
  <c r="P760" i="76"/>
  <c r="O760" i="76"/>
  <c r="P759" i="76"/>
  <c r="O759" i="76"/>
  <c r="P758" i="76"/>
  <c r="O758" i="76"/>
  <c r="P757" i="76"/>
  <c r="O757" i="76"/>
  <c r="P756" i="76"/>
  <c r="O756" i="76"/>
  <c r="P755" i="76"/>
  <c r="O755" i="76"/>
  <c r="P754" i="76"/>
  <c r="O754" i="76"/>
  <c r="P753" i="76"/>
  <c r="O753" i="76"/>
  <c r="P752" i="76"/>
  <c r="O752" i="76"/>
  <c r="P751" i="76"/>
  <c r="O751" i="76"/>
  <c r="P750" i="76"/>
  <c r="O750" i="76"/>
  <c r="P749" i="76"/>
  <c r="O749" i="76"/>
  <c r="P748" i="76"/>
  <c r="O748" i="76"/>
  <c r="P747" i="76"/>
  <c r="O747" i="76"/>
  <c r="P746" i="76"/>
  <c r="O746" i="76"/>
  <c r="P745" i="76"/>
  <c r="O745" i="76"/>
  <c r="P744" i="76"/>
  <c r="O744" i="76"/>
  <c r="P743" i="76"/>
  <c r="O743" i="76"/>
  <c r="P742" i="76"/>
  <c r="O742" i="76"/>
  <c r="P741" i="76"/>
  <c r="O741" i="76"/>
  <c r="P740" i="76"/>
  <c r="O740" i="76"/>
  <c r="P739" i="76"/>
  <c r="O739" i="76"/>
  <c r="P738" i="76"/>
  <c r="O738" i="76"/>
  <c r="P737" i="76"/>
  <c r="O737" i="76"/>
  <c r="P736" i="76"/>
  <c r="O736" i="76"/>
  <c r="P735" i="76"/>
  <c r="O735" i="76"/>
  <c r="P734" i="76"/>
  <c r="O734" i="76"/>
  <c r="P733" i="76"/>
  <c r="O733" i="76"/>
  <c r="P732" i="76"/>
  <c r="O732" i="76"/>
  <c r="P731" i="76"/>
  <c r="O731" i="76"/>
  <c r="P730" i="76"/>
  <c r="O730" i="76"/>
  <c r="P729" i="76"/>
  <c r="O729" i="76"/>
  <c r="P728" i="76"/>
  <c r="O728" i="76"/>
  <c r="P727" i="76"/>
  <c r="O727" i="76"/>
  <c r="P726" i="76"/>
  <c r="O726" i="76"/>
  <c r="P725" i="76"/>
  <c r="O725" i="76"/>
  <c r="P724" i="76"/>
  <c r="O724" i="76"/>
  <c r="P723" i="76"/>
  <c r="O723" i="76"/>
  <c r="P722" i="76"/>
  <c r="O722" i="76"/>
  <c r="P721" i="76"/>
  <c r="O721" i="76"/>
  <c r="P720" i="76"/>
  <c r="O720" i="76"/>
  <c r="P719" i="76"/>
  <c r="O719" i="76"/>
  <c r="P718" i="76"/>
  <c r="O718" i="76"/>
  <c r="P717" i="76"/>
  <c r="O717" i="76"/>
  <c r="P716" i="76"/>
  <c r="O716" i="76"/>
  <c r="P715" i="76"/>
  <c r="O715" i="76"/>
  <c r="P714" i="76"/>
  <c r="O714" i="76"/>
  <c r="P713" i="76"/>
  <c r="O713" i="76"/>
  <c r="P712" i="76"/>
  <c r="O712" i="76"/>
  <c r="P711" i="76"/>
  <c r="O711" i="76"/>
  <c r="P710" i="76"/>
  <c r="O710" i="76"/>
  <c r="P709" i="76"/>
  <c r="O709" i="76"/>
  <c r="P708" i="76"/>
  <c r="O708" i="76"/>
  <c r="P707" i="76"/>
  <c r="O707" i="76"/>
  <c r="P706" i="76"/>
  <c r="O706" i="76"/>
  <c r="P705" i="76"/>
  <c r="O705" i="76"/>
  <c r="P704" i="76"/>
  <c r="O704" i="76"/>
  <c r="P703" i="76"/>
  <c r="O703" i="76"/>
  <c r="P702" i="76"/>
  <c r="O702" i="76"/>
  <c r="P701" i="76"/>
  <c r="O701" i="76"/>
  <c r="P700" i="76"/>
  <c r="O700" i="76"/>
  <c r="P699" i="76"/>
  <c r="O699" i="76"/>
  <c r="P698" i="76"/>
  <c r="O698" i="76"/>
  <c r="P697" i="76"/>
  <c r="O697" i="76"/>
  <c r="P696" i="76"/>
  <c r="O696" i="76"/>
  <c r="P695" i="76"/>
  <c r="O695" i="76"/>
  <c r="P694" i="76"/>
  <c r="O694" i="76"/>
  <c r="P693" i="76"/>
  <c r="O693" i="76"/>
  <c r="P692" i="76"/>
  <c r="O692" i="76"/>
  <c r="P691" i="76"/>
  <c r="O691" i="76"/>
  <c r="P690" i="76"/>
  <c r="O690" i="76"/>
  <c r="P689" i="76"/>
  <c r="O689" i="76"/>
  <c r="P688" i="76"/>
  <c r="O688" i="76"/>
  <c r="P687" i="76"/>
  <c r="O687" i="76"/>
  <c r="P686" i="76"/>
  <c r="O686" i="76"/>
  <c r="P685" i="76"/>
  <c r="O685" i="76"/>
  <c r="P684" i="76"/>
  <c r="O684" i="76"/>
  <c r="P683" i="76"/>
  <c r="O683" i="76"/>
  <c r="P682" i="76"/>
  <c r="O682" i="76"/>
  <c r="P681" i="76"/>
  <c r="O681" i="76"/>
  <c r="P680" i="76"/>
  <c r="O680" i="76"/>
  <c r="P679" i="76"/>
  <c r="O679" i="76"/>
  <c r="P678" i="76"/>
  <c r="O678" i="76"/>
  <c r="P677" i="76"/>
  <c r="O677" i="76"/>
  <c r="P676" i="76"/>
  <c r="O676" i="76"/>
  <c r="P675" i="76"/>
  <c r="O675" i="76"/>
  <c r="P674" i="76"/>
  <c r="O674" i="76"/>
  <c r="P673" i="76"/>
  <c r="O673" i="76"/>
  <c r="P672" i="76"/>
  <c r="O672" i="76"/>
  <c r="P671" i="76"/>
  <c r="O671" i="76"/>
  <c r="P670" i="76"/>
  <c r="O670" i="76"/>
  <c r="P669" i="76"/>
  <c r="O669" i="76"/>
  <c r="P668" i="76"/>
  <c r="O668" i="76"/>
  <c r="P667" i="76"/>
  <c r="O667" i="76"/>
  <c r="P666" i="76"/>
  <c r="O666" i="76"/>
  <c r="P665" i="76"/>
  <c r="O665" i="76"/>
  <c r="P664" i="76"/>
  <c r="O664" i="76"/>
  <c r="P663" i="76"/>
  <c r="O663" i="76"/>
  <c r="P662" i="76"/>
  <c r="O662" i="76"/>
  <c r="P661" i="76"/>
  <c r="O661" i="76"/>
  <c r="P660" i="76"/>
  <c r="O660" i="76"/>
  <c r="P659" i="76"/>
  <c r="O659" i="76"/>
  <c r="P658" i="76"/>
  <c r="O658" i="76"/>
  <c r="P657" i="76"/>
  <c r="O657" i="76"/>
  <c r="P656" i="76"/>
  <c r="O656" i="76"/>
  <c r="P655" i="76"/>
  <c r="O655" i="76"/>
  <c r="P654" i="76"/>
  <c r="O654" i="76"/>
  <c r="P653" i="76"/>
  <c r="O653" i="76"/>
  <c r="P652" i="76"/>
  <c r="O652" i="76"/>
  <c r="P651" i="76"/>
  <c r="O651" i="76"/>
  <c r="P650" i="76"/>
  <c r="O650" i="76"/>
  <c r="P649" i="76"/>
  <c r="O649" i="76"/>
  <c r="P648" i="76"/>
  <c r="O648" i="76"/>
  <c r="P647" i="76"/>
  <c r="O647" i="76"/>
  <c r="P646" i="76"/>
  <c r="O646" i="76"/>
  <c r="P645" i="76"/>
  <c r="O645" i="76"/>
  <c r="P644" i="76"/>
  <c r="O644" i="76"/>
  <c r="P643" i="76"/>
  <c r="O643" i="76"/>
  <c r="P642" i="76"/>
  <c r="O642" i="76"/>
  <c r="P641" i="76"/>
  <c r="O641" i="76"/>
  <c r="P640" i="76"/>
  <c r="O640" i="76"/>
  <c r="P639" i="76"/>
  <c r="O639" i="76"/>
  <c r="P638" i="76"/>
  <c r="O638" i="76"/>
  <c r="P637" i="76"/>
  <c r="O637" i="76"/>
  <c r="P636" i="76"/>
  <c r="O636" i="76"/>
  <c r="P635" i="76"/>
  <c r="O635" i="76"/>
  <c r="P634" i="76"/>
  <c r="O634" i="76"/>
  <c r="P633" i="76"/>
  <c r="O633" i="76"/>
  <c r="P632" i="76"/>
  <c r="O632" i="76"/>
  <c r="P631" i="76"/>
  <c r="O631" i="76"/>
  <c r="P630" i="76"/>
  <c r="O630" i="76"/>
  <c r="P629" i="76"/>
  <c r="O629" i="76"/>
  <c r="P628" i="76"/>
  <c r="O628" i="76"/>
  <c r="P627" i="76"/>
  <c r="O627" i="76"/>
  <c r="P626" i="76"/>
  <c r="O626" i="76"/>
  <c r="P625" i="76"/>
  <c r="O625" i="76"/>
  <c r="P624" i="76"/>
  <c r="O624" i="76"/>
  <c r="P623" i="76"/>
  <c r="O623" i="76"/>
  <c r="P622" i="76"/>
  <c r="O622" i="76"/>
  <c r="P621" i="76"/>
  <c r="O621" i="76"/>
  <c r="P620" i="76"/>
  <c r="O620" i="76"/>
  <c r="P619" i="76"/>
  <c r="O619" i="76"/>
  <c r="P618" i="76"/>
  <c r="O618" i="76"/>
  <c r="P617" i="76"/>
  <c r="O617" i="76"/>
  <c r="P616" i="76"/>
  <c r="O616" i="76"/>
  <c r="P615" i="76"/>
  <c r="O615" i="76"/>
  <c r="P614" i="76"/>
  <c r="O614" i="76"/>
  <c r="P613" i="76"/>
  <c r="O613" i="76"/>
  <c r="P612" i="76"/>
  <c r="O612" i="76"/>
  <c r="P611" i="76"/>
  <c r="O611" i="76"/>
  <c r="P610" i="76"/>
  <c r="O610" i="76"/>
  <c r="P609" i="76"/>
  <c r="O609" i="76"/>
  <c r="P608" i="76"/>
  <c r="O608" i="76"/>
  <c r="P607" i="76"/>
  <c r="O607" i="76"/>
  <c r="P606" i="76"/>
  <c r="O606" i="76"/>
  <c r="P605" i="76"/>
  <c r="O605" i="76"/>
  <c r="P604" i="76"/>
  <c r="O604" i="76"/>
  <c r="P603" i="76"/>
  <c r="O603" i="76"/>
  <c r="P602" i="76"/>
  <c r="O602" i="76"/>
  <c r="P601" i="76"/>
  <c r="O601" i="76"/>
  <c r="P600" i="76"/>
  <c r="O600" i="76"/>
  <c r="P599" i="76"/>
  <c r="O599" i="76"/>
  <c r="P598" i="76"/>
  <c r="O598" i="76"/>
  <c r="P597" i="76"/>
  <c r="O597" i="76"/>
  <c r="P596" i="76"/>
  <c r="O596" i="76"/>
  <c r="P595" i="76"/>
  <c r="O595" i="76"/>
  <c r="P594" i="76"/>
  <c r="O594" i="76"/>
  <c r="P593" i="76"/>
  <c r="O593" i="76"/>
  <c r="P592" i="76"/>
  <c r="O592" i="76"/>
  <c r="P591" i="76"/>
  <c r="O591" i="76"/>
  <c r="P590" i="76"/>
  <c r="O590" i="76"/>
  <c r="P589" i="76"/>
  <c r="O589" i="76"/>
  <c r="P588" i="76"/>
  <c r="O588" i="76"/>
  <c r="P587" i="76"/>
  <c r="O587" i="76"/>
  <c r="P586" i="76"/>
  <c r="O586" i="76"/>
  <c r="P585" i="76"/>
  <c r="O585" i="76"/>
  <c r="P584" i="76"/>
  <c r="O584" i="76"/>
  <c r="P583" i="76"/>
  <c r="O583" i="76"/>
  <c r="P582" i="76"/>
  <c r="O582" i="76"/>
  <c r="P581" i="76"/>
  <c r="O581" i="76"/>
  <c r="P580" i="76"/>
  <c r="O580" i="76"/>
  <c r="P579" i="76"/>
  <c r="O579" i="76"/>
  <c r="P578" i="76"/>
  <c r="O578" i="76"/>
  <c r="P577" i="76"/>
  <c r="O577" i="76"/>
  <c r="P576" i="76"/>
  <c r="O576" i="76"/>
  <c r="P575" i="76"/>
  <c r="O575" i="76"/>
  <c r="P574" i="76"/>
  <c r="O574" i="76"/>
  <c r="P573" i="76"/>
  <c r="O573" i="76"/>
  <c r="P572" i="76"/>
  <c r="O572" i="76"/>
  <c r="P571" i="76"/>
  <c r="O571" i="76"/>
  <c r="P570" i="76"/>
  <c r="O570" i="76"/>
  <c r="P569" i="76"/>
  <c r="O569" i="76"/>
  <c r="P568" i="76"/>
  <c r="O568" i="76"/>
  <c r="P567" i="76"/>
  <c r="O567" i="76"/>
  <c r="P566" i="76"/>
  <c r="O566" i="76"/>
  <c r="P565" i="76"/>
  <c r="O565" i="76"/>
  <c r="P564" i="76"/>
  <c r="O564" i="76"/>
  <c r="P563" i="76"/>
  <c r="O563" i="76"/>
  <c r="P562" i="76"/>
  <c r="O562" i="76"/>
  <c r="P561" i="76"/>
  <c r="O561" i="76"/>
  <c r="P560" i="76"/>
  <c r="O560" i="76"/>
  <c r="P559" i="76"/>
  <c r="O559" i="76"/>
  <c r="P558" i="76"/>
  <c r="O558" i="76"/>
  <c r="P557" i="76"/>
  <c r="O557" i="76"/>
  <c r="P556" i="76"/>
  <c r="O556" i="76"/>
  <c r="P555" i="76"/>
  <c r="O555" i="76"/>
  <c r="P554" i="76"/>
  <c r="O554" i="76"/>
  <c r="P553" i="76"/>
  <c r="O553" i="76"/>
  <c r="P552" i="76"/>
  <c r="O552" i="76"/>
  <c r="P551" i="76"/>
  <c r="O551" i="76"/>
  <c r="P550" i="76"/>
  <c r="O550" i="76"/>
  <c r="P549" i="76"/>
  <c r="O549" i="76"/>
  <c r="P548" i="76"/>
  <c r="O548" i="76"/>
  <c r="P547" i="76"/>
  <c r="O547" i="76"/>
  <c r="P546" i="76"/>
  <c r="O546" i="76"/>
  <c r="P545" i="76"/>
  <c r="O545" i="76"/>
  <c r="P544" i="76"/>
  <c r="O544" i="76"/>
  <c r="P543" i="76"/>
  <c r="O543" i="76"/>
  <c r="P542" i="76"/>
  <c r="O542" i="76"/>
  <c r="P541" i="76"/>
  <c r="O541" i="76"/>
  <c r="P540" i="76"/>
  <c r="O540" i="76"/>
  <c r="P539" i="76"/>
  <c r="O539" i="76"/>
  <c r="P538" i="76"/>
  <c r="O538" i="76"/>
  <c r="P537" i="76"/>
  <c r="O537" i="76"/>
  <c r="P536" i="76"/>
  <c r="O536" i="76"/>
  <c r="P535" i="76"/>
  <c r="O535" i="76"/>
  <c r="P534" i="76"/>
  <c r="O534" i="76"/>
  <c r="P533" i="76"/>
  <c r="O533" i="76"/>
  <c r="P532" i="76"/>
  <c r="O532" i="76"/>
  <c r="P531" i="76"/>
  <c r="O531" i="76"/>
  <c r="P530" i="76"/>
  <c r="O530" i="76"/>
  <c r="P529" i="76"/>
  <c r="O529" i="76"/>
  <c r="P528" i="76"/>
  <c r="O528" i="76"/>
  <c r="P527" i="76"/>
  <c r="O527" i="76"/>
  <c r="P526" i="76"/>
  <c r="O526" i="76"/>
  <c r="P525" i="76"/>
  <c r="O525" i="76"/>
  <c r="P524" i="76"/>
  <c r="O524" i="76"/>
  <c r="P523" i="76"/>
  <c r="O523" i="76"/>
  <c r="P522" i="76"/>
  <c r="O522" i="76"/>
  <c r="P521" i="76"/>
  <c r="O521" i="76"/>
  <c r="P520" i="76"/>
  <c r="O520" i="76"/>
  <c r="P519" i="76"/>
  <c r="O519" i="76"/>
  <c r="P518" i="76"/>
  <c r="O518" i="76"/>
  <c r="P517" i="76"/>
  <c r="O517" i="76"/>
  <c r="P516" i="76"/>
  <c r="O516" i="76"/>
  <c r="P515" i="76"/>
  <c r="O515" i="76"/>
  <c r="P514" i="76"/>
  <c r="O514" i="76"/>
  <c r="P513" i="76"/>
  <c r="O513" i="76"/>
  <c r="P512" i="76"/>
  <c r="O512" i="76"/>
  <c r="P511" i="76"/>
  <c r="O511" i="76"/>
  <c r="P510" i="76"/>
  <c r="O510" i="76"/>
  <c r="P509" i="76"/>
  <c r="O509" i="76"/>
  <c r="P508" i="76"/>
  <c r="O508" i="76"/>
  <c r="P507" i="76"/>
  <c r="O507" i="76"/>
  <c r="P506" i="76"/>
  <c r="O506" i="76"/>
  <c r="P505" i="76"/>
  <c r="O505" i="76"/>
  <c r="P504" i="76"/>
  <c r="O504" i="76"/>
  <c r="P503" i="76"/>
  <c r="O503" i="76"/>
  <c r="P502" i="76"/>
  <c r="O502" i="76"/>
  <c r="P501" i="76"/>
  <c r="O501" i="76"/>
  <c r="P500" i="76"/>
  <c r="O500" i="76"/>
  <c r="P499" i="76"/>
  <c r="O499" i="76"/>
  <c r="P498" i="76"/>
  <c r="O498" i="76"/>
  <c r="P497" i="76"/>
  <c r="O497" i="76"/>
  <c r="P496" i="76"/>
  <c r="O496" i="76"/>
  <c r="P495" i="76"/>
  <c r="O495" i="76"/>
  <c r="P494" i="76"/>
  <c r="O494" i="76"/>
  <c r="P493" i="76"/>
  <c r="O493" i="76"/>
  <c r="P492" i="76"/>
  <c r="O492" i="76"/>
  <c r="P491" i="76"/>
  <c r="O491" i="76"/>
  <c r="P490" i="76"/>
  <c r="O490" i="76"/>
  <c r="P489" i="76"/>
  <c r="O489" i="76"/>
  <c r="P488" i="76"/>
  <c r="O488" i="76"/>
  <c r="P487" i="76"/>
  <c r="O487" i="76"/>
  <c r="P486" i="76"/>
  <c r="O486" i="76"/>
  <c r="P485" i="76"/>
  <c r="O485" i="76"/>
  <c r="P484" i="76"/>
  <c r="O484" i="76"/>
  <c r="P483" i="76"/>
  <c r="O483" i="76"/>
  <c r="P482" i="76"/>
  <c r="O482" i="76"/>
  <c r="P481" i="76"/>
  <c r="O481" i="76"/>
  <c r="P480" i="76"/>
  <c r="O480" i="76"/>
  <c r="P479" i="76"/>
  <c r="O479" i="76"/>
  <c r="P478" i="76"/>
  <c r="O478" i="76"/>
  <c r="P477" i="76"/>
  <c r="O477" i="76"/>
  <c r="P476" i="76"/>
  <c r="O476" i="76"/>
  <c r="P475" i="76"/>
  <c r="O475" i="76"/>
  <c r="P474" i="76"/>
  <c r="O474" i="76"/>
  <c r="P473" i="76"/>
  <c r="O473" i="76"/>
  <c r="P472" i="76"/>
  <c r="O472" i="76"/>
  <c r="P471" i="76"/>
  <c r="O471" i="76"/>
  <c r="P470" i="76"/>
  <c r="O470" i="76"/>
  <c r="P469" i="76"/>
  <c r="O469" i="76"/>
  <c r="P468" i="76"/>
  <c r="O468" i="76"/>
  <c r="P467" i="76"/>
  <c r="O467" i="76"/>
  <c r="P466" i="76"/>
  <c r="O466" i="76"/>
  <c r="P465" i="76"/>
  <c r="O465" i="76"/>
  <c r="P464" i="76"/>
  <c r="O464" i="76"/>
  <c r="P463" i="76"/>
  <c r="O463" i="76"/>
  <c r="P462" i="76"/>
  <c r="O462" i="76"/>
  <c r="P461" i="76"/>
  <c r="O461" i="76"/>
  <c r="P460" i="76"/>
  <c r="O460" i="76"/>
  <c r="P459" i="76"/>
  <c r="O459" i="76"/>
  <c r="P458" i="76"/>
  <c r="O458" i="76"/>
  <c r="P457" i="76"/>
  <c r="O457" i="76"/>
  <c r="P456" i="76"/>
  <c r="O456" i="76"/>
  <c r="P455" i="76"/>
  <c r="O455" i="76"/>
  <c r="P454" i="76"/>
  <c r="O454" i="76"/>
  <c r="P453" i="76"/>
  <c r="O453" i="76"/>
  <c r="P452" i="76"/>
  <c r="O452" i="76"/>
  <c r="P451" i="76"/>
  <c r="O451" i="76"/>
  <c r="P450" i="76"/>
  <c r="O450" i="76"/>
  <c r="P449" i="76"/>
  <c r="O449" i="76"/>
  <c r="P448" i="76"/>
  <c r="O448" i="76"/>
  <c r="P447" i="76"/>
  <c r="O447" i="76"/>
  <c r="P446" i="76"/>
  <c r="O446" i="76"/>
  <c r="P445" i="76"/>
  <c r="O445" i="76"/>
  <c r="P444" i="76"/>
  <c r="O444" i="76"/>
  <c r="P443" i="76"/>
  <c r="O443" i="76"/>
  <c r="P442" i="76"/>
  <c r="O442" i="76"/>
  <c r="P441" i="76"/>
  <c r="O441" i="76"/>
  <c r="P440" i="76"/>
  <c r="O440" i="76"/>
  <c r="P439" i="76"/>
  <c r="O439" i="76"/>
  <c r="P438" i="76"/>
  <c r="O438" i="76"/>
  <c r="P437" i="76"/>
  <c r="O437" i="76"/>
  <c r="P436" i="76"/>
  <c r="O436" i="76"/>
  <c r="P435" i="76"/>
  <c r="O435" i="76"/>
  <c r="P434" i="76"/>
  <c r="O434" i="76"/>
  <c r="P433" i="76"/>
  <c r="O433" i="76"/>
  <c r="P432" i="76"/>
  <c r="O432" i="76"/>
  <c r="P431" i="76"/>
  <c r="O431" i="76"/>
  <c r="P430" i="76"/>
  <c r="O430" i="76"/>
  <c r="P429" i="76"/>
  <c r="O429" i="76"/>
  <c r="P428" i="76"/>
  <c r="O428" i="76"/>
  <c r="P427" i="76"/>
  <c r="O427" i="76"/>
  <c r="P426" i="76"/>
  <c r="O426" i="76"/>
  <c r="P425" i="76"/>
  <c r="O425" i="76"/>
  <c r="P424" i="76"/>
  <c r="O424" i="76"/>
  <c r="P423" i="76"/>
  <c r="O423" i="76"/>
  <c r="P422" i="76"/>
  <c r="O422" i="76"/>
  <c r="P421" i="76"/>
  <c r="O421" i="76"/>
  <c r="P420" i="76"/>
  <c r="O420" i="76"/>
  <c r="P419" i="76"/>
  <c r="O419" i="76"/>
  <c r="P418" i="76"/>
  <c r="O418" i="76"/>
  <c r="P417" i="76"/>
  <c r="O417" i="76"/>
  <c r="P416" i="76"/>
  <c r="O416" i="76"/>
  <c r="P415" i="76"/>
  <c r="O415" i="76"/>
  <c r="P414" i="76"/>
  <c r="O414" i="76"/>
  <c r="P413" i="76"/>
  <c r="O413" i="76"/>
  <c r="P412" i="76"/>
  <c r="O412" i="76"/>
  <c r="P411" i="76"/>
  <c r="O411" i="76"/>
  <c r="P410" i="76"/>
  <c r="O410" i="76"/>
  <c r="P409" i="76"/>
  <c r="O409" i="76"/>
  <c r="P408" i="76"/>
  <c r="O408" i="76"/>
  <c r="P407" i="76"/>
  <c r="O407" i="76"/>
  <c r="P406" i="76"/>
  <c r="O406" i="76"/>
  <c r="P405" i="76"/>
  <c r="O405" i="76"/>
  <c r="P404" i="76"/>
  <c r="O404" i="76"/>
  <c r="P403" i="76"/>
  <c r="O403" i="76"/>
  <c r="P402" i="76"/>
  <c r="O402" i="76"/>
  <c r="P401" i="76"/>
  <c r="O401" i="76"/>
  <c r="P400" i="76"/>
  <c r="O400" i="76"/>
  <c r="P399" i="76"/>
  <c r="O399" i="76"/>
  <c r="P398" i="76"/>
  <c r="O398" i="76"/>
  <c r="P397" i="76"/>
  <c r="O397" i="76"/>
  <c r="P396" i="76"/>
  <c r="O396" i="76"/>
  <c r="P395" i="76"/>
  <c r="O395" i="76"/>
  <c r="P394" i="76"/>
  <c r="O394" i="76"/>
  <c r="P393" i="76"/>
  <c r="O393" i="76"/>
  <c r="P392" i="76"/>
  <c r="O392" i="76"/>
  <c r="P391" i="76"/>
  <c r="O391" i="76"/>
  <c r="P390" i="76"/>
  <c r="O390" i="76"/>
  <c r="P389" i="76"/>
  <c r="O389" i="76"/>
  <c r="P388" i="76"/>
  <c r="O388" i="76"/>
  <c r="P387" i="76"/>
  <c r="O387" i="76"/>
  <c r="P386" i="76"/>
  <c r="O386" i="76"/>
  <c r="P385" i="76"/>
  <c r="O385" i="76"/>
  <c r="P384" i="76"/>
  <c r="O384" i="76"/>
  <c r="P383" i="76"/>
  <c r="O383" i="76"/>
  <c r="P382" i="76"/>
  <c r="O382" i="76"/>
  <c r="P381" i="76"/>
  <c r="O381" i="76"/>
  <c r="P380" i="76"/>
  <c r="O380" i="76"/>
  <c r="P379" i="76"/>
  <c r="O379" i="76"/>
  <c r="P378" i="76"/>
  <c r="O378" i="76"/>
  <c r="P377" i="76"/>
  <c r="O377" i="76"/>
  <c r="P376" i="76"/>
  <c r="O376" i="76"/>
  <c r="P375" i="76"/>
  <c r="O375" i="76"/>
  <c r="P374" i="76"/>
  <c r="O374" i="76"/>
  <c r="P373" i="76"/>
  <c r="O373" i="76"/>
  <c r="P372" i="76"/>
  <c r="O372" i="76"/>
  <c r="P371" i="76"/>
  <c r="O371" i="76"/>
  <c r="P370" i="76"/>
  <c r="O370" i="76"/>
  <c r="P369" i="76"/>
  <c r="O369" i="76"/>
  <c r="P368" i="76"/>
  <c r="O368" i="76"/>
  <c r="P367" i="76"/>
  <c r="O367" i="76"/>
  <c r="P366" i="76"/>
  <c r="O366" i="76"/>
  <c r="P365" i="76"/>
  <c r="O365" i="76"/>
  <c r="P364" i="76"/>
  <c r="O364" i="76"/>
  <c r="P363" i="76"/>
  <c r="O363" i="76"/>
  <c r="P362" i="76"/>
  <c r="O362" i="76"/>
  <c r="P361" i="76"/>
  <c r="O361" i="76"/>
  <c r="P360" i="76"/>
  <c r="O360" i="76"/>
  <c r="P359" i="76"/>
  <c r="O359" i="76"/>
  <c r="P358" i="76"/>
  <c r="O358" i="76"/>
  <c r="P357" i="76"/>
  <c r="O357" i="76"/>
  <c r="P356" i="76"/>
  <c r="O356" i="76"/>
  <c r="P355" i="76"/>
  <c r="O355" i="76"/>
  <c r="P354" i="76"/>
  <c r="O354" i="76"/>
  <c r="P353" i="76"/>
  <c r="O353" i="76"/>
  <c r="P352" i="76"/>
  <c r="O352" i="76"/>
  <c r="P351" i="76"/>
  <c r="O351" i="76"/>
  <c r="P350" i="76"/>
  <c r="O350" i="76"/>
  <c r="P349" i="76"/>
  <c r="O349" i="76"/>
  <c r="P348" i="76"/>
  <c r="O348" i="76"/>
  <c r="P347" i="76"/>
  <c r="O347" i="76"/>
  <c r="P346" i="76"/>
  <c r="O346" i="76"/>
  <c r="P345" i="76"/>
  <c r="O345" i="76"/>
  <c r="P344" i="76"/>
  <c r="O344" i="76"/>
  <c r="P343" i="76"/>
  <c r="O343" i="76"/>
  <c r="P342" i="76"/>
  <c r="O342" i="76"/>
  <c r="P341" i="76"/>
  <c r="O341" i="76"/>
  <c r="P340" i="76"/>
  <c r="O340" i="76"/>
  <c r="P339" i="76"/>
  <c r="O339" i="76"/>
  <c r="P338" i="76"/>
  <c r="O338" i="76"/>
  <c r="P337" i="76"/>
  <c r="O337" i="76"/>
  <c r="P336" i="76"/>
  <c r="O336" i="76"/>
  <c r="P335" i="76"/>
  <c r="O335" i="76"/>
  <c r="P334" i="76"/>
  <c r="O334" i="76"/>
  <c r="P333" i="76"/>
  <c r="O333" i="76"/>
  <c r="P332" i="76"/>
  <c r="O332" i="76"/>
  <c r="P331" i="76"/>
  <c r="O331" i="76"/>
  <c r="P330" i="76"/>
  <c r="O330" i="76"/>
  <c r="P329" i="76"/>
  <c r="O329" i="76"/>
  <c r="P328" i="76"/>
  <c r="O328" i="76"/>
  <c r="P327" i="76"/>
  <c r="O327" i="76"/>
  <c r="P326" i="76"/>
  <c r="O326" i="76"/>
  <c r="P325" i="76"/>
  <c r="O325" i="76"/>
  <c r="P324" i="76"/>
  <c r="O324" i="76"/>
  <c r="P323" i="76"/>
  <c r="O323" i="76"/>
  <c r="P322" i="76"/>
  <c r="O322" i="76"/>
  <c r="P321" i="76"/>
  <c r="O321" i="76"/>
  <c r="P320" i="76"/>
  <c r="O320" i="76"/>
  <c r="P319" i="76"/>
  <c r="O319" i="76"/>
  <c r="P318" i="76"/>
  <c r="O318" i="76"/>
  <c r="P317" i="76"/>
  <c r="O317" i="76"/>
  <c r="P316" i="76"/>
  <c r="O316" i="76"/>
  <c r="P315" i="76"/>
  <c r="O315" i="76"/>
  <c r="P314" i="76"/>
  <c r="O314" i="76"/>
  <c r="P313" i="76"/>
  <c r="O313" i="76"/>
  <c r="P312" i="76"/>
  <c r="O312" i="76"/>
  <c r="P311" i="76"/>
  <c r="O311" i="76"/>
  <c r="P310" i="76"/>
  <c r="O310" i="76"/>
  <c r="P309" i="76"/>
  <c r="O309" i="76"/>
  <c r="P308" i="76"/>
  <c r="O308" i="76"/>
  <c r="P307" i="76"/>
  <c r="O307" i="76"/>
  <c r="P306" i="76"/>
  <c r="O306" i="76"/>
  <c r="P305" i="76"/>
  <c r="O305" i="76"/>
  <c r="P304" i="76"/>
  <c r="O304" i="76"/>
  <c r="P303" i="76"/>
  <c r="O303" i="76"/>
  <c r="P302" i="76"/>
  <c r="O302" i="76"/>
  <c r="P301" i="76"/>
  <c r="O301" i="76"/>
  <c r="P300" i="76"/>
  <c r="O300" i="76"/>
  <c r="P299" i="76"/>
  <c r="O299" i="76"/>
  <c r="P298" i="76"/>
  <c r="O298" i="76"/>
  <c r="P297" i="76"/>
  <c r="O297" i="76"/>
  <c r="P296" i="76"/>
  <c r="O296" i="76"/>
  <c r="P295" i="76"/>
  <c r="O295" i="76"/>
  <c r="P294" i="76"/>
  <c r="O294" i="76"/>
  <c r="P293" i="76"/>
  <c r="O293" i="76"/>
  <c r="P292" i="76"/>
  <c r="O292" i="76"/>
  <c r="P291" i="76"/>
  <c r="O291" i="76"/>
  <c r="P290" i="76"/>
  <c r="O290" i="76"/>
  <c r="P289" i="76"/>
  <c r="O289" i="76"/>
  <c r="P288" i="76"/>
  <c r="O288" i="76"/>
  <c r="P287" i="76"/>
  <c r="O287" i="76"/>
  <c r="P286" i="76"/>
  <c r="O286" i="76"/>
  <c r="P285" i="76"/>
  <c r="O285" i="76"/>
  <c r="P284" i="76"/>
  <c r="O284" i="76"/>
  <c r="P283" i="76"/>
  <c r="O283" i="76"/>
  <c r="P282" i="76"/>
  <c r="O282" i="76"/>
  <c r="P281" i="76"/>
  <c r="O281" i="76"/>
  <c r="P280" i="76"/>
  <c r="O280" i="76"/>
  <c r="P279" i="76"/>
  <c r="O279" i="76"/>
  <c r="P278" i="76"/>
  <c r="O278" i="76"/>
  <c r="P277" i="76"/>
  <c r="O277" i="76"/>
  <c r="P276" i="76"/>
  <c r="O276" i="76"/>
  <c r="P275" i="76"/>
  <c r="O275" i="76"/>
  <c r="P274" i="76"/>
  <c r="O274" i="76"/>
  <c r="P273" i="76"/>
  <c r="O273" i="76"/>
  <c r="P272" i="76"/>
  <c r="O272" i="76"/>
  <c r="P271" i="76"/>
  <c r="O271" i="76"/>
  <c r="P270" i="76"/>
  <c r="O270" i="76"/>
  <c r="P269" i="76"/>
  <c r="O269" i="76"/>
  <c r="P268" i="76"/>
  <c r="O268" i="76"/>
  <c r="P267" i="76"/>
  <c r="O267" i="76"/>
  <c r="P266" i="76"/>
  <c r="O266" i="76"/>
  <c r="P265" i="76"/>
  <c r="O265" i="76"/>
  <c r="P264" i="76"/>
  <c r="O264" i="76"/>
  <c r="P263" i="76"/>
  <c r="O263" i="76"/>
  <c r="P262" i="76"/>
  <c r="O262" i="76"/>
  <c r="P261" i="76"/>
  <c r="O261" i="76"/>
  <c r="P260" i="76"/>
  <c r="O260" i="76"/>
  <c r="P259" i="76"/>
  <c r="O259" i="76"/>
  <c r="P258" i="76"/>
  <c r="O258" i="76"/>
  <c r="P257" i="76"/>
  <c r="O257" i="76"/>
  <c r="P256" i="76"/>
  <c r="O256" i="76"/>
  <c r="P255" i="76"/>
  <c r="O255" i="76"/>
  <c r="P254" i="76"/>
  <c r="O254" i="76"/>
  <c r="P253" i="76"/>
  <c r="O253" i="76"/>
  <c r="P252" i="76"/>
  <c r="O252" i="76"/>
  <c r="P251" i="76"/>
  <c r="O251" i="76"/>
  <c r="P250" i="76"/>
  <c r="O250" i="76"/>
  <c r="P249" i="76"/>
  <c r="O249" i="76"/>
  <c r="P248" i="76"/>
  <c r="O248" i="76"/>
  <c r="P247" i="76"/>
  <c r="O247" i="76"/>
  <c r="P246" i="76"/>
  <c r="O246" i="76"/>
  <c r="P245" i="76"/>
  <c r="O245" i="76"/>
  <c r="P244" i="76"/>
  <c r="O244" i="76"/>
  <c r="P243" i="76"/>
  <c r="O243" i="76"/>
  <c r="P242" i="76"/>
  <c r="O242" i="76"/>
  <c r="P241" i="76"/>
  <c r="O241" i="76"/>
  <c r="P240" i="76"/>
  <c r="O240" i="76"/>
  <c r="P239" i="76"/>
  <c r="O239" i="76"/>
  <c r="P238" i="76"/>
  <c r="O238" i="76"/>
  <c r="P237" i="76"/>
  <c r="O237" i="76"/>
  <c r="P236" i="76"/>
  <c r="O236" i="76"/>
  <c r="P235" i="76"/>
  <c r="O235" i="76"/>
  <c r="P234" i="76"/>
  <c r="O234" i="76"/>
  <c r="P233" i="76"/>
  <c r="O233" i="76"/>
  <c r="P232" i="76"/>
  <c r="O232" i="76"/>
  <c r="P231" i="76"/>
  <c r="O231" i="76"/>
  <c r="P230" i="76"/>
  <c r="O230" i="76"/>
  <c r="P229" i="76"/>
  <c r="O229" i="76"/>
  <c r="P228" i="76"/>
  <c r="O228" i="76"/>
  <c r="P227" i="76"/>
  <c r="O227" i="76"/>
  <c r="P226" i="76"/>
  <c r="O226" i="76"/>
  <c r="P225" i="76"/>
  <c r="O225" i="76"/>
  <c r="P224" i="76"/>
  <c r="O224" i="76"/>
  <c r="P223" i="76"/>
  <c r="O223" i="76"/>
  <c r="P222" i="76"/>
  <c r="O222" i="76"/>
  <c r="P221" i="76"/>
  <c r="O221" i="76"/>
  <c r="P220" i="76"/>
  <c r="O220" i="76"/>
  <c r="P219" i="76"/>
  <c r="O219" i="76"/>
  <c r="P218" i="76"/>
  <c r="O218" i="76"/>
  <c r="P217" i="76"/>
  <c r="O217" i="76"/>
  <c r="P216" i="76"/>
  <c r="O216" i="76"/>
  <c r="P215" i="76"/>
  <c r="O215" i="76"/>
  <c r="P214" i="76"/>
  <c r="O214" i="76"/>
  <c r="P213" i="76"/>
  <c r="O213" i="76"/>
  <c r="P212" i="76"/>
  <c r="O212" i="76"/>
  <c r="P211" i="76"/>
  <c r="O211" i="76"/>
  <c r="P210" i="76"/>
  <c r="O210" i="76"/>
  <c r="P209" i="76"/>
  <c r="O209" i="76"/>
  <c r="P208" i="76"/>
  <c r="O208" i="76"/>
  <c r="P207" i="76"/>
  <c r="O207" i="76"/>
  <c r="P206" i="76"/>
  <c r="O206" i="76"/>
  <c r="P205" i="76"/>
  <c r="O205" i="76"/>
  <c r="P204" i="76"/>
  <c r="O204" i="76"/>
  <c r="P203" i="76"/>
  <c r="O203" i="76"/>
  <c r="P202" i="76"/>
  <c r="O202" i="76"/>
  <c r="P201" i="76"/>
  <c r="O201" i="76"/>
  <c r="P200" i="76"/>
  <c r="O200" i="76"/>
  <c r="P199" i="76"/>
  <c r="O199" i="76"/>
  <c r="P198" i="76"/>
  <c r="O198" i="76"/>
  <c r="P197" i="76"/>
  <c r="O197" i="76"/>
  <c r="P196" i="76"/>
  <c r="O196" i="76"/>
  <c r="P195" i="76"/>
  <c r="O195" i="76"/>
  <c r="P194" i="76"/>
  <c r="O194" i="76"/>
  <c r="P193" i="76"/>
  <c r="O193" i="76"/>
  <c r="P192" i="76"/>
  <c r="O192" i="76"/>
  <c r="P191" i="76"/>
  <c r="O191" i="76"/>
  <c r="P190" i="76"/>
  <c r="O190" i="76"/>
  <c r="P189" i="76"/>
  <c r="O189" i="76"/>
  <c r="P188" i="76"/>
  <c r="O188" i="76"/>
  <c r="P187" i="76"/>
  <c r="O187" i="76"/>
  <c r="P186" i="76"/>
  <c r="O186" i="76"/>
  <c r="P185" i="76"/>
  <c r="O185" i="76"/>
  <c r="P184" i="76"/>
  <c r="O184" i="76"/>
  <c r="P183" i="76"/>
  <c r="O183" i="76"/>
  <c r="P182" i="76"/>
  <c r="O182" i="76"/>
  <c r="P181" i="76"/>
  <c r="O181" i="76"/>
  <c r="P180" i="76"/>
  <c r="O180" i="76"/>
  <c r="P179" i="76"/>
  <c r="O179" i="76"/>
  <c r="P178" i="76"/>
  <c r="O178" i="76"/>
  <c r="P177" i="76"/>
  <c r="O177" i="76"/>
  <c r="P176" i="76"/>
  <c r="O176" i="76"/>
  <c r="P175" i="76"/>
  <c r="O175" i="76"/>
  <c r="P174" i="76"/>
  <c r="O174" i="76"/>
  <c r="P173" i="76"/>
  <c r="O173" i="76"/>
  <c r="P172" i="76"/>
  <c r="O172" i="76"/>
  <c r="P171" i="76"/>
  <c r="O171" i="76"/>
  <c r="P170" i="76"/>
  <c r="O170" i="76"/>
  <c r="P169" i="76"/>
  <c r="O169" i="76"/>
  <c r="P168" i="76"/>
  <c r="O168" i="76"/>
  <c r="P167" i="76"/>
  <c r="O167" i="76"/>
  <c r="P166" i="76"/>
  <c r="O166" i="76"/>
  <c r="P165" i="76"/>
  <c r="O165" i="76"/>
  <c r="P164" i="76"/>
  <c r="O164" i="76"/>
  <c r="P163" i="76"/>
  <c r="O163" i="76"/>
  <c r="P162" i="76"/>
  <c r="O162" i="76"/>
  <c r="P161" i="76"/>
  <c r="O161" i="76"/>
  <c r="P160" i="76"/>
  <c r="O160" i="76"/>
  <c r="P159" i="76"/>
  <c r="O159" i="76"/>
  <c r="P158" i="76"/>
  <c r="O158" i="76"/>
  <c r="P157" i="76"/>
  <c r="O157" i="76"/>
  <c r="P156" i="76"/>
  <c r="O156" i="76"/>
  <c r="P155" i="76"/>
  <c r="O155" i="76"/>
  <c r="P154" i="76"/>
  <c r="O154" i="76"/>
  <c r="P153" i="76"/>
  <c r="O153" i="76"/>
  <c r="P152" i="76"/>
  <c r="O152" i="76"/>
  <c r="P151" i="76"/>
  <c r="O151" i="76"/>
  <c r="P150" i="76"/>
  <c r="O150" i="76"/>
  <c r="P149" i="76"/>
  <c r="O149" i="76"/>
  <c r="P148" i="76"/>
  <c r="O148" i="76"/>
  <c r="P147" i="76"/>
  <c r="O147" i="76"/>
  <c r="P146" i="76"/>
  <c r="O146" i="76"/>
  <c r="P145" i="76"/>
  <c r="O145" i="76"/>
  <c r="P144" i="76"/>
  <c r="O144" i="76"/>
  <c r="P143" i="76"/>
  <c r="O143" i="76"/>
  <c r="P142" i="76"/>
  <c r="O142" i="76"/>
  <c r="P141" i="76"/>
  <c r="O141" i="76"/>
  <c r="P140" i="76"/>
  <c r="O140" i="76"/>
  <c r="P139" i="76"/>
  <c r="O139" i="76"/>
  <c r="P138" i="76"/>
  <c r="O138" i="76"/>
  <c r="P137" i="76"/>
  <c r="O137" i="76"/>
  <c r="P136" i="76"/>
  <c r="O136" i="76"/>
  <c r="P135" i="76"/>
  <c r="O135" i="76"/>
  <c r="P134" i="76"/>
  <c r="O134" i="76"/>
  <c r="P133" i="76"/>
  <c r="O133" i="76"/>
  <c r="P132" i="76"/>
  <c r="O132" i="76"/>
  <c r="P131" i="76"/>
  <c r="O131" i="76"/>
  <c r="P130" i="76"/>
  <c r="O130" i="76"/>
  <c r="P129" i="76"/>
  <c r="O129" i="76"/>
  <c r="P128" i="76"/>
  <c r="O128" i="76"/>
  <c r="P127" i="76"/>
  <c r="O127" i="76"/>
  <c r="P126" i="76"/>
  <c r="O126" i="76"/>
  <c r="P125" i="76"/>
  <c r="O125" i="76"/>
  <c r="P124" i="76"/>
  <c r="O124" i="76"/>
  <c r="P123" i="76"/>
  <c r="O123" i="76"/>
  <c r="P122" i="76"/>
  <c r="O122" i="76"/>
  <c r="P121" i="76"/>
  <c r="O121" i="76"/>
  <c r="P120" i="76"/>
  <c r="O120" i="76"/>
  <c r="P119" i="76"/>
  <c r="O119" i="76"/>
  <c r="P118" i="76"/>
  <c r="O118" i="76"/>
  <c r="P117" i="76"/>
  <c r="O117" i="76"/>
  <c r="P116" i="76"/>
  <c r="O116" i="76"/>
  <c r="P115" i="76"/>
  <c r="O115" i="76"/>
  <c r="P114" i="76"/>
  <c r="O114" i="76"/>
  <c r="P113" i="76"/>
  <c r="O113" i="76"/>
  <c r="P112" i="76"/>
  <c r="O112" i="76"/>
  <c r="P111" i="76"/>
  <c r="O111" i="76"/>
  <c r="P110" i="76"/>
  <c r="O110" i="76"/>
  <c r="P109" i="76"/>
  <c r="O109" i="76"/>
  <c r="P108" i="76"/>
  <c r="O108" i="76"/>
  <c r="P107" i="76"/>
  <c r="O107" i="76"/>
  <c r="P106" i="76"/>
  <c r="O106" i="76"/>
  <c r="P105" i="76"/>
  <c r="O105" i="76"/>
  <c r="P104" i="76"/>
  <c r="O104" i="76"/>
  <c r="P103" i="76"/>
  <c r="O103" i="76"/>
  <c r="P102" i="76"/>
  <c r="O102" i="76"/>
  <c r="P101" i="76"/>
  <c r="O101" i="76"/>
  <c r="P100" i="76"/>
  <c r="O100" i="76"/>
  <c r="P99" i="76"/>
  <c r="O99" i="76"/>
  <c r="P98" i="76"/>
  <c r="O98" i="76"/>
  <c r="P97" i="76"/>
  <c r="O97" i="76"/>
  <c r="P96" i="76"/>
  <c r="O96" i="76"/>
  <c r="P95" i="76"/>
  <c r="O95" i="76"/>
  <c r="P94" i="76"/>
  <c r="O94" i="76"/>
  <c r="P93" i="76"/>
  <c r="O93" i="76"/>
  <c r="P92" i="76"/>
  <c r="O92" i="76"/>
  <c r="P91" i="76"/>
  <c r="O91" i="76"/>
  <c r="P90" i="76"/>
  <c r="O90" i="76"/>
  <c r="P89" i="76"/>
  <c r="O89" i="76"/>
  <c r="P88" i="76"/>
  <c r="O88" i="76"/>
  <c r="P87" i="76"/>
  <c r="O87" i="76"/>
  <c r="P86" i="76"/>
  <c r="O86" i="76"/>
  <c r="P85" i="76"/>
  <c r="O85" i="76"/>
  <c r="P84" i="76"/>
  <c r="O84" i="76"/>
  <c r="P83" i="76"/>
  <c r="O83" i="76"/>
  <c r="P82" i="76"/>
  <c r="O82" i="76"/>
  <c r="P81" i="76"/>
  <c r="O81" i="76"/>
  <c r="P80" i="76"/>
  <c r="O80" i="76"/>
  <c r="P79" i="76"/>
  <c r="O79" i="76"/>
  <c r="P78" i="76"/>
  <c r="O78" i="76"/>
  <c r="P77" i="76"/>
  <c r="O77" i="76"/>
  <c r="P76" i="76"/>
  <c r="O76" i="76"/>
  <c r="P75" i="76"/>
  <c r="O75" i="76"/>
  <c r="P74" i="76"/>
  <c r="O74" i="76"/>
  <c r="P73" i="76"/>
  <c r="O73" i="76"/>
  <c r="P72" i="76"/>
  <c r="O72" i="76"/>
  <c r="P71" i="76"/>
  <c r="O71" i="76"/>
  <c r="P70" i="76"/>
  <c r="O70" i="76"/>
  <c r="P69" i="76"/>
  <c r="O69" i="76"/>
  <c r="P68" i="76"/>
  <c r="O68" i="76"/>
  <c r="P67" i="76"/>
  <c r="O67" i="76"/>
  <c r="P66" i="76"/>
  <c r="O66" i="76"/>
  <c r="P65" i="76"/>
  <c r="O65" i="76"/>
  <c r="P64" i="76"/>
  <c r="O64" i="76"/>
  <c r="P63" i="76"/>
  <c r="O63" i="76"/>
  <c r="P62" i="76"/>
  <c r="O62" i="76"/>
  <c r="P61" i="76"/>
  <c r="O61" i="76"/>
  <c r="P60" i="76"/>
  <c r="O60" i="76"/>
  <c r="P59" i="76"/>
  <c r="O59" i="76"/>
  <c r="P58" i="76"/>
  <c r="O58" i="76"/>
  <c r="P57" i="76"/>
  <c r="O57" i="76"/>
  <c r="P56" i="76"/>
  <c r="O56" i="76"/>
  <c r="P55" i="76"/>
  <c r="O55" i="76"/>
  <c r="P54" i="76"/>
  <c r="O54" i="76"/>
  <c r="P53" i="76"/>
  <c r="O53" i="76"/>
  <c r="P52" i="76"/>
  <c r="O52" i="76"/>
  <c r="P51" i="76"/>
  <c r="O51" i="76"/>
  <c r="P50" i="76"/>
  <c r="O50" i="76"/>
  <c r="P49" i="76"/>
  <c r="O49" i="76"/>
  <c r="P48" i="76"/>
  <c r="O48" i="76"/>
  <c r="P47" i="76"/>
  <c r="O47" i="76"/>
  <c r="P46" i="76"/>
  <c r="O46" i="76"/>
  <c r="P45" i="76"/>
  <c r="O45" i="76"/>
  <c r="P44" i="76"/>
  <c r="O44" i="76"/>
  <c r="P43" i="76"/>
  <c r="O43" i="76"/>
  <c r="P42" i="76"/>
  <c r="O42" i="76"/>
  <c r="P41" i="76"/>
  <c r="O41" i="76"/>
  <c r="P40" i="76"/>
  <c r="O40" i="76"/>
  <c r="P39" i="76"/>
  <c r="O39" i="76"/>
  <c r="P38" i="76"/>
  <c r="O38" i="76"/>
  <c r="P37" i="76"/>
  <c r="O37" i="76"/>
  <c r="P36" i="76"/>
  <c r="O36" i="76"/>
  <c r="P35" i="76"/>
  <c r="O35" i="76"/>
  <c r="P34" i="76"/>
  <c r="O34" i="76"/>
  <c r="P33" i="76"/>
  <c r="O33" i="76"/>
  <c r="P32" i="76"/>
  <c r="O32" i="76"/>
  <c r="P31" i="76"/>
  <c r="O31" i="76"/>
  <c r="P30" i="76"/>
  <c r="O30" i="76"/>
  <c r="P29" i="76"/>
  <c r="O29" i="76"/>
  <c r="P28" i="76"/>
  <c r="O28" i="76"/>
  <c r="P27" i="76"/>
  <c r="O27" i="76"/>
  <c r="P26" i="76"/>
  <c r="O26" i="76"/>
  <c r="P25" i="76"/>
  <c r="O25" i="76"/>
  <c r="P24" i="76"/>
  <c r="O24" i="76"/>
  <c r="P23" i="76"/>
  <c r="O23" i="76"/>
  <c r="P22" i="76"/>
  <c r="O22" i="76"/>
  <c r="P21" i="76"/>
  <c r="O21" i="76"/>
  <c r="P20" i="76"/>
  <c r="O20" i="76"/>
  <c r="P19" i="76"/>
  <c r="O19" i="76"/>
  <c r="P18" i="76"/>
  <c r="O18" i="76"/>
  <c r="P17" i="76"/>
  <c r="O17" i="76"/>
  <c r="P16" i="76"/>
  <c r="O16" i="76"/>
  <c r="P15" i="76"/>
  <c r="O15" i="76"/>
  <c r="P14" i="76"/>
  <c r="O14" i="76"/>
  <c r="P13" i="76"/>
  <c r="O13" i="76"/>
  <c r="P12" i="76"/>
  <c r="O12" i="76"/>
  <c r="P11" i="76"/>
  <c r="O11" i="76"/>
  <c r="P10" i="76"/>
  <c r="O10" i="76"/>
  <c r="P9" i="76"/>
  <c r="O9" i="76"/>
  <c r="P8" i="76"/>
  <c r="O8" i="76"/>
  <c r="P7" i="76"/>
  <c r="O7" i="76"/>
  <c r="P6" i="76"/>
  <c r="O6" i="76"/>
  <c r="P5" i="76"/>
  <c r="O5" i="76"/>
  <c r="R50" i="71" l="1"/>
  <c r="R47" i="71"/>
  <c r="R43" i="71"/>
  <c r="R44" i="71"/>
  <c r="R39" i="71"/>
  <c r="R40" i="71"/>
  <c r="R41" i="71"/>
  <c r="R37" i="71"/>
  <c r="R31" i="71"/>
  <c r="R32" i="71"/>
  <c r="R33" i="71"/>
  <c r="R34" i="71"/>
  <c r="R35" i="71"/>
  <c r="R36" i="71"/>
  <c r="R25" i="71"/>
  <c r="R26" i="71"/>
  <c r="R27" i="71"/>
  <c r="R28" i="71"/>
  <c r="R29" i="71"/>
  <c r="R15" i="71"/>
  <c r="R16" i="71"/>
  <c r="R17" i="71"/>
  <c r="R18" i="71"/>
  <c r="R19" i="71"/>
  <c r="R20" i="71"/>
  <c r="R21" i="71"/>
  <c r="R22" i="71"/>
  <c r="R23" i="71"/>
  <c r="R11" i="71"/>
  <c r="R12" i="71"/>
  <c r="R13" i="71"/>
  <c r="R9" i="71"/>
  <c r="R8" i="71"/>
  <c r="Q6" i="64" l="1"/>
  <c r="R10" i="71" l="1"/>
  <c r="R14" i="71"/>
  <c r="N452" i="47" l="1"/>
  <c r="N450" i="47"/>
  <c r="N449" i="47"/>
  <c r="N448" i="47"/>
  <c r="N447" i="47"/>
  <c r="N445" i="47"/>
  <c r="N439" i="47"/>
  <c r="N438" i="47"/>
  <c r="N437" i="47"/>
  <c r="N435" i="47"/>
  <c r="N429" i="47"/>
  <c r="N428" i="47"/>
  <c r="N427" i="47"/>
  <c r="N425" i="47"/>
  <c r="N419" i="47"/>
  <c r="N418" i="47"/>
  <c r="N417" i="47"/>
  <c r="N415" i="47"/>
  <c r="N409" i="47"/>
  <c r="N408" i="47"/>
  <c r="N407" i="47"/>
  <c r="N405" i="47"/>
  <c r="N400" i="47"/>
  <c r="N399" i="47"/>
  <c r="N398" i="47"/>
  <c r="N397" i="47"/>
  <c r="N395" i="47"/>
  <c r="N390" i="47"/>
  <c r="N389" i="47"/>
  <c r="N388" i="47"/>
  <c r="N387" i="47"/>
  <c r="N386" i="47"/>
  <c r="N385" i="47"/>
  <c r="N384" i="47"/>
  <c r="N383" i="47"/>
  <c r="N382" i="47"/>
  <c r="N381" i="47"/>
  <c r="N380" i="47"/>
  <c r="N379" i="47"/>
  <c r="N378" i="47"/>
  <c r="N377" i="47"/>
  <c r="N376" i="47"/>
  <c r="N375" i="47"/>
  <c r="N372" i="47"/>
  <c r="N371" i="47"/>
  <c r="N370" i="47"/>
  <c r="N369" i="47"/>
  <c r="N368" i="47"/>
  <c r="N367" i="47"/>
  <c r="N366" i="47"/>
  <c r="N365" i="47"/>
  <c r="N354" i="47"/>
  <c r="N353" i="47"/>
  <c r="N352" i="47"/>
  <c r="N351" i="47"/>
  <c r="N350" i="47"/>
  <c r="N349" i="47"/>
  <c r="N348" i="47"/>
  <c r="N347" i="47"/>
  <c r="N346" i="47"/>
  <c r="N345" i="47"/>
  <c r="N344" i="47"/>
  <c r="N343" i="47"/>
  <c r="N342" i="47"/>
  <c r="N341" i="47"/>
  <c r="N340" i="47"/>
  <c r="N339" i="47"/>
  <c r="N338" i="47"/>
  <c r="N337" i="47"/>
  <c r="N336" i="47"/>
  <c r="N335" i="47"/>
  <c r="N332" i="47"/>
  <c r="N331" i="47"/>
  <c r="N330" i="47"/>
  <c r="N329" i="47"/>
  <c r="N328" i="47"/>
  <c r="N327" i="47"/>
  <c r="N326" i="47"/>
  <c r="N325" i="47"/>
  <c r="N322" i="47"/>
  <c r="N321" i="47"/>
  <c r="N320" i="47"/>
  <c r="N319" i="47"/>
  <c r="N318" i="47"/>
  <c r="N317" i="47"/>
  <c r="N316" i="47"/>
  <c r="N315" i="47"/>
  <c r="N312" i="47"/>
  <c r="N311" i="47"/>
  <c r="N310" i="47"/>
  <c r="N309" i="47"/>
  <c r="N308" i="47"/>
  <c r="N307" i="47"/>
  <c r="N306" i="47"/>
  <c r="N305" i="47"/>
  <c r="N302" i="47"/>
  <c r="N301" i="47"/>
  <c r="N300" i="47"/>
  <c r="N299" i="47"/>
  <c r="N298" i="47"/>
  <c r="N297" i="47"/>
  <c r="N296" i="47"/>
  <c r="N295" i="47"/>
  <c r="N284" i="47"/>
  <c r="N283" i="47"/>
  <c r="N282" i="47"/>
  <c r="N281" i="47"/>
  <c r="N280" i="47"/>
  <c r="N279" i="47"/>
  <c r="N278" i="47"/>
  <c r="N277" i="47"/>
  <c r="N275" i="47"/>
  <c r="N274" i="47"/>
  <c r="N273" i="47"/>
  <c r="N270" i="47"/>
  <c r="N269" i="47"/>
  <c r="N268" i="47"/>
  <c r="N267" i="47"/>
  <c r="N266" i="47"/>
  <c r="N265" i="47"/>
  <c r="N264" i="47"/>
  <c r="N263" i="47"/>
  <c r="N262" i="47"/>
  <c r="N261" i="47"/>
  <c r="N260" i="47"/>
  <c r="N259" i="47"/>
  <c r="N258" i="47"/>
  <c r="N257" i="47"/>
  <c r="N256" i="47"/>
  <c r="N255" i="47"/>
  <c r="N252" i="47"/>
  <c r="N251" i="47"/>
  <c r="N250" i="47"/>
  <c r="N249" i="47"/>
  <c r="N248" i="47"/>
  <c r="N247" i="47"/>
  <c r="N246" i="47"/>
  <c r="N245" i="47"/>
  <c r="N242" i="47"/>
  <c r="N241" i="47"/>
  <c r="N240" i="47"/>
  <c r="N234" i="47"/>
  <c r="N233" i="47"/>
  <c r="N232" i="47"/>
  <c r="N231" i="47"/>
  <c r="N230" i="47"/>
  <c r="N229" i="47"/>
  <c r="N228" i="47"/>
  <c r="N227" i="47"/>
  <c r="N226" i="47"/>
  <c r="N225" i="47"/>
  <c r="N222" i="47"/>
  <c r="N221" i="47"/>
  <c r="N220" i="47"/>
  <c r="N219" i="47"/>
  <c r="N218" i="47"/>
  <c r="N217" i="47"/>
  <c r="N216" i="47"/>
  <c r="N215" i="47"/>
  <c r="N212" i="47"/>
  <c r="N211" i="47"/>
  <c r="N210" i="47"/>
  <c r="N204" i="47"/>
  <c r="N203" i="47"/>
  <c r="N202" i="47"/>
  <c r="N201" i="47"/>
  <c r="N200" i="47"/>
  <c r="N192" i="47"/>
  <c r="N191" i="47"/>
  <c r="N190" i="47"/>
  <c r="N189" i="47"/>
  <c r="N188" i="47"/>
  <c r="N187" i="47"/>
  <c r="N186" i="47"/>
  <c r="N185" i="47"/>
  <c r="N184" i="47"/>
  <c r="N182" i="47"/>
  <c r="N181" i="47"/>
  <c r="N180" i="47"/>
  <c r="N179" i="47"/>
  <c r="N178" i="47"/>
  <c r="N177" i="47"/>
  <c r="N176" i="47"/>
  <c r="N175" i="47"/>
  <c r="N172" i="47"/>
  <c r="N171" i="47"/>
  <c r="N170" i="47"/>
  <c r="N169" i="47"/>
  <c r="N168" i="47"/>
  <c r="N167" i="47"/>
  <c r="N166" i="47"/>
  <c r="N165" i="47"/>
  <c r="N162" i="47"/>
  <c r="N161" i="47"/>
  <c r="N160" i="47"/>
  <c r="N159" i="47"/>
  <c r="N158" i="47"/>
  <c r="N157" i="47"/>
  <c r="N156" i="47"/>
  <c r="N155" i="47"/>
  <c r="N152" i="47"/>
  <c r="N151" i="47"/>
  <c r="N150" i="47"/>
  <c r="N149" i="47"/>
  <c r="N148" i="47"/>
  <c r="N147" i="47"/>
  <c r="N146" i="47"/>
  <c r="N145" i="47"/>
  <c r="N142" i="47"/>
  <c r="N141" i="47"/>
  <c r="N140" i="47"/>
  <c r="N139" i="47"/>
  <c r="N138" i="47"/>
  <c r="N137" i="47"/>
  <c r="N136" i="47"/>
  <c r="N135" i="47"/>
  <c r="N132" i="47"/>
  <c r="N131" i="47"/>
  <c r="N130" i="47"/>
  <c r="N129" i="47"/>
  <c r="N128" i="47"/>
  <c r="N127" i="47"/>
  <c r="N126" i="47"/>
  <c r="N125" i="47"/>
  <c r="N122" i="47"/>
  <c r="N121" i="47"/>
  <c r="N120" i="47"/>
  <c r="N118" i="47"/>
  <c r="N117" i="47"/>
  <c r="N115" i="47"/>
  <c r="N114" i="47"/>
  <c r="N113" i="47"/>
  <c r="N112" i="47"/>
  <c r="N110" i="47"/>
  <c r="N105" i="47"/>
  <c r="N104" i="47"/>
  <c r="N103" i="47"/>
  <c r="N102" i="47"/>
  <c r="N101" i="47"/>
  <c r="N100" i="47"/>
  <c r="N97" i="47"/>
  <c r="N96" i="47"/>
  <c r="N95" i="47"/>
  <c r="N89" i="47"/>
  <c r="N88" i="47"/>
  <c r="N87" i="47"/>
  <c r="N86" i="47"/>
  <c r="N85" i="47"/>
  <c r="N84" i="47"/>
  <c r="N83" i="47"/>
  <c r="N82" i="47"/>
  <c r="N81" i="47"/>
  <c r="N80" i="47"/>
  <c r="N77" i="47"/>
  <c r="N76" i="47"/>
  <c r="N75" i="47"/>
  <c r="N74" i="47"/>
  <c r="N73" i="47"/>
  <c r="N72" i="47"/>
  <c r="N71" i="47"/>
  <c r="N70" i="47"/>
  <c r="N69" i="47"/>
  <c r="N68" i="47"/>
  <c r="N67" i="47"/>
  <c r="N66" i="47"/>
  <c r="N59" i="47"/>
  <c r="N58" i="47"/>
  <c r="N57" i="47"/>
  <c r="N54" i="47"/>
  <c r="N53" i="47"/>
  <c r="N52" i="47"/>
  <c r="N51" i="47"/>
  <c r="N50" i="47"/>
  <c r="N49" i="47"/>
  <c r="N48" i="47"/>
  <c r="N47" i="47"/>
  <c r="N46" i="47"/>
  <c r="N45" i="47"/>
  <c r="N44" i="47"/>
  <c r="N43" i="47"/>
  <c r="N42" i="47"/>
  <c r="N41" i="47"/>
  <c r="N40" i="47"/>
  <c r="N33" i="47"/>
  <c r="N32" i="47"/>
  <c r="N30" i="47"/>
  <c r="N28" i="47"/>
  <c r="N25" i="47"/>
  <c r="N24" i="47"/>
  <c r="N23" i="47"/>
  <c r="N22" i="47"/>
  <c r="N20" i="47"/>
  <c r="N19" i="47"/>
  <c r="N18" i="47"/>
  <c r="N15" i="47"/>
  <c r="N14" i="47"/>
  <c r="N13" i="47"/>
  <c r="N12" i="47"/>
  <c r="N11" i="47"/>
  <c r="N10" i="47"/>
  <c r="N9" i="47"/>
  <c r="N8" i="47"/>
  <c r="N7" i="47"/>
  <c r="N6" i="47"/>
  <c r="R49" i="71" l="1"/>
  <c r="R48" i="71"/>
  <c r="R24" i="71"/>
  <c r="R38" i="71"/>
  <c r="R46" i="71"/>
  <c r="R30" i="71"/>
  <c r="R42" i="71"/>
  <c r="R7" i="71"/>
</calcChain>
</file>

<file path=xl/sharedStrings.xml><?xml version="1.0" encoding="utf-8"?>
<sst xmlns="http://schemas.openxmlformats.org/spreadsheetml/2006/main" count="33083" uniqueCount="1965">
  <si>
    <t>MS</t>
  </si>
  <si>
    <t>Region</t>
  </si>
  <si>
    <t>Variables</t>
  </si>
  <si>
    <t>Data sources</t>
  </si>
  <si>
    <t>Comments</t>
  </si>
  <si>
    <t>RFMO/RFO/IO</t>
  </si>
  <si>
    <t>Y</t>
  </si>
  <si>
    <t>NA</t>
  </si>
  <si>
    <t>Species</t>
  </si>
  <si>
    <t>Frequency</t>
  </si>
  <si>
    <t>MS participating in sampling</t>
  </si>
  <si>
    <t>Sampling year</t>
  </si>
  <si>
    <t>Sampling design</t>
  </si>
  <si>
    <t>Sampling implementation</t>
  </si>
  <si>
    <t>Data capture</t>
  </si>
  <si>
    <t>Data Storage</t>
  </si>
  <si>
    <t>Data processing</t>
  </si>
  <si>
    <t>Is the sampling design documented?</t>
  </si>
  <si>
    <t>Area / Stock</t>
  </si>
  <si>
    <t>Age</t>
  </si>
  <si>
    <t>Weight</t>
  </si>
  <si>
    <t>Sex ratio</t>
  </si>
  <si>
    <t>Sexual maturity</t>
  </si>
  <si>
    <t>Fecundity</t>
  </si>
  <si>
    <t>MS partcipating in sampling</t>
  </si>
  <si>
    <t xml:space="preserve">
EU TAC (if any)
(%)</t>
  </si>
  <si>
    <t>Average landings in the reference years (tons)</t>
  </si>
  <si>
    <t>Threshold  (Y/N)</t>
  </si>
  <si>
    <t>Name of sampling scheme</t>
  </si>
  <si>
    <t xml:space="preserve">Sampling frame </t>
  </si>
  <si>
    <t xml:space="preserve">Where can documentation on sampling design be found? </t>
  </si>
  <si>
    <t>Are non-responses and refusals recorded?</t>
  </si>
  <si>
    <t>Where can documentation on quality checks for data capture be found?</t>
  </si>
  <si>
    <t>In which national database are data stored?</t>
  </si>
  <si>
    <t>In which international database(s) are data stored?</t>
  </si>
  <si>
    <t xml:space="preserve">Where can documentation on processes to evaluate accuracy be found? </t>
  </si>
  <si>
    <t xml:space="preserve">Comments </t>
  </si>
  <si>
    <t>Selected for sampling  (Y/N)</t>
  </si>
  <si>
    <t>Are quality checks to validate detailed data documented?</t>
  </si>
  <si>
    <t>Are processes to evaluate data accuracy (bias and precision) documented?</t>
  </si>
  <si>
    <t>Are the editing and imputation methods documented?</t>
  </si>
  <si>
    <t xml:space="preserve">Where can documentation on editing and imputation be found? </t>
  </si>
  <si>
    <t>Length</t>
  </si>
  <si>
    <t xml:space="preserve">Sampling year/ period </t>
  </si>
  <si>
    <t>Planned minimum no of individuals to be measured at the national level</t>
  </si>
  <si>
    <t>Planned minimum no of individuals to be measured at the regional level</t>
  </si>
  <si>
    <t>Table1A: List of required stocks</t>
  </si>
  <si>
    <t>Table 1B: Planning of sampling for biological variables</t>
  </si>
  <si>
    <t>Table 1C: Sampling intensity for biological variables</t>
  </si>
  <si>
    <t>Table 5A: Quality assurance framework for biological data</t>
  </si>
  <si>
    <t>2017-2019</t>
  </si>
  <si>
    <t>Achieved number of individuals measured at the national level</t>
  </si>
  <si>
    <t xml:space="preserve">Achieved number of samples </t>
  </si>
  <si>
    <t>Sampling protocol</t>
  </si>
  <si>
    <t>Changes in species landings</t>
  </si>
  <si>
    <t>AR year</t>
  </si>
  <si>
    <t>WP  years</t>
  </si>
  <si>
    <t>Share (%) in EU landings</t>
  </si>
  <si>
    <t>Reference years</t>
  </si>
  <si>
    <t>AR  Comments</t>
  </si>
  <si>
    <t>% of achievement (100*M/J)</t>
  </si>
  <si>
    <t>Table 1D: Recreational fisheries</t>
  </si>
  <si>
    <t>Area/EMU</t>
  </si>
  <si>
    <t>Applicable (Species present in the MS?)</t>
  </si>
  <si>
    <t>Reasons for not sampling</t>
  </si>
  <si>
    <t>Threshold (Y/N)</t>
  </si>
  <si>
    <t>Annual estimate of catch? (Y/N)</t>
  </si>
  <si>
    <t>Annual percentage of released catch? (Y/N)</t>
  </si>
  <si>
    <t>Collection of catch composition data? (Y/N)</t>
  </si>
  <si>
    <t>Type of Survey</t>
  </si>
  <si>
    <t>Estimation of  the yearly weight and numbers of catch (Y/N)</t>
  </si>
  <si>
    <t>Estimation of  the yearly percentage release (Y/N)</t>
  </si>
  <si>
    <t>Evaluated by external experts/bodies (Y/N)</t>
  </si>
  <si>
    <t>Conform with accepted standards Y/N</t>
  </si>
  <si>
    <t>ICES</t>
  </si>
  <si>
    <t>Gadus morhua</t>
  </si>
  <si>
    <t>Anguilla anguilla</t>
  </si>
  <si>
    <t>N</t>
  </si>
  <si>
    <t>Elasmobranchs</t>
  </si>
  <si>
    <t>North Atlantic</t>
  </si>
  <si>
    <t xml:space="preserve">Table 2A: Fishing activity variables data collection strategy </t>
  </si>
  <si>
    <t xml:space="preserve">Supra region </t>
  </si>
  <si>
    <t xml:space="preserve">Variable Group </t>
  </si>
  <si>
    <t>Variable</t>
  </si>
  <si>
    <t xml:space="preserve">Fishing technique </t>
  </si>
  <si>
    <t xml:space="preserve">Length class </t>
  </si>
  <si>
    <t>Metiers (level 6)</t>
  </si>
  <si>
    <t>Data collected  under control regulation appropriate for scientific use (Y/N/I)</t>
  </si>
  <si>
    <t xml:space="preserve">Type of data collected under control regulation used to calculate the estimates </t>
  </si>
  <si>
    <t>Data source for complementary data collection</t>
  </si>
  <si>
    <t>Expected coverage of data collected under control regulation (% of fishing trips)</t>
  </si>
  <si>
    <t>Additional data collection (Y/N)</t>
  </si>
  <si>
    <t xml:space="preserve">Data collection scheme </t>
  </si>
  <si>
    <t>Planned coverage of data collected under complementary data collection (% of fishing trips)</t>
  </si>
  <si>
    <t xml:space="preserve">Achieved coverage of data collected under complementary data collection </t>
  </si>
  <si>
    <t>AR comments</t>
  </si>
  <si>
    <t>Effort</t>
  </si>
  <si>
    <t>Beam trawlers</t>
  </si>
  <si>
    <t>Landings</t>
  </si>
  <si>
    <t>Drift and/or fixed netters</t>
  </si>
  <si>
    <t>Capacity</t>
  </si>
  <si>
    <t>Table 3A: Population segments for collection of economic and social data for fisheries</t>
  </si>
  <si>
    <t>Cluster Name</t>
  </si>
  <si>
    <t>Type of variables (E/S)</t>
  </si>
  <si>
    <t>Data Source</t>
  </si>
  <si>
    <t xml:space="preserve">Type of data collection scheme </t>
  </si>
  <si>
    <t xml:space="preserve">Planned sample rate % </t>
  </si>
  <si>
    <t>Achieved Sample Rate %</t>
  </si>
  <si>
    <t>AR Comment</t>
  </si>
  <si>
    <t>E</t>
  </si>
  <si>
    <t>Table 3B: Population segments for collection of economic and social data for aquaculture</t>
  </si>
  <si>
    <t>Techniques</t>
  </si>
  <si>
    <t>Species group</t>
  </si>
  <si>
    <t>Data source</t>
  </si>
  <si>
    <t>Threshold Type</t>
  </si>
  <si>
    <t>Turnover</t>
  </si>
  <si>
    <t>Table 3C: Population segments for collection of economic and social data for the processing industry</t>
  </si>
  <si>
    <t>Segment</t>
  </si>
  <si>
    <t xml:space="preserve">Variables </t>
  </si>
  <si>
    <t>Companies &lt;= 10</t>
  </si>
  <si>
    <t>Table 5B: Quality assurance framework for socio-economic data</t>
  </si>
  <si>
    <t>Institutional environment</t>
  </si>
  <si>
    <t>Statistical processes</t>
  </si>
  <si>
    <t>Statistical Outputs</t>
  </si>
  <si>
    <t>P3 Impartiality and objectiveness</t>
  </si>
  <si>
    <t>P4 Confidentiality</t>
  </si>
  <si>
    <t>P6 Appropriate statistical procedures</t>
  </si>
  <si>
    <t>P7 Non-excessive burden on respondents</t>
  </si>
  <si>
    <t>P8 Cost effectiveness</t>
  </si>
  <si>
    <t>P9 Relevance</t>
  </si>
  <si>
    <t>P10 Accuracy and reliability</t>
  </si>
  <si>
    <t>P11 Timeliness and punctuality</t>
  </si>
  <si>
    <t>P12 coherence and comparability</t>
  </si>
  <si>
    <t>P13 Accessibility and Clarity</t>
  </si>
  <si>
    <t>Is there consistency between administrative and other statistical data?</t>
  </si>
  <si>
    <t>Are there agreements for access and quality of administrative data between partners?</t>
  </si>
  <si>
    <t>Are data collection, entry and coding checked?</t>
  </si>
  <si>
    <t>Are editing and imputation methods used and checked?</t>
  </si>
  <si>
    <t>Are revisions documented and available?</t>
  </si>
  <si>
    <t>Is duplication of data collection avoided?</t>
  </si>
  <si>
    <t>Do automatic techniques for data capture, data coding and validation exist?</t>
  </si>
  <si>
    <t>Are end-users listed and updated?</t>
  </si>
  <si>
    <t>Are sources, intermediate results and outputs regularly assessed and validated?</t>
  </si>
  <si>
    <t xml:space="preserve">Are errors measured and documented? </t>
  </si>
  <si>
    <t>Are procedures in place to ensure timely execution?</t>
  </si>
  <si>
    <t>Are procedures in place to monitor internal coherence?</t>
  </si>
  <si>
    <t>Are statistics comparable over time?</t>
  </si>
  <si>
    <t>Are methodological documents publicly available?</t>
  </si>
  <si>
    <t>Are data stored in databases?</t>
  </si>
  <si>
    <t xml:space="preserve">Where can documentation be found? </t>
  </si>
  <si>
    <t>X</t>
  </si>
  <si>
    <t>VII</t>
  </si>
  <si>
    <t>all</t>
  </si>
  <si>
    <t>Salmo salar</t>
  </si>
  <si>
    <t>AR Comments</t>
  </si>
  <si>
    <t>Agreed at RCG level?</t>
  </si>
  <si>
    <t>Survey ID</t>
  </si>
  <si>
    <t>Reasons for non-conformity</t>
  </si>
  <si>
    <t>Planned nos</t>
  </si>
  <si>
    <t>Unit</t>
  </si>
  <si>
    <t>Method</t>
  </si>
  <si>
    <t>Fishery / Independent data collection</t>
  </si>
  <si>
    <t>Life stage</t>
  </si>
  <si>
    <t>Water Body</t>
  </si>
  <si>
    <t>Applicable (Y/N)</t>
  </si>
  <si>
    <t>Area</t>
  </si>
  <si>
    <t>Sampling period</t>
  </si>
  <si>
    <t xml:space="preserve">Table 1E: Anadromous and catadromous species data collection in fresh water </t>
  </si>
  <si>
    <t>Sampling period/year(s)</t>
  </si>
  <si>
    <t>Sub-area / Fishing ground</t>
  </si>
  <si>
    <t>Scheme</t>
  </si>
  <si>
    <t>Stratum ID code / Name of the survey</t>
  </si>
  <si>
    <t>Group of vulnerable species</t>
  </si>
  <si>
    <t xml:space="preserve">Expected occurence of recordings </t>
  </si>
  <si>
    <t>Planned number of PSUs</t>
  </si>
  <si>
    <t>Are data stored in a national database?</t>
  </si>
  <si>
    <t>Are data stored in international database(s)?</t>
  </si>
  <si>
    <t>Table 1G: List of research surveys at sea</t>
  </si>
  <si>
    <t>Name of survey</t>
  </si>
  <si>
    <t xml:space="preserve">Acronym </t>
  </si>
  <si>
    <t>Mandatory (Y/N)</t>
  </si>
  <si>
    <t>Agreed at RCG level</t>
  </si>
  <si>
    <t>Days at sea planned</t>
  </si>
  <si>
    <t xml:space="preserve">Planned target </t>
  </si>
  <si>
    <t>Map</t>
  </si>
  <si>
    <t>Relevant international planning group - RFMO/RFO/IO</t>
  </si>
  <si>
    <t>Type of MS participation</t>
  </si>
  <si>
    <t>Days at sea achieved</t>
  </si>
  <si>
    <t>Achieved target</t>
  </si>
  <si>
    <t>Table 1H: Research survey data collection and dissemination</t>
  </si>
  <si>
    <t>Type of data collected</t>
  </si>
  <si>
    <t>Core/ Additional variable</t>
  </si>
  <si>
    <t>Used as basis for advice (Y/N)</t>
  </si>
  <si>
    <t>Relevant International database</t>
  </si>
  <si>
    <t>Indication if AR comments are required by MS</t>
  </si>
  <si>
    <t>C</t>
  </si>
  <si>
    <t>A</t>
  </si>
  <si>
    <t>Conformity</t>
  </si>
  <si>
    <t>Stratum ID code</t>
  </si>
  <si>
    <t>PSU type</t>
  </si>
  <si>
    <t>Catch fractions covered</t>
  </si>
  <si>
    <t>Species/ Stocks covered for estimation of volume and length of catch fractions</t>
  </si>
  <si>
    <t>Seasonality (Temporal strata)</t>
  </si>
  <si>
    <t xml:space="preserve">Average Number of PSU during the reference years         </t>
  </si>
  <si>
    <t xml:space="preserve">Number of unique vessels sampled </t>
  </si>
  <si>
    <t>Table 4A: Sampling plan description for biological data</t>
  </si>
  <si>
    <t>Number of unique vessels with activity in the stratum</t>
  </si>
  <si>
    <t>Table 4B: Sampling frame description for biological data</t>
  </si>
  <si>
    <t>Stratum ID number</t>
  </si>
  <si>
    <t>Stratum</t>
  </si>
  <si>
    <t xml:space="preserve">Sampling frame description </t>
  </si>
  <si>
    <t xml:space="preserve">Method of PSU selection </t>
  </si>
  <si>
    <t>Table 4C: Data on the fisheries by member state</t>
  </si>
  <si>
    <t>Fleet segment / Metier</t>
  </si>
  <si>
    <t>Targeted species / species assemblage</t>
  </si>
  <si>
    <t xml:space="preserve">Average number of fishing trips </t>
  </si>
  <si>
    <t xml:space="preserve">Average number of fishing days </t>
  </si>
  <si>
    <t xml:space="preserve">Average landings (tons) </t>
  </si>
  <si>
    <t>Average landings (tons) in national ports</t>
  </si>
  <si>
    <t>Average landings (tons) in foreign ports</t>
  </si>
  <si>
    <t>Number of vessels</t>
  </si>
  <si>
    <t>Number of fishing trips</t>
  </si>
  <si>
    <t>Number of fishing days</t>
  </si>
  <si>
    <t>Landings (tons)</t>
  </si>
  <si>
    <t>Landings (tons) in national ports</t>
  </si>
  <si>
    <t>Landings (tons) in foreign ports</t>
  </si>
  <si>
    <t>Table 4D: Landing locations</t>
  </si>
  <si>
    <t>Average landed tonnage of national fleet</t>
  </si>
  <si>
    <t>Average landed tonnage of foreign fleet</t>
  </si>
  <si>
    <t>Unique Survey ID or Name of sampling scheme
(Linked to Table 5A)</t>
  </si>
  <si>
    <t xml:space="preserve">Is the survey part of a pilot study or part of an established programme? 
</t>
  </si>
  <si>
    <t>Are non-response and refusal recorded?
(Linked to Table 5A)</t>
  </si>
  <si>
    <t>Is the sampling design documented?
(Linked to Table 5A)</t>
  </si>
  <si>
    <t>Are the editing and imputation methods documented? (Linked to Table 5A)</t>
  </si>
  <si>
    <t>Achieved numbers</t>
  </si>
  <si>
    <t>% of achievement (100*P/M)</t>
  </si>
  <si>
    <t xml:space="preserve">Table 1F: Incidental by-catch of birds, mammals, reptiles and fish </t>
  </si>
  <si>
    <t>MS participation</t>
  </si>
  <si>
    <t>Period (Month)</t>
  </si>
  <si>
    <t>Frame population</t>
  </si>
  <si>
    <t>Achieved sample number</t>
  </si>
  <si>
    <t>Response Rate %</t>
  </si>
  <si>
    <t>Achieved Sample no/Planned sample no.</t>
  </si>
  <si>
    <t>Area(s)
covered</t>
  </si>
  <si>
    <t>Type of sampling activities</t>
  </si>
  <si>
    <t>International database</t>
  </si>
  <si>
    <t>Indication if AR comments by MS are required concerning effort achieved</t>
  </si>
  <si>
    <t>Indication if AR comments by MS are required concerning temporal and spatial coverage</t>
  </si>
  <si>
    <t>Has there be occurrence of bycatch?</t>
  </si>
  <si>
    <t>Number of PSU sampled in which observers have been instructed to look for bycatch</t>
  </si>
  <si>
    <t>Does your sampling protocol allow for the calculation of observation effort “at haul level” (Y/N)</t>
  </si>
  <si>
    <t>Fish (Y/N/NA)</t>
  </si>
  <si>
    <t>Mammals (Y/N/NA)</t>
  </si>
  <si>
    <t>Birds (Y/N/NA)</t>
  </si>
  <si>
    <t>Reptiles (Y/N/NA)</t>
  </si>
  <si>
    <t>Other (Y/N/NA)</t>
  </si>
  <si>
    <t>Data collected  under control regulation accessible for scientific use (Y/N/I)</t>
  </si>
  <si>
    <t>Informative Data</t>
  </si>
  <si>
    <t>% of achievement (100*Q/N)</t>
  </si>
  <si>
    <t>Number of fishing trips in the stratum</t>
  </si>
  <si>
    <t xml:space="preserve">Number of fishing trips sampled </t>
  </si>
  <si>
    <t>Collection of catch composition data (Y/N)</t>
  </si>
  <si>
    <t xml:space="preserve">AR Comments </t>
  </si>
  <si>
    <t>Total number of PSU in the sampling year</t>
  </si>
  <si>
    <t>Achieved number of PSU in the sampling year</t>
  </si>
  <si>
    <t xml:space="preserve">Is there any mitigation device? (Y/N) </t>
  </si>
  <si>
    <t>In case of financial participation, is payment done? (Y/N)</t>
  </si>
  <si>
    <t>Other data assimilations (Y/N)</t>
  </si>
  <si>
    <t>Was the survey carried out within the official time period? (Y/N)</t>
  </si>
  <si>
    <t>Was the survey carried out within the official survey area? (Y/N)</t>
  </si>
  <si>
    <t>Was the data uploaded to the relevant database? (Y/N)</t>
  </si>
  <si>
    <t>Other data assimilations? (Y/N)</t>
  </si>
  <si>
    <t>Response Rate (%)</t>
  </si>
  <si>
    <t>Number of species with length measurements</t>
  </si>
  <si>
    <t>Total number of length measurements</t>
  </si>
  <si>
    <t>Is the fleet segment/ metier covered by any stratum (Y/N)</t>
  </si>
  <si>
    <t>Was the sampling carried out? (Y/N/P)</t>
  </si>
  <si>
    <t>IRL</t>
  </si>
  <si>
    <t>Extended North - Western waters (ICES area V,VI and VII)</t>
  </si>
  <si>
    <t>North - Western waters (ICES area Vb (only Union waters), VI and VII)</t>
  </si>
  <si>
    <t>North Sea</t>
  </si>
  <si>
    <t>North Sea (ICES Areas IIIa &amp; IV)</t>
  </si>
  <si>
    <t>18-&lt; 24 m</t>
  </si>
  <si>
    <t>TBB_DEF_70-99_0_0; TBB_DEF_100-119_0_0</t>
  </si>
  <si>
    <t>Vessel register</t>
  </si>
  <si>
    <t>24-&lt; 40 m</t>
  </si>
  <si>
    <t>Demersal trawlers and/or demersal seiners</t>
  </si>
  <si>
    <t>OTB_CRU_70-99_0_0;  OTB_DEF_70-99_0_0;  OTB_DEF_100-119_0_0</t>
  </si>
  <si>
    <t>OTB_DEF_70-99_0_0; OTB_CRU_70-99_0_0;   OTB_DEF_100-119_0_0; OTB_CRU_100-119_0_0</t>
  </si>
  <si>
    <t>OTB_CRU_70-99_0_0;  OTB_DEF_70-99_0_0;  OTB_DEF_100-119_0_0;  SSC_DEF_100-119_0_0;  OTB_CRU_100-119_0_0;  OTB_DEF_&gt;=120_0_0</t>
  </si>
  <si>
    <t>OTB_DEF_100-119_0_0;  OTB_CRU_70-99_0_0;  OTB_DEF_70-99_0_0;  SSC_DEF_100-119_0_0;  OTB_DEF_&lt;16_0_0;  OTB_CRU_100-119_0_0</t>
  </si>
  <si>
    <t>OTB_DEF_100-119_0_0;  OTB_CRU_70-99_0_0;  OTB_DEF_70-99_0_0;  SSC_DEF_100-119_0_0</t>
  </si>
  <si>
    <t>10-&lt; 12 m</t>
  </si>
  <si>
    <t>PTM_SPF_16-31_0_0;  PTM_SPF_32-69_0_0</t>
  </si>
  <si>
    <t>12-&lt; 18 m</t>
  </si>
  <si>
    <t>PTM_SPF_32-69_0_0; PTM_SPF_100-119_0_0</t>
  </si>
  <si>
    <t>Pelagic trawlers</t>
  </si>
  <si>
    <t>PTM_SPF_16-31_0_0;  PTM_SPF_32-69_0_0;  PTM_SPF_100-119_0_0</t>
  </si>
  <si>
    <t>40 m or larger</t>
  </si>
  <si>
    <t>PTM_SPF_32-69_0_0; PTM_SPF_100-119_0_0;  PTM_LPF_&gt;=120_0_0</t>
  </si>
  <si>
    <t>0-&lt; 10 m</t>
  </si>
  <si>
    <t>GNS_DEF_120-219_0_0;  GNS_DEF_&gt;=220_0_0</t>
  </si>
  <si>
    <t>GNS_DEF_120-219_0_0;  GNS_DEF_&gt;=220_0_0;  GNS_CRU_&gt;=220_0_0;  GTR_DEF_&gt;=220_0_0;  GNS_CRU_120-219_0_0</t>
  </si>
  <si>
    <t>Dredgers</t>
  </si>
  <si>
    <t>DRB_MOL_0_0</t>
  </si>
  <si>
    <t>Vessels using Pots and/or traps</t>
  </si>
  <si>
    <t>FPO_CRU_0-0_0_0</t>
  </si>
  <si>
    <t>FPO_CRU_0-0_0_0;  FPO_MOL_0-0_0_0</t>
  </si>
  <si>
    <t>Vessels using hooks</t>
  </si>
  <si>
    <t>LHP_SPF_0_0_0</t>
  </si>
  <si>
    <t>Inactive vessels</t>
  </si>
  <si>
    <t>Vessels using active and passive gears*</t>
  </si>
  <si>
    <t>All Métiers</t>
  </si>
  <si>
    <t>Logbook/Register/VMS</t>
  </si>
  <si>
    <t>Sales Notes/Sentinel Vessel Programme</t>
  </si>
  <si>
    <t>Non-Probability Sample Survey</t>
  </si>
  <si>
    <t>Vessels using active and passive gears</t>
  </si>
  <si>
    <t>PTM_SPF_32-69_0_0</t>
  </si>
  <si>
    <t>Landings declaration/Sales notes</t>
  </si>
  <si>
    <t>2013-2015</t>
  </si>
  <si>
    <t>North Sea (ICES areas IIIa and IV), Eastern Arctic (ICES areas I and II)</t>
  </si>
  <si>
    <t>I, II</t>
  </si>
  <si>
    <t>None</t>
  </si>
  <si>
    <t>Brosme brosme</t>
  </si>
  <si>
    <t>Clupea harengus</t>
  </si>
  <si>
    <t>I, II,</t>
  </si>
  <si>
    <t>Sum of &lt;10% quota = 19%</t>
  </si>
  <si>
    <t>&lt;200</t>
  </si>
  <si>
    <t>Mallotus villosus</t>
  </si>
  <si>
    <t>Melanogrammus aeglefinus</t>
  </si>
  <si>
    <t>Micromesistius poutassou</t>
  </si>
  <si>
    <t xml:space="preserve">I-II </t>
  </si>
  <si>
    <t>-</t>
  </si>
  <si>
    <t>Included in the "I-IX, XII, XIV" stock</t>
  </si>
  <si>
    <t>Pandalus borealis</t>
  </si>
  <si>
    <t>Pollachius virens</t>
  </si>
  <si>
    <t>Reinhardtius hippoglossoides</t>
  </si>
  <si>
    <t>Scomber scombrus</t>
  </si>
  <si>
    <t xml:space="preserve">II, </t>
  </si>
  <si>
    <t>Included in the "II, IIIa, IV, V, VI, VII, VIII, IX" stock</t>
  </si>
  <si>
    <t>Sebastes marinus.</t>
  </si>
  <si>
    <t>Sebastes mentella.</t>
  </si>
  <si>
    <t>Trachurus trachurus</t>
  </si>
  <si>
    <t xml:space="preserve">IIa, </t>
  </si>
  <si>
    <t>Included in the "IIa, IVa, Vb, VIa, VIIa-c, e-k, VIIIabde" stock</t>
  </si>
  <si>
    <t>Ammodytidae</t>
  </si>
  <si>
    <t>IV</t>
  </si>
  <si>
    <t>Anarhichas spp.</t>
  </si>
  <si>
    <t>IV, VIId</t>
  </si>
  <si>
    <t>Argentina spp.</t>
  </si>
  <si>
    <t>Crangon crangon</t>
  </si>
  <si>
    <t>Dicentrarchus labrax</t>
  </si>
  <si>
    <t>Eutrigla gurnardus</t>
  </si>
  <si>
    <t>Glyptocephalus cynoglossus</t>
  </si>
  <si>
    <t>Helicolenus dactylopterus</t>
  </si>
  <si>
    <t>Lepidorhombus boscii</t>
  </si>
  <si>
    <t>Lepidorhombus whiffiagonis</t>
  </si>
  <si>
    <t>Limanda limanda</t>
  </si>
  <si>
    <t>Lophius budegassa</t>
  </si>
  <si>
    <t>Lophius piscatorius</t>
  </si>
  <si>
    <t>Macrourus berglax</t>
  </si>
  <si>
    <t>Merlangius merlangus</t>
  </si>
  <si>
    <t>Merluccius merluccius</t>
  </si>
  <si>
    <t>IV VII</t>
  </si>
  <si>
    <t>Presumably this should be IV, VId</t>
  </si>
  <si>
    <t>Microstomus kitt</t>
  </si>
  <si>
    <t>Molva dypterygia</t>
  </si>
  <si>
    <t>Molva molva</t>
  </si>
  <si>
    <t>Mullus barbatus</t>
  </si>
  <si>
    <t>Mullus surmuletus</t>
  </si>
  <si>
    <t>Nephrops norvegicus</t>
  </si>
  <si>
    <t>all functional units</t>
  </si>
  <si>
    <t>IVa East/IVa/IV</t>
  </si>
  <si>
    <t>Pecten maximus</t>
  </si>
  <si>
    <t>VIId</t>
  </si>
  <si>
    <t>Phycis blennoides</t>
  </si>
  <si>
    <t>Phycis phycis</t>
  </si>
  <si>
    <t>Platichthys flesus</t>
  </si>
  <si>
    <t>Pleuronectes platessa</t>
  </si>
  <si>
    <t>Psetta maxima</t>
  </si>
  <si>
    <t>Scophthalmus rhombus</t>
  </si>
  <si>
    <t>Solea solea</t>
  </si>
  <si>
    <t>Sprattus sprattus</t>
  </si>
  <si>
    <t>IV/VIId</t>
  </si>
  <si>
    <t>Trachurus trachurus.</t>
  </si>
  <si>
    <t>Trigla lucerna</t>
  </si>
  <si>
    <t>Trisopterus esmarki</t>
  </si>
  <si>
    <t>Zeus faber</t>
  </si>
  <si>
    <t>Selachii, Rajidae</t>
  </si>
  <si>
    <t>Zero quota for all species in those areas</t>
  </si>
  <si>
    <t>Alepocephalus bairdii</t>
  </si>
  <si>
    <t>North Western waters (ICES areas Vb (only Union waters), VI and VII)</t>
  </si>
  <si>
    <t>NEAFC</t>
  </si>
  <si>
    <t>VI, XII</t>
  </si>
  <si>
    <t>VIa</t>
  </si>
  <si>
    <t>Capros aper</t>
  </si>
  <si>
    <t>V, VI,VII</t>
  </si>
  <si>
    <t>IV, VI, VII</t>
  </si>
  <si>
    <t>Aequipecten opercularis</t>
  </si>
  <si>
    <t>Maja squinado</t>
  </si>
  <si>
    <t>all areas</t>
  </si>
  <si>
    <t>Aphanopus spp.</t>
  </si>
  <si>
    <t>No landings.</t>
  </si>
  <si>
    <t>Argyrosomus regius</t>
  </si>
  <si>
    <t>Aspitrigla cuculus</t>
  </si>
  <si>
    <t>Beryx spp.</t>
  </si>
  <si>
    <t>all areas, excluding X and IXa</t>
  </si>
  <si>
    <t>Southern Western waters (ICES zones VIII, IX and X (waters around Azores), CECAF areas 34.1.1, 34.1.2 and 34.2.0 (waters around Madeira and the Canary Islands))</t>
  </si>
  <si>
    <t>IXa and X</t>
  </si>
  <si>
    <t>Cancer pagurus</t>
  </si>
  <si>
    <t>Duplicated stock, See VIaN and VIaS</t>
  </si>
  <si>
    <t>VIaN</t>
  </si>
  <si>
    <t xml:space="preserve">Deselected from sampling </t>
  </si>
  <si>
    <t>VIaS</t>
  </si>
  <si>
    <t>Zero TAC, sample on surveys only until fishery opens again</t>
  </si>
  <si>
    <t>VIIa</t>
  </si>
  <si>
    <t>VIIj</t>
  </si>
  <si>
    <t>Interpreting this as VIIa(S),VIIg and VIIj</t>
  </si>
  <si>
    <t>Conger conger</t>
  </si>
  <si>
    <t>all areas, excluding X</t>
  </si>
  <si>
    <t>Coryphaenoides rupestris</t>
  </si>
  <si>
    <t>Dalatias licha</t>
  </si>
  <si>
    <t>All areas</t>
  </si>
  <si>
    <t>Dasyatis pastinaca</t>
  </si>
  <si>
    <t>VII, VIII</t>
  </si>
  <si>
    <t>Deania calcea</t>
  </si>
  <si>
    <t>V, VI, VII, IX, X, XII</t>
  </si>
  <si>
    <t>all areas, excluding IX</t>
  </si>
  <si>
    <t>IX</t>
  </si>
  <si>
    <t>Dicologlossa cuneata</t>
  </si>
  <si>
    <t>VIIIc, IX</t>
  </si>
  <si>
    <t>Engraulis encrasicolus</t>
  </si>
  <si>
    <t>IXa (only Cádiz)</t>
  </si>
  <si>
    <t>VIII</t>
  </si>
  <si>
    <t>Etmopterus spinax</t>
  </si>
  <si>
    <t>VI, VII, VIII</t>
  </si>
  <si>
    <t>VIId,e</t>
  </si>
  <si>
    <t>Va</t>
  </si>
  <si>
    <t>Vb</t>
  </si>
  <si>
    <t>Cod plan</t>
  </si>
  <si>
    <t>VIb</t>
  </si>
  <si>
    <t>Below threshold but will be sampled for stock assessment</t>
  </si>
  <si>
    <t>VIIe-k</t>
  </si>
  <si>
    <t>VI, VII</t>
  </si>
  <si>
    <t>Homarus gammarus</t>
  </si>
  <si>
    <t>Below threshold but will sample anyway</t>
  </si>
  <si>
    <t>Hoplostethus atlanticus</t>
  </si>
  <si>
    <t>Zero TAC</t>
  </si>
  <si>
    <t>Lepidopus caudatus</t>
  </si>
  <si>
    <t>IXa</t>
  </si>
  <si>
    <t>VIIIc, IXa</t>
  </si>
  <si>
    <t>VI</t>
  </si>
  <si>
    <t>VII, VIIIabd</t>
  </si>
  <si>
    <t>VIIe</t>
  </si>
  <si>
    <t>VIIa,f-h</t>
  </si>
  <si>
    <t>landings &lt;200t</t>
  </si>
  <si>
    <t>Loligo vulgaris</t>
  </si>
  <si>
    <t>all areas, excluding VIIIc, IXa</t>
  </si>
  <si>
    <t>IV, VI</t>
  </si>
  <si>
    <t>VIIb-k, VIIIabd</t>
  </si>
  <si>
    <t>Below threshold but will sample anyway. Sum of &lt;10% quota = 23%</t>
  </si>
  <si>
    <t>Lophius piscatorious</t>
  </si>
  <si>
    <t>XIV</t>
  </si>
  <si>
    <t>Landings expected to increase &gt;200t</t>
  </si>
  <si>
    <t>VIIb-k</t>
  </si>
  <si>
    <t>IX, X</t>
  </si>
  <si>
    <t>landings &lt;200t but will sample anyway</t>
  </si>
  <si>
    <t>IIIa, IV, VI, VII, VIIIab</t>
  </si>
  <si>
    <t>Below threshold but will sample for stock assessment</t>
  </si>
  <si>
    <t>No landings</t>
  </si>
  <si>
    <t>Microchirus variegatus</t>
  </si>
  <si>
    <t>I-IX, XII, XIV</t>
  </si>
  <si>
    <t>Molva macrophthalma</t>
  </si>
  <si>
    <t>Sum of &lt;10% quota = 9%</t>
  </si>
  <si>
    <t>Mustelus asterias</t>
  </si>
  <si>
    <t>VI, VII, VIII, IX</t>
  </si>
  <si>
    <t>Mustelus mustelus</t>
  </si>
  <si>
    <t>Mustelus punctulatus</t>
  </si>
  <si>
    <t>VI Fuctional unit</t>
  </si>
  <si>
    <t>Landings &lt;200t</t>
  </si>
  <si>
    <t>VII Functional unit</t>
  </si>
  <si>
    <t>VIII, IX Functional unit</t>
  </si>
  <si>
    <t>Octopus vulgaris</t>
  </si>
  <si>
    <t>Pagellus bogaraveo</t>
  </si>
  <si>
    <t>IXa, X</t>
  </si>
  <si>
    <t>Pandalus spp.</t>
  </si>
  <si>
    <t>Parapenaeus longirostris</t>
  </si>
  <si>
    <t>VIIfg</t>
  </si>
  <si>
    <t>VIIbc</t>
  </si>
  <si>
    <t>VIIh-k</t>
  </si>
  <si>
    <t>VIII, IX, X</t>
  </si>
  <si>
    <t>Pollachius pollachius</t>
  </si>
  <si>
    <t>all areas except IX, X</t>
  </si>
  <si>
    <t>15, 8, 1</t>
  </si>
  <si>
    <t>TAC share 15% in VI; 8% in VII and 1% in VIII</t>
  </si>
  <si>
    <t>IV, IIIa, VI</t>
  </si>
  <si>
    <t>Polyprion americanus</t>
  </si>
  <si>
    <t>V, XIV</t>
  </si>
  <si>
    <t>Hippoglossus hippoglossus</t>
  </si>
  <si>
    <t>Sardina pilchardus</t>
  </si>
  <si>
    <t>VIIIabd</t>
  </si>
  <si>
    <t>Scomber colias</t>
  </si>
  <si>
    <t>II, IIIa, IV, V, VI, VII, VIII, IX</t>
  </si>
  <si>
    <t>Sebastes marinus</t>
  </si>
  <si>
    <t>ICES Sub areas V, VI, XII, XIV &amp; NAFO SA 2 + (Div. 1F + 3K).</t>
  </si>
  <si>
    <t>Sebastes mentella</t>
  </si>
  <si>
    <t>ICES Sub areas V, VI, XII, XIV &amp; NAFO SA 2 + (Div. 1F + 3K)</t>
  </si>
  <si>
    <t>Sepia officinalis</t>
  </si>
  <si>
    <t>VIIhjk</t>
  </si>
  <si>
    <t>VIIIc</t>
  </si>
  <si>
    <t>VIIIab</t>
  </si>
  <si>
    <t>Sparidae</t>
  </si>
  <si>
    <t>Trachurus mediterraneus</t>
  </si>
  <si>
    <t>VIII, IX</t>
  </si>
  <si>
    <t>Trachurus picturatus</t>
  </si>
  <si>
    <t>IIa, IVa, Vb, VIa, VIIa-c, e-k, VIIIabde</t>
  </si>
  <si>
    <t>Trisopterus spp.</t>
  </si>
  <si>
    <t>Area mis-specified in table 1A of EUMAP. Stocks for NW waters listed below</t>
  </si>
  <si>
    <t>Raja brachyura</t>
  </si>
  <si>
    <t>VIIafg</t>
  </si>
  <si>
    <t>Not in table 1A of EUMAP. Generic TAC for all rays and skates</t>
  </si>
  <si>
    <t>Leucoraja naevus</t>
  </si>
  <si>
    <t>VI, VII, VIIIabd</t>
  </si>
  <si>
    <t>Leucoraja circularis</t>
  </si>
  <si>
    <t>VI, VIIabcefghjk</t>
  </si>
  <si>
    <t>Leucoraja fullonica</t>
  </si>
  <si>
    <t>Raja microocellata</t>
  </si>
  <si>
    <t>Raja montagui</t>
  </si>
  <si>
    <t>VIIaefg</t>
  </si>
  <si>
    <t>Raja clavata</t>
  </si>
  <si>
    <t>Raja undulata</t>
  </si>
  <si>
    <t>VIIbj</t>
  </si>
  <si>
    <t>Dipturus batis</t>
  </si>
  <si>
    <t>Other skates and rays</t>
  </si>
  <si>
    <t>Thunnus albacares</t>
  </si>
  <si>
    <t>Other</t>
  </si>
  <si>
    <t>ICCAT</t>
  </si>
  <si>
    <t>Atlantic Ocean and adjacent seas</t>
  </si>
  <si>
    <t>Thunnus obesus</t>
  </si>
  <si>
    <t>Katsuwonus pelamis</t>
  </si>
  <si>
    <t>Thunnus alalunga</t>
  </si>
  <si>
    <t>Below threshold but will sample</t>
  </si>
  <si>
    <t>Thunnus thynnus</t>
  </si>
  <si>
    <t>&lt;1</t>
  </si>
  <si>
    <t>Xiphias gladius</t>
  </si>
  <si>
    <t>Makaira nigricans (or mazara)</t>
  </si>
  <si>
    <t>Istiophorus albicans</t>
  </si>
  <si>
    <t>Tetrapturus albidus</t>
  </si>
  <si>
    <t>Prionace glauca</t>
  </si>
  <si>
    <t>Auxis rochei</t>
  </si>
  <si>
    <t>Sarda sarda</t>
  </si>
  <si>
    <t>Euthynnus alleteratus</t>
  </si>
  <si>
    <t>Thunnus atlanticus</t>
  </si>
  <si>
    <t>Orcynopsis unicolor</t>
  </si>
  <si>
    <t>Scomberomorus brasiliensis</t>
  </si>
  <si>
    <t>Scomberomorus regalis</t>
  </si>
  <si>
    <t>Auxis thazard</t>
  </si>
  <si>
    <t>Scomberomorus cavalla</t>
  </si>
  <si>
    <t>Scomberomorus tritor</t>
  </si>
  <si>
    <t>Scomberomorus maculatus</t>
  </si>
  <si>
    <t>Acanthocybium solandri</t>
  </si>
  <si>
    <t>Coryphaena hippurus</t>
  </si>
  <si>
    <t>x</t>
  </si>
  <si>
    <t xml:space="preserve">Coastal states mackerel meeting </t>
  </si>
  <si>
    <t xml:space="preserve">Atlantic Albacore stock assessment session </t>
  </si>
  <si>
    <t>Sharks species group intersessional meeting</t>
  </si>
  <si>
    <t>Bluefin species group intersessional meeting</t>
  </si>
  <si>
    <t>Meeting of the Standing Committee on Research and statistics</t>
  </si>
  <si>
    <t>SCRS Species Groups meetings (SC Statistics 26-27)</t>
  </si>
  <si>
    <t>WP</t>
  </si>
  <si>
    <t>Otoliths collected but not aged</t>
  </si>
  <si>
    <t>M</t>
  </si>
  <si>
    <t>Monthly but only during the fishing season</t>
  </si>
  <si>
    <t xml:space="preserve">Q </t>
  </si>
  <si>
    <t xml:space="preserve">Other </t>
  </si>
  <si>
    <t>Q</t>
  </si>
  <si>
    <t>L,A,W: quarterly; S,M: Annual. Illicia collected but not aged</t>
  </si>
  <si>
    <t>L,A,W: quarterly; S,M: Annual</t>
  </si>
  <si>
    <t>L,A,W: quarterly; S,M: Annual. Otoliths collected but not aged</t>
  </si>
  <si>
    <t>L,S,M: quarterly; W: Annual</t>
  </si>
  <si>
    <t>No age-based assessment</t>
  </si>
  <si>
    <t>L,A,W: quarterly; S: Annual</t>
  </si>
  <si>
    <t>Only from surveys</t>
  </si>
  <si>
    <t>Commercial</t>
  </si>
  <si>
    <t>0</t>
  </si>
  <si>
    <t xml:space="preserve">Increased to reflect actual sampling  </t>
  </si>
  <si>
    <r>
      <t xml:space="preserve">5 per 1/2 cm group </t>
    </r>
    <r>
      <rPr>
        <sz val="10"/>
        <rFont val="Arial"/>
        <family val="2"/>
      </rPr>
      <t xml:space="preserve">Increased to reflect actual sampling  </t>
    </r>
  </si>
  <si>
    <t>Sex</t>
  </si>
  <si>
    <t>Maturity</t>
  </si>
  <si>
    <t>Survey</t>
  </si>
  <si>
    <r>
      <t>1 per 1/2 cm per strata</t>
    </r>
    <r>
      <rPr>
        <sz val="10"/>
        <rFont val="Arial"/>
        <family val="2"/>
      </rPr>
      <t xml:space="preserve"> Increased to reflect actual sampling  </t>
    </r>
  </si>
  <si>
    <t xml:space="preserve">increased to reflect actual sampling  </t>
  </si>
  <si>
    <t>Not selected for sampling</t>
  </si>
  <si>
    <t>Not selected for sampling pending outcome of ICES WG review of ageing methods</t>
  </si>
  <si>
    <t>Sampled from scallops submitted to the national biotoxin monitoring programme and originating from commercial vessels</t>
  </si>
  <si>
    <t xml:space="preserve">Decreased: reflective of actual numbers sampled </t>
  </si>
  <si>
    <t xml:space="preserve">sampleled at sea on commercial trips, no scales on board  </t>
  </si>
  <si>
    <t>deselected as there was an error in the landing figure</t>
  </si>
  <si>
    <t xml:space="preserve">Reflective of actual numbers sampled </t>
  </si>
  <si>
    <t xml:space="preserve">1 per 1/2 cm per strata </t>
  </si>
  <si>
    <t xml:space="preserve">Increased: Reflective of actual numbers sampled </t>
  </si>
  <si>
    <t>Increase:Reflective of actual numbers sampled Monitoring TAC</t>
  </si>
  <si>
    <t xml:space="preserve">5 per length  class  Increased: Reflective of actual numbers sampled </t>
  </si>
  <si>
    <r>
      <t xml:space="preserve">1 per 1/2 cm per strata </t>
    </r>
    <r>
      <rPr>
        <sz val="10"/>
        <rFont val="Arial"/>
        <family val="2"/>
      </rPr>
      <t>Increase:Reflective of actual numbers sampled</t>
    </r>
  </si>
  <si>
    <t xml:space="preserve">Increase :Reflective of actual numbers sampled </t>
  </si>
  <si>
    <r>
      <t xml:space="preserve">50 per sample </t>
    </r>
    <r>
      <rPr>
        <sz val="10"/>
        <rFont val="Arial"/>
        <family val="2"/>
      </rPr>
      <t xml:space="preserve">Increase Reflective of actual numbers sampled </t>
    </r>
  </si>
  <si>
    <t>Commercial sampling only</t>
  </si>
  <si>
    <r>
      <t xml:space="preserve">interpret this as VIIa(S),VIIg and VIIj  </t>
    </r>
    <r>
      <rPr>
        <sz val="10"/>
        <rFont val="Arial"/>
        <family val="2"/>
      </rPr>
      <t xml:space="preserve">Increase: Reflective of actual numbers sampled </t>
    </r>
  </si>
  <si>
    <r>
      <t xml:space="preserve">interpret this as VIIa(S),VIIg and VIIj </t>
    </r>
    <r>
      <rPr>
        <sz val="10"/>
        <rFont val="Arial"/>
        <family val="2"/>
      </rPr>
      <t xml:space="preserve"> Decrease: Reflective of actual numbers sampled </t>
    </r>
  </si>
  <si>
    <t>interpret this as VIIa(S),VIIg and VIIj</t>
  </si>
  <si>
    <t xml:space="preserve">interpret this as VIIa(S),VIIg and VIIj  50 per sample </t>
  </si>
  <si>
    <r>
      <t xml:space="preserve">target is one fish per 1 cm size class per sample </t>
    </r>
    <r>
      <rPr>
        <sz val="10"/>
        <rFont val="Arial"/>
        <family val="2"/>
      </rPr>
      <t xml:space="preserve">Reduced: to reflect actual numbers sampled </t>
    </r>
  </si>
  <si>
    <t>Survey sampling only</t>
  </si>
  <si>
    <t xml:space="preserve">As per IBTS Manual  </t>
  </si>
  <si>
    <t xml:space="preserve">As per IBTS Manual: Increased   </t>
  </si>
  <si>
    <t>target is one fish per 1 cm size class per sample</t>
  </si>
  <si>
    <t>Survey only</t>
  </si>
  <si>
    <t>Reselected</t>
  </si>
  <si>
    <r>
      <t xml:space="preserve">target is two fish per 1 cm size class per sample </t>
    </r>
    <r>
      <rPr>
        <sz val="10"/>
        <rFont val="Arial"/>
        <family val="2"/>
      </rPr>
      <t xml:space="preserve">Decreased: Reflective of actual numbers sampled  </t>
    </r>
  </si>
  <si>
    <t xml:space="preserve">Survey only  </t>
  </si>
  <si>
    <t xml:space="preserve">as per IBTS Manual  </t>
  </si>
  <si>
    <t>target is two fish per 1 cm size class per sample</t>
  </si>
  <si>
    <r>
      <t xml:space="preserve">as per IBTS Manua </t>
    </r>
    <r>
      <rPr>
        <sz val="10"/>
        <rFont val="Arial"/>
        <family val="2"/>
      </rPr>
      <t xml:space="preserve">lncreased Reflective of actual numbers sampled  </t>
    </r>
  </si>
  <si>
    <t xml:space="preserve">Decreased: Reflective of actual numbers sampled </t>
  </si>
  <si>
    <r>
      <t xml:space="preserve">target is one fish per 2 cm size class per sample </t>
    </r>
    <r>
      <rPr>
        <sz val="10"/>
        <rFont val="Arial"/>
        <family val="2"/>
      </rPr>
      <t>Decreased: Reflective of actual numbers sampled</t>
    </r>
  </si>
  <si>
    <t>target is one fish per 2 cm size class per sample</t>
  </si>
  <si>
    <r>
      <t xml:space="preserve">as per IBTS Manual  </t>
    </r>
    <r>
      <rPr>
        <sz val="10"/>
        <rFont val="Arial"/>
        <family val="2"/>
      </rPr>
      <t xml:space="preserve">Decreased: Reflective of actual numbers sampled </t>
    </r>
  </si>
  <si>
    <r>
      <t xml:space="preserve">target is one fish per 1 cm size class per sample </t>
    </r>
    <r>
      <rPr>
        <sz val="10"/>
        <rFont val="Arial"/>
        <family val="2"/>
      </rPr>
      <t xml:space="preserve">Decreased: Reflective of actual numbers sampled </t>
    </r>
  </si>
  <si>
    <r>
      <t xml:space="preserve">as per IBTS Manual  </t>
    </r>
    <r>
      <rPr>
        <sz val="10"/>
        <rFont val="Arial"/>
        <family val="2"/>
      </rPr>
      <t xml:space="preserve">numbers increased  </t>
    </r>
  </si>
  <si>
    <t xml:space="preserve">Survey Sampling only  </t>
  </si>
  <si>
    <r>
      <t xml:space="preserve">as per IBTS Manual  </t>
    </r>
    <r>
      <rPr>
        <sz val="10"/>
        <rFont val="Arial"/>
        <family val="2"/>
      </rPr>
      <t xml:space="preserve">Increased: to reflect actual sampling  </t>
    </r>
  </si>
  <si>
    <t xml:space="preserve">100 per sample  </t>
  </si>
  <si>
    <r>
      <t xml:space="preserve">100 per sample  </t>
    </r>
    <r>
      <rPr>
        <sz val="10"/>
        <rFont val="Arial"/>
        <family val="2"/>
      </rPr>
      <t xml:space="preserve">Increased Reflective of actual numbers sampled </t>
    </r>
  </si>
  <si>
    <r>
      <t xml:space="preserve">as per IBTS Manual  </t>
    </r>
    <r>
      <rPr>
        <sz val="10"/>
        <rFont val="Arial"/>
        <family val="2"/>
      </rPr>
      <t xml:space="preserve">Decreased: reflective of actual sampling  </t>
    </r>
  </si>
  <si>
    <r>
      <t xml:space="preserve">as per IBTS Manual  </t>
    </r>
    <r>
      <rPr>
        <sz val="10"/>
        <rFont val="Arial"/>
        <family val="2"/>
      </rPr>
      <t xml:space="preserve">Increased: reflective of actual sampling  </t>
    </r>
  </si>
  <si>
    <t xml:space="preserve">Increased : Reflective of actual numbers sampled </t>
  </si>
  <si>
    <r>
      <t xml:space="preserve">target is one fish per 1 cm size class per sample </t>
    </r>
    <r>
      <rPr>
        <sz val="10"/>
        <rFont val="Arial"/>
        <family val="2"/>
      </rPr>
      <t xml:space="preserve">Increased to reflect actual sampling  </t>
    </r>
  </si>
  <si>
    <r>
      <t xml:space="preserve">target is one fish per 1 cm size class per sample </t>
    </r>
    <r>
      <rPr>
        <sz val="10"/>
        <rFont val="Arial"/>
        <family val="2"/>
      </rPr>
      <t xml:space="preserve">Increased: reflective of actual sampling  </t>
    </r>
  </si>
  <si>
    <r>
      <t xml:space="preserve">target is one fish per 1 cm size class per sample </t>
    </r>
    <r>
      <rPr>
        <sz val="10"/>
        <rFont val="Arial"/>
        <family val="2"/>
      </rPr>
      <t xml:space="preserve">Survey Sampling only  </t>
    </r>
  </si>
  <si>
    <r>
      <t xml:space="preserve">5-10 per cm class </t>
    </r>
    <r>
      <rPr>
        <sz val="10"/>
        <rFont val="Arial"/>
        <family val="2"/>
      </rPr>
      <t xml:space="preserve">Decreased: to reflect actual sampling  </t>
    </r>
  </si>
  <si>
    <r>
      <t xml:space="preserve">5-10 per length class </t>
    </r>
    <r>
      <rPr>
        <sz val="10"/>
        <rFont val="Arial"/>
        <family val="2"/>
      </rPr>
      <t xml:space="preserve">Decreased: to reflect actual sampling  </t>
    </r>
  </si>
  <si>
    <r>
      <t xml:space="preserve">target is two fish per 1 cm size class per sample </t>
    </r>
    <r>
      <rPr>
        <sz val="10"/>
        <rFont val="Arial"/>
        <family val="2"/>
      </rPr>
      <t xml:space="preserve">Increased: to reflect actual sampling  </t>
    </r>
  </si>
  <si>
    <t xml:space="preserve">Deselected based on landings  </t>
  </si>
  <si>
    <t xml:space="preserve">Decreased to reflect actual sampling  </t>
  </si>
  <si>
    <t xml:space="preserve">increased number collected on survey </t>
  </si>
  <si>
    <r>
      <rPr>
        <sz val="10"/>
        <rFont val="Arial"/>
        <family val="2"/>
      </rPr>
      <t xml:space="preserve">As Per IBTS manual  Decreased: to reflect actual sampling  </t>
    </r>
  </si>
  <si>
    <r>
      <t xml:space="preserve">As Per IBTS manual  </t>
    </r>
    <r>
      <rPr>
        <sz val="10"/>
        <rFont val="Arial"/>
        <family val="2"/>
      </rPr>
      <t xml:space="preserve">Decreased: to reflect actual sampling  </t>
    </r>
  </si>
  <si>
    <t xml:space="preserve">As Per IBTS manual  </t>
  </si>
  <si>
    <t xml:space="preserve">Decreased: to reflect actual sampling  </t>
  </si>
  <si>
    <t>Decreased: to reflect actual sampling</t>
  </si>
  <si>
    <t>DEU, IRL,NLD,SCO,POR,ESP (IEO/AZTI),FRO, ICE</t>
  </si>
  <si>
    <t>1000</t>
  </si>
  <si>
    <t xml:space="preserve">as per MEGS manual  </t>
  </si>
  <si>
    <t>200</t>
  </si>
  <si>
    <t xml:space="preserve">Salmon </t>
  </si>
  <si>
    <t>National Coded Wire Tagging programme</t>
  </si>
  <si>
    <t>Catch estimates on selected rivers, see table 1E for detail on river locations</t>
  </si>
  <si>
    <t xml:space="preserve">Sea Bass </t>
  </si>
  <si>
    <t xml:space="preserve">Historical derogation under Regualtion 199/2008 IRL WP 2011-2013  due to results of  pilot programme presented at STECF EWG 12-02 (low levels of removals and a catch and release fishery) New pilot study proposed </t>
  </si>
  <si>
    <t xml:space="preserve">To be determined </t>
  </si>
  <si>
    <t xml:space="preserve">Pilot Study </t>
  </si>
  <si>
    <t xml:space="preserve">See Pilot Study 1 for detail on proposed pilot survey porgramme to be designed  in 2017 for implementation and results in 2018. Updates in the 2019 programme on new timelines and work plan  </t>
  </si>
  <si>
    <t>Eel</t>
  </si>
  <si>
    <t>Historical derogation under Regualtion 199/2008 IRL WP 2011-2013  presented at STECF EWG 12-02  (catch and release fishery with minimal numbers), no recreational fishery- eel protected under byelaw 319,2015</t>
  </si>
  <si>
    <t>Pilot study in the marine only</t>
  </si>
  <si>
    <t>Under bye law 319,2015 it is prohibited  to take/fish or attempt to fish for eel in any district in Ireland. This law also prohibits the sale or attempt to sell ell in any fishery. Marine recreational pilot study will monitor any bycatch</t>
  </si>
  <si>
    <t>Cod</t>
  </si>
  <si>
    <t xml:space="preserve">New sampling requirement:  Pilot study proposed </t>
  </si>
  <si>
    <t xml:space="preserve">See Pilot Study 1 for detail on proposed pilot survey porgramme to be designed in in 2017 for implementation and results in 2018 Updates in the 2019 programme on new timelines and work plan  </t>
  </si>
  <si>
    <t>Pollack</t>
  </si>
  <si>
    <t xml:space="preserve">Historical derogation under Regualtion 199/2008 IRL WP 2011-2013  presented at STECF EWG 12-02 ( catch and release fishery) New pilot study proposed </t>
  </si>
  <si>
    <t xml:space="preserve">Higly Migratory Species </t>
  </si>
  <si>
    <t>Northeast Atlantic</t>
  </si>
  <si>
    <t>y</t>
  </si>
  <si>
    <t>BUNDORRAGHA RIVER</t>
  </si>
  <si>
    <t>adult</t>
  </si>
  <si>
    <t>F/I</t>
  </si>
  <si>
    <t>Catch reports</t>
  </si>
  <si>
    <t>n. release sites</t>
  </si>
  <si>
    <t>BURRISHOOLE RIVER</t>
  </si>
  <si>
    <t>CONG RIVER</t>
  </si>
  <si>
    <t>CORRIB RIVER</t>
  </si>
  <si>
    <t>ERNE RIVER</t>
  </si>
  <si>
    <t>LEE RIVER</t>
  </si>
  <si>
    <t>SHANNON RIVER</t>
  </si>
  <si>
    <t>Erne</t>
  </si>
  <si>
    <t>I</t>
  </si>
  <si>
    <t>Counter</t>
  </si>
  <si>
    <t>n. counter</t>
  </si>
  <si>
    <t>ESB operated, not funded under the EMFF programme</t>
  </si>
  <si>
    <t>Clady</t>
  </si>
  <si>
    <t>Shannon</t>
  </si>
  <si>
    <t>Lee</t>
  </si>
  <si>
    <t>Atlantic</t>
  </si>
  <si>
    <t>recruits</t>
  </si>
  <si>
    <t>Trap</t>
  </si>
  <si>
    <t>n. trap</t>
  </si>
  <si>
    <t>ESB operated Cathaleens Fall 3 traps, not funded under the EMFF programme</t>
  </si>
  <si>
    <t>ESB operated Ardnacrusha 1 trap; Patreen 3 traps, not funded under the EMFF programme</t>
  </si>
  <si>
    <t>silver eel</t>
  </si>
  <si>
    <t>Mark recapture Escapement Coghill Nets</t>
  </si>
  <si>
    <t>monitoring site</t>
  </si>
  <si>
    <t>ESB operated - monitoring site Roscor for escapement estimate, not funded under the EMFF programme</t>
  </si>
  <si>
    <t>ESB operated - monitoring site Killaloe for escapement estimate, not funded under the EMFF programme</t>
  </si>
  <si>
    <t>transport capture sites Coghills and Vwing Fykes</t>
  </si>
  <si>
    <t>n. capture site</t>
  </si>
  <si>
    <t>ESB operated- T&amp;T management measure, part of escapement estimate &amp; biological sampling, not funded under the EMFF programme</t>
  </si>
  <si>
    <t>transport capture sites Fykes</t>
  </si>
  <si>
    <t>Liffey</t>
  </si>
  <si>
    <t>MI operated</t>
  </si>
  <si>
    <t>Burrishoole 3 lakes per year</t>
  </si>
  <si>
    <t>yellow eel</t>
  </si>
  <si>
    <t>Fyke net survey</t>
  </si>
  <si>
    <t>n. net nights</t>
  </si>
  <si>
    <t>MI operated- Buurishole yellow monitoring</t>
  </si>
  <si>
    <t>Burrishoole rivers</t>
  </si>
  <si>
    <t>electrofishing survey</t>
  </si>
  <si>
    <t>n.survey sites</t>
  </si>
  <si>
    <t>30-50</t>
  </si>
  <si>
    <t>Burrishoole</t>
  </si>
  <si>
    <t>Trap: Daily Number, Size, weight and sex ratio of emigrating silver eels</t>
  </si>
  <si>
    <t>n .trap</t>
  </si>
  <si>
    <t>juvenile salmon</t>
  </si>
  <si>
    <t>MI operated- Buurishole yellow monitorin</t>
  </si>
  <si>
    <t xml:space="preserve">IRL  </t>
  </si>
  <si>
    <t xml:space="preserve">North Atlantic </t>
  </si>
  <si>
    <t xml:space="preserve">All Areas </t>
  </si>
  <si>
    <t>Demersal at-sea Crustacean at -sea Pelagic at-sea Mollusc at-sea</t>
  </si>
  <si>
    <t>IRL NW 1,IRL NW 2,IRL NW 3,IRL E 1,IRL E 2,IRL E 3,IRL E 4,IRL E 5,IRL E 6,IRL SE 1,IRL SE 2,IRL SE 3,IRL SE 4,IRL SE 5,IRL SE 6,IRL SE 7, IRL SE 8,IRL WSW 1,IRL WSW 2,IRL WSW 3,IRL WSW 4,IRL WSW 5,IRL WSW 6,IRL WSW 7,</t>
  </si>
  <si>
    <t>Bony Fishes</t>
  </si>
  <si>
    <t xml:space="preserve">Protocols for observation of incidental bycatch  are  currently in place in  off shore catch  observer programme, collection protocols as per WGBYC. Species list will be extended to cover those applicable under Table 1D (EUMAP) and relevant databases updated  </t>
  </si>
  <si>
    <t>Demersal at-sea Crustacean at -sea Pelagic at sea Mollusc at-sea</t>
  </si>
  <si>
    <t xml:space="preserve">Cartilaginous fishes </t>
  </si>
  <si>
    <t>Mammals</t>
  </si>
  <si>
    <t>Birds</t>
  </si>
  <si>
    <t>IRL NW 1,IRL NW 2,IRL NW 3,IRL E 1,IRL E 2,IRL E 3,IRL E 4,IRL E 5,IRL E 6,IRL SE 1,IRL SE 2,IRL SE 3,IRL SE 4,IRL SE 5,IRL SE 6,IRL SE 7,IRL WSW 1,IRL WSW 2,IRL WSW 3,IRL WSW 4,IRL WSW 5,IRL WSW 6,IRL WSW 7,</t>
  </si>
  <si>
    <t>Reptiles</t>
  </si>
  <si>
    <t>Molluscs</t>
  </si>
  <si>
    <t>Demersal at-sea</t>
  </si>
  <si>
    <t xml:space="preserve">IRL NW 1 IRL WSW 1
</t>
  </si>
  <si>
    <t>Crustaceans</t>
  </si>
  <si>
    <t>Zero</t>
  </si>
  <si>
    <t xml:space="preserve">MS has no directed Deep water fishery </t>
  </si>
  <si>
    <t>IRL NW 4, IRL SE 5, IRL WSW 4</t>
  </si>
  <si>
    <t xml:space="preserve">Trammel, tangle and gill nets in the W, NW and SW will have an additional dedicated bycatch study  under the EMFF Marine Biodiversity Scheme   ( see text box pilot study 2 ) </t>
  </si>
  <si>
    <t xml:space="preserve">Birds </t>
  </si>
  <si>
    <t xml:space="preserve">North Sea and Eastern Arctic  </t>
  </si>
  <si>
    <t xml:space="preserve"> Pelagic at sea </t>
  </si>
  <si>
    <t>IRL NE 1, IRL N 1</t>
  </si>
  <si>
    <t xml:space="preserve">Protocols for observation of incidental bycatch  are  currently in place in  off shore catch  observer programme, collection protocols as per WGBYC. Species list will be extended to cover those applicaple under Table 1D and relevant databases updated  </t>
  </si>
  <si>
    <r>
      <rPr>
        <sz val="10"/>
        <rFont val="Arial"/>
        <family val="2"/>
      </rPr>
      <t xml:space="preserve">Delected from sampling  </t>
    </r>
  </si>
  <si>
    <r>
      <t xml:space="preserve">landings &lt;200t </t>
    </r>
    <r>
      <rPr>
        <sz val="10"/>
        <rFont val="Arial"/>
        <family val="2"/>
      </rPr>
      <t xml:space="preserve">only sampled on survey </t>
    </r>
  </si>
  <si>
    <t xml:space="preserve">IRL </t>
  </si>
  <si>
    <t>International Ecosystem Survey in the Nordic Seas</t>
  </si>
  <si>
    <t>ASH</t>
  </si>
  <si>
    <t>II a</t>
  </si>
  <si>
    <t>May</t>
  </si>
  <si>
    <t>Annual</t>
  </si>
  <si>
    <t>Acoustic Tracks</t>
  </si>
  <si>
    <t>See other MS for full description of this survey, IRL  participtates by sending personnell and cost sharing as per RCM 2016 agreement</t>
  </si>
  <si>
    <t xml:space="preserve">Western IBTS 4th quarter(including Porcupine survey) </t>
  </si>
  <si>
    <t>IBTS Q4</t>
  </si>
  <si>
    <t>VIaS, VIIb, VIIg, VIIj</t>
  </si>
  <si>
    <t>4th Quarter</t>
  </si>
  <si>
    <t>Fishing Hauls</t>
  </si>
  <si>
    <t>Fig 1</t>
  </si>
  <si>
    <t>WGIBTS</t>
  </si>
  <si>
    <t>DATRAS</t>
  </si>
  <si>
    <t>CTD</t>
  </si>
  <si>
    <t xml:space="preserve">Litter </t>
  </si>
  <si>
    <t xml:space="preserve"> Blue whiting  survey</t>
  </si>
  <si>
    <t>VI VII</t>
  </si>
  <si>
    <t>1st and 2nd Quarter</t>
  </si>
  <si>
    <t>Acoustic miles</t>
  </si>
  <si>
    <t>Fig 2</t>
  </si>
  <si>
    <t>WGIPS</t>
  </si>
  <si>
    <t>PGNAPES</t>
  </si>
  <si>
    <t>Internaional data exchange between IRL, FO, NO, RU, NL, NO   No acronym in Table 10 Takes place in VIIk, VIIc, VIb</t>
  </si>
  <si>
    <t>International Mackerel and Horse Mackerel Egg Survey ( Triennial)</t>
  </si>
  <si>
    <t>MEGS</t>
  </si>
  <si>
    <t>VIa, VII, VIII, IXa</t>
  </si>
  <si>
    <t>Jan-July</t>
  </si>
  <si>
    <t>Triennial</t>
  </si>
  <si>
    <t>Plankton hauls</t>
  </si>
  <si>
    <t>Fig 3</t>
  </si>
  <si>
    <t>WGMEGS</t>
  </si>
  <si>
    <t>ICES egg and larval database</t>
  </si>
  <si>
    <t>Year of next survey 2019</t>
  </si>
  <si>
    <t>International mackerel and horse mackerel egg survey</t>
  </si>
  <si>
    <t>Fishing hauls</t>
  </si>
  <si>
    <t>Spawning/Pre spawning Herring/Boarfish acoustic survey</t>
  </si>
  <si>
    <t xml:space="preserve">VIa, VIIa-g </t>
  </si>
  <si>
    <t xml:space="preserve">July,Sept,Nov,Mar,Jan </t>
  </si>
  <si>
    <t>Fig 4</t>
  </si>
  <si>
    <t>ICES Acoustic DB</t>
  </si>
  <si>
    <t xml:space="preserve">This survey split in to two componennt :WESPAS Spawning/Boarfish component of the survey   taking place in VIIh, VIIj, VIIk,VIIg, VIIc, VIIb, VIa </t>
  </si>
  <si>
    <t>Fig 5</t>
  </si>
  <si>
    <t>2nd Component : CSHAS Pre spawning compenent of the survey taking place in VIIg, VIIj, VIIaS</t>
  </si>
  <si>
    <t>Nephrops UWTV Irish Sea</t>
  </si>
  <si>
    <t>UWTV (FU15)</t>
  </si>
  <si>
    <t>T</t>
  </si>
  <si>
    <t>June</t>
  </si>
  <si>
    <t>TV tracks &amp; CTD</t>
  </si>
  <si>
    <t>Fig 6</t>
  </si>
  <si>
    <t>ICES WGNEPS</t>
  </si>
  <si>
    <t>Under development</t>
  </si>
  <si>
    <t xml:space="preserve">Actual areas covered by UWTV are (FU16, 17, 19, 20-21 &amp; 22 in ICES Areas VIIb,c,g,h,j,k )  Ireland collaborates with France and the UK by sharing personnel across this and other UWTV surveys in FU 14, 15 and 23. See text file and link on the rearranging/renaming etc  of this survey  </t>
  </si>
  <si>
    <t xml:space="preserve">Nephrops UWTV survey Aran Grounds </t>
  </si>
  <si>
    <t>UWTV (FU17)</t>
  </si>
  <si>
    <t>VIIb</t>
  </si>
  <si>
    <t>Nephrops UWTV survey Celtic Sea</t>
  </si>
  <si>
    <t xml:space="preserve">UWTV (FU20-22)  </t>
  </si>
  <si>
    <t>VIIg,h,j</t>
  </si>
  <si>
    <t>July</t>
  </si>
  <si>
    <t>Trawl mark observations</t>
  </si>
  <si>
    <t>Sea pen observations</t>
  </si>
  <si>
    <t>Irish Anglerfish and Megrim Survey</t>
  </si>
  <si>
    <t>IAMS</t>
  </si>
  <si>
    <t>VIa and VII</t>
  </si>
  <si>
    <t>Jan-Mar</t>
  </si>
  <si>
    <t>Fishing hauls (trawl and beam)</t>
  </si>
  <si>
    <t>Fig 7</t>
  </si>
  <si>
    <t>ICES WGBIE &amp; WGCSE</t>
  </si>
  <si>
    <t xml:space="preserve">See Word file for detail of this survey. Survey Commenced in 2016  EMFF funding used under UP3 data collection scheme </t>
  </si>
  <si>
    <t>Litter</t>
  </si>
  <si>
    <t>Razor clam irish sea</t>
  </si>
  <si>
    <t>RCIS</t>
  </si>
  <si>
    <t>Fish haul</t>
  </si>
  <si>
    <t>Fig 8,9</t>
  </si>
  <si>
    <t>See Word file Survey time series from 2016</t>
  </si>
  <si>
    <t>Razor clam west Ireland</t>
  </si>
  <si>
    <t>RCWI</t>
  </si>
  <si>
    <t>Mar</t>
  </si>
  <si>
    <t>No map</t>
  </si>
  <si>
    <t>Scallop Inshore</t>
  </si>
  <si>
    <t>SIS</t>
  </si>
  <si>
    <t xml:space="preserve">ICES </t>
  </si>
  <si>
    <t>See Word file Survey time series from 2011</t>
  </si>
  <si>
    <t>Cockle Irish Sea</t>
  </si>
  <si>
    <t>CNIS</t>
  </si>
  <si>
    <t>June,Nov</t>
  </si>
  <si>
    <t>Bi-annual</t>
  </si>
  <si>
    <t>Quadrat and core</t>
  </si>
  <si>
    <t>Fig 10</t>
  </si>
  <si>
    <t>See Word file Survey time series from 2007</t>
  </si>
  <si>
    <t>Oyster west Ireland</t>
  </si>
  <si>
    <t>OWI</t>
  </si>
  <si>
    <t>VIIb VIIj Via</t>
  </si>
  <si>
    <t>Sep-Dec</t>
  </si>
  <si>
    <t>OSPAR species. See word file Survey time series from 2011</t>
  </si>
  <si>
    <t xml:space="preserve">Mackerel biological data   VI, VII, VIII, </t>
  </si>
  <si>
    <r>
      <t>Horse mackerel biological data</t>
    </r>
    <r>
      <rPr>
        <sz val="10"/>
        <rFont val="Arial"/>
        <family val="2"/>
      </rPr>
      <t>, VIa, VIIa-c, e-k, VIIIabde</t>
    </r>
  </si>
  <si>
    <t xml:space="preserve">Mackerel egg production  VI, VII, VIII, </t>
  </si>
  <si>
    <r>
      <t>Horse mackerel egg production   </t>
    </r>
    <r>
      <rPr>
        <sz val="10"/>
        <rFont val="Arial"/>
        <family val="2"/>
      </rPr>
      <t>VIa, VIIa-c, e-k, VIIIabde</t>
    </r>
  </si>
  <si>
    <t>CTD by Haul</t>
  </si>
  <si>
    <t>Marine Mammal observations</t>
  </si>
  <si>
    <t>IBTS-Q4</t>
  </si>
  <si>
    <t>Standardized relative indices of abundance at age for assessment: Whiting VIIe-k, Haddock VIIb-k, Cod VIIe-k, Cod VIa, Megrim VI, PlaiceVIIbc,VIIh-k Clupea harengus VI VII, Trachurus trachurus VI VII, Scomber scrombrus VI VII</t>
  </si>
  <si>
    <t>Standardized relative indices of numbers at length for assessment: Lophius piscatorious [sic] IV, VI 
Lophius piscatorious [sic] VIIb-k, VIIIabd
Lophius budegassa VIIb-k, VIIIabd
Lepidorhombus whiffiagonis,VI
Lepidorhombus whiffiagonis, VII, VIIIabd
Lepidorhombus boscii, VII, VIIIabd (not in annex) Merluccius merluccius VI, VII</t>
  </si>
  <si>
    <t xml:space="preserve">Standardized relative indices of total No and total biomass for elasmobranch assessment:Dipturus spp. VI and VII (includes D. batis, flossada, intermedia and oxyrhincus and nidarosiensis), 
Cuckoo ray – VI and VII, 
Blonde ray VI, 
Blonde ray VIIafg, 
Thornback ray VIIafg, 
Thornback ray VI, 
Spotted ray VIIa,e-h, 
Spotted ray VI,VIIbj, 
Leucoraja fullonica VI and VII, 
Leucoraja circularis VI and VII, 
Raja microocellata VIIfg, 
Raja undulata VIIbj, 
Spurdog VI and VII
</t>
  </si>
  <si>
    <t xml:space="preserve">Standardized relative indices of total No and total biomass for cephalopod assessment: Eledone Cirrhosa
Illex Coindetti
Loligo (Alloteuthis) Subulata
Loligo Forbesi
Octopus vulgaris
Rossia macrosoma
Sepia elegans
Sepia officinalis
Sepiola atlantica
Todarodes Sagittatus
Todaropsis eblane
</t>
  </si>
  <si>
    <t xml:space="preserve">Biological data for stocks: age, length, sex and maturity for  Chelidonichthys (aspitrigla) cuculus**, Clupea harengus, Conger conger**, Dicentrarchus labrax, Gadus morhua,                 Glyptocephalus cynoglossus**,                 Lepidorhombus whiffiagonis, Leucoraja naevus*, Lophius budegassa, Lophius piscatorius, Melanogrammus aeglefinus, Merlangius merlangus, Merluccius merluccius, Micromesistius poutassou, Microstomus kitt, Molva molva, Pleuronectes platessa, Pollachius pollachius**, Pollachius virens, Raja brachyura*, Raja clavata*, Raja montagui*, Scomber scombrus, Scophthalmus maximus (psetta maxima)**,     Scophthalmus rhombus**, Solea solea, Squalus acanthias*, Trachurus trachurus,      Zeus faber** 
[* indicates no otoliths taken for age, ** indicates individual length and weight data only, no sex/maturity dissection if alive]
</t>
  </si>
  <si>
    <t>Nephrops VII ( functional Unit) Length weight sex maturity</t>
  </si>
  <si>
    <t xml:space="preserve">CTD by Haul  </t>
  </si>
  <si>
    <t xml:space="preserve">CTD data goes to EUROGOOS. </t>
  </si>
  <si>
    <t xml:space="preserve">Litter by haul </t>
  </si>
  <si>
    <t xml:space="preserve">Benthos in the Haul </t>
  </si>
  <si>
    <t>Annually all Seapens sent to London museum for Population genetics; all sepeolids sent to Belgian Museum for ID and catalog of distribution; pollan/smelt/shad etc migratory spp sent to IFI for catalog.  Periodic multibeam data goes to INFOMAR.</t>
  </si>
  <si>
    <t>UWTV (FU16, 17, 19, 20-21 &amp; 22)</t>
  </si>
  <si>
    <t>Absolute abundance estimates Nephrops Area VII functional unit</t>
  </si>
  <si>
    <t xml:space="preserve">Data grouped for the three Irish Surveys </t>
  </si>
  <si>
    <t>CTD by station</t>
  </si>
  <si>
    <t>Trawl marks by station</t>
  </si>
  <si>
    <t xml:space="preserve">Sea pen abundance by station  </t>
  </si>
  <si>
    <t>UWTV (FU 17, 22)</t>
  </si>
  <si>
    <t xml:space="preserve">Nephrops VII ( functional Unit) Length weight sex maturity if trawling occurs </t>
  </si>
  <si>
    <t>Multi frequency acoustic data</t>
  </si>
  <si>
    <t>Biological data -blue whiting (Div V, VI, VII)</t>
  </si>
  <si>
    <t>CTD  (vertical, dedicated station)</t>
  </si>
  <si>
    <t xml:space="preserve">Marine mammal observations </t>
  </si>
  <si>
    <t xml:space="preserve">Seabird observations </t>
  </si>
  <si>
    <t>Spawning Herring and boarfish component WESPAS</t>
  </si>
  <si>
    <t>Biological data -herring (Div VIa, VIIb,c)</t>
  </si>
  <si>
    <t>Biological data -boarfish (Div VIa, VIIb,c, j, g, h)</t>
  </si>
  <si>
    <t>Biological data -horse mackerel (Div VIa, VIIb,c, j, g, h)</t>
  </si>
  <si>
    <t>Zooplankton sampling</t>
  </si>
  <si>
    <t>Pre spawning Herring component CSHAS</t>
  </si>
  <si>
    <t>Biological data -herring (VIIg,j,VIIa )</t>
  </si>
  <si>
    <t>Biological data -sprat (VIIg,j,VIIa )</t>
  </si>
  <si>
    <t xml:space="preserve">Relative index of abundance trawl data: Lophius piscatorious [sic] IV, VI
Lophius piscatorious [sic] VIIb-k, VIIIabd
Lophius budegassa VIIb-k, VIIIabd
Lepidorhombus whiffiagonis,VI
Lepidorhombus whiffiagonis, VII, VIIIabd
Lepidorhombus boscii, VII, VIIIabd (not in annex
</t>
  </si>
  <si>
    <t xml:space="preserve">Target Stocks </t>
  </si>
  <si>
    <t>Biological data( L,W S M) on any demersal stocks that occur in VI and VII</t>
  </si>
  <si>
    <t xml:space="preserve">Additional Stocks </t>
  </si>
  <si>
    <t>From 2017</t>
  </si>
  <si>
    <t>Beam trawl hauls: full benthos Monk trawl hauls: only indicator species</t>
  </si>
  <si>
    <t>Razor clam Irish sea</t>
  </si>
  <si>
    <t>Abundance, biological data for clams VIIa</t>
  </si>
  <si>
    <t>Abundance of non target species</t>
  </si>
  <si>
    <t>Razor clam west coast</t>
  </si>
  <si>
    <t>RCWC</t>
  </si>
  <si>
    <t>Abundance, biological data for clams VIIb</t>
  </si>
  <si>
    <t>Oyster west coast</t>
  </si>
  <si>
    <t>OWC</t>
  </si>
  <si>
    <t>Abundance, biological data for oysters VIIb</t>
  </si>
  <si>
    <t>CIS</t>
  </si>
  <si>
    <t>Abundance, biological data for cockles VIIa</t>
  </si>
  <si>
    <t>Sediment cores</t>
  </si>
  <si>
    <t>Abundance, biological data for scallop VIIa, VIIg</t>
  </si>
  <si>
    <t>0-&lt;10 m</t>
  </si>
  <si>
    <t>10-&lt;12 m</t>
  </si>
  <si>
    <t>12-&lt;18 m</t>
  </si>
  <si>
    <t>18-&lt;24 m</t>
  </si>
  <si>
    <t>24-&lt;40 m</t>
  </si>
  <si>
    <t>GNS_DEF_120-219_0_0;  GNS_DEF_&gt;=220_0_0;  GNS_CRU_&gt;=220_0_0;  GTR_DEF_&gt;=220_0_0;  GNS_CRU_120-219_0_0; GNS_DEF_10-30_0_0;  GTR_DEF_&gt;=220_0_0</t>
  </si>
  <si>
    <t>Baltic Sea, North Sea and Eastern Arctic, and North Atlantic</t>
  </si>
  <si>
    <t>All</t>
  </si>
  <si>
    <t>Inactive</t>
  </si>
  <si>
    <t>Gross value of landings</t>
  </si>
  <si>
    <t>Logbook</t>
  </si>
  <si>
    <t>A - Census</t>
  </si>
  <si>
    <t>Sales Notes</t>
  </si>
  <si>
    <t>Income from leasing out quota or other fishing rights</t>
  </si>
  <si>
    <t>Not relevant for IRL</t>
  </si>
  <si>
    <t>Other Income</t>
  </si>
  <si>
    <t>Questionaire</t>
  </si>
  <si>
    <t>C - Non-Probability Sample Survey</t>
  </si>
  <si>
    <t>sample frame too low for sampling - clustered for reporting</t>
  </si>
  <si>
    <t xml:space="preserve">Questionaire/Sentinel Logbook </t>
  </si>
  <si>
    <t>Personnel Costs</t>
  </si>
  <si>
    <t>Value of Unpaid Labour</t>
  </si>
  <si>
    <t>Energy Costs</t>
  </si>
  <si>
    <t>Repair and maintenance costs</t>
  </si>
  <si>
    <t>Variable Costs</t>
  </si>
  <si>
    <t>Non-variable Costs</t>
  </si>
  <si>
    <t>Operating Subsidies</t>
  </si>
  <si>
    <t>Subsidies on Invesment</t>
  </si>
  <si>
    <t>Consumption of Fixed Capital</t>
  </si>
  <si>
    <t>Value of Physical Capital</t>
  </si>
  <si>
    <t>Value of quota and other fishing rights</t>
  </si>
  <si>
    <t>Investment</t>
  </si>
  <si>
    <t>Engaged Crew</t>
  </si>
  <si>
    <t>Unpaid Labour</t>
  </si>
  <si>
    <t>Total Hours Worked</t>
  </si>
  <si>
    <t>Energy Consumption</t>
  </si>
  <si>
    <t>Number of Fishing Enterprises</t>
  </si>
  <si>
    <t>Register</t>
  </si>
  <si>
    <t>S</t>
  </si>
  <si>
    <t>Employment by Gender</t>
  </si>
  <si>
    <t>FTE by Gender</t>
  </si>
  <si>
    <t>Unpaid Labour by Gender</t>
  </si>
  <si>
    <t>Employment by Age</t>
  </si>
  <si>
    <t>Employment by Education</t>
  </si>
  <si>
    <t>Pilot Study</t>
  </si>
  <si>
    <t>Employment by Nationality</t>
  </si>
  <si>
    <t>FTE National</t>
  </si>
  <si>
    <t>Long/short Debt</t>
  </si>
  <si>
    <t>Total Assets</t>
  </si>
  <si>
    <t>Questionaire/Estimation</t>
  </si>
  <si>
    <t>EU Register</t>
  </si>
  <si>
    <t>Mean LOA of vessels</t>
  </si>
  <si>
    <t>Total vessel's tonnage</t>
  </si>
  <si>
    <t>Total vessel's power</t>
  </si>
  <si>
    <t>Mean age of vessels</t>
  </si>
  <si>
    <t>Days at sea</t>
  </si>
  <si>
    <t>Value of landings per species</t>
  </si>
  <si>
    <t>Average price per species</t>
  </si>
  <si>
    <t>Tanks, ponds and FWT cages</t>
  </si>
  <si>
    <t>Atlantic Salmon</t>
  </si>
  <si>
    <t>Gross sales per species</t>
  </si>
  <si>
    <t xml:space="preserve">Questionnaires </t>
  </si>
  <si>
    <t>Financial accounts</t>
  </si>
  <si>
    <t>C - Non-Probability Sample</t>
  </si>
  <si>
    <t>Other income</t>
  </si>
  <si>
    <t>Personnel costs</t>
  </si>
  <si>
    <t>Questionnaires</t>
  </si>
  <si>
    <t xml:space="preserve"> Financial accounts</t>
  </si>
  <si>
    <t>Value of unpaid labour</t>
  </si>
  <si>
    <t>Energy costs</t>
  </si>
  <si>
    <t>Livestock costs</t>
  </si>
  <si>
    <t>Feed costs</t>
  </si>
  <si>
    <t>Repair and maintenance</t>
  </si>
  <si>
    <t>Other operating costs</t>
  </si>
  <si>
    <t>Operating subsidies</t>
  </si>
  <si>
    <t>Inter-Agency</t>
  </si>
  <si>
    <t>Subsidies on investments</t>
  </si>
  <si>
    <t>Consumption of fixed capital</t>
  </si>
  <si>
    <t>Total value of assets</t>
  </si>
  <si>
    <t>Financial income</t>
  </si>
  <si>
    <t xml:space="preserve">Financial expenditures </t>
  </si>
  <si>
    <t>Net investments</t>
  </si>
  <si>
    <t>Debt</t>
  </si>
  <si>
    <t>Livestock used</t>
  </si>
  <si>
    <t>Fish Feed used</t>
  </si>
  <si>
    <t>Weight of sales per species</t>
  </si>
  <si>
    <t>persons employed</t>
  </si>
  <si>
    <t xml:space="preserve">Unpaid labour </t>
  </si>
  <si>
    <t>Number of hours worked by employees and unpaid workers</t>
  </si>
  <si>
    <t>Number of enterprises (by category of employment number</t>
  </si>
  <si>
    <t>Employment by gender</t>
  </si>
  <si>
    <t>FTE by gender</t>
  </si>
  <si>
    <t xml:space="preserve">Unpaid labour by gender </t>
  </si>
  <si>
    <t>Employment by age</t>
  </si>
  <si>
    <t>Employment by education level</t>
  </si>
  <si>
    <t>Employment by nationality</t>
  </si>
  <si>
    <t>Employment by employment status</t>
  </si>
  <si>
    <t xml:space="preserve"> C - Non-Probability Sample</t>
  </si>
  <si>
    <t>A - Census,</t>
  </si>
  <si>
    <t>Medicines or treatments administered</t>
  </si>
  <si>
    <t>?</t>
  </si>
  <si>
    <t xml:space="preserve"> Indirect sources</t>
  </si>
  <si>
    <t>Mortalities</t>
  </si>
  <si>
    <t>Sea Cages</t>
  </si>
  <si>
    <t>Tanks and Ponds</t>
  </si>
  <si>
    <t>Rainbow Trout</t>
  </si>
  <si>
    <t>Other Freshwater Fish Spp.</t>
  </si>
  <si>
    <t>Long Lines</t>
  </si>
  <si>
    <t>Blue Mussel</t>
  </si>
  <si>
    <t>Seabed Culture</t>
  </si>
  <si>
    <t>Oyster Spps.</t>
  </si>
  <si>
    <t>Off-Bottom</t>
  </si>
  <si>
    <t>Other Bivalve Shellfish Spps.</t>
  </si>
  <si>
    <t>Combined Techniques</t>
  </si>
  <si>
    <t>Shellfish hatcheries and Novel Spps.</t>
  </si>
  <si>
    <t>Annually</t>
  </si>
  <si>
    <t>Questionnaire by Census is the primary source and collection scheme for this variable. Other sources used for validation or as a back up.</t>
  </si>
  <si>
    <t>Questionnaire by Non-Probability Sample Survey is the primary source and data collection scheme for this variable. Other sources used for validation or as back up</t>
  </si>
  <si>
    <t>financial accounts / questionnaire</t>
  </si>
  <si>
    <t>Payment for external agency workers (optional)</t>
  </si>
  <si>
    <t xml:space="preserve">Purchase of fish and other raw material for production </t>
  </si>
  <si>
    <t>Other operational costs</t>
  </si>
  <si>
    <t>Financial expenditures</t>
  </si>
  <si>
    <t>Net Investments</t>
  </si>
  <si>
    <t>Number of persons employed</t>
  </si>
  <si>
    <t>Unpaid labour</t>
  </si>
  <si>
    <t>Number of enterprises (1)</t>
  </si>
  <si>
    <t>Companies 11-49</t>
  </si>
  <si>
    <t>Companies 50-250</t>
  </si>
  <si>
    <t xml:space="preserve">ICES Area 6a -West of Scotland   </t>
  </si>
  <si>
    <t>IRL NW 1</t>
  </si>
  <si>
    <t>vessel x trip</t>
  </si>
  <si>
    <t xml:space="preserve">Landings + Discards </t>
  </si>
  <si>
    <t xml:space="preserve">All Species and Stocks  </t>
  </si>
  <si>
    <t xml:space="preserve">annual </t>
  </si>
  <si>
    <t>targeting All Demersal species off the NW coast</t>
  </si>
  <si>
    <t xml:space="preserve">Pelagic at-sea </t>
  </si>
  <si>
    <t>IRL NW 2</t>
  </si>
  <si>
    <t xml:space="preserve">targeting all pelagic species from all gears off the NW coast </t>
  </si>
  <si>
    <t>Crustacean  at-sea</t>
  </si>
  <si>
    <t>IRL NW 3</t>
  </si>
  <si>
    <t xml:space="preserve">fishing day </t>
  </si>
  <si>
    <t>targeting Lobster and crab off the NW coast</t>
  </si>
  <si>
    <t>IRL SCO</t>
  </si>
  <si>
    <t xml:space="preserve">Sampling on shore </t>
  </si>
  <si>
    <t>IRL NW 5</t>
  </si>
  <si>
    <t xml:space="preserve">port X day </t>
  </si>
  <si>
    <t xml:space="preserve">Landings </t>
  </si>
  <si>
    <t>Stocks in Table 1a, 1b and 1c</t>
  </si>
  <si>
    <t>Demersal sampling in the NW region Including bilateral sampling with the UK includes any fish coming from Stratum ID IRL N4</t>
  </si>
  <si>
    <t>IRL SCO DK</t>
  </si>
  <si>
    <t>IRL NW 6</t>
  </si>
  <si>
    <t>Pelagics sampling in the NW region Including bilateral sampling with the UK and DK</t>
  </si>
  <si>
    <t>IRL NW 7</t>
  </si>
  <si>
    <t xml:space="preserve">targeting Lobster and crab in the NW region </t>
  </si>
  <si>
    <t>IRL NW 8</t>
  </si>
  <si>
    <t xml:space="preserve">Selected Species and Stocks  </t>
  </si>
  <si>
    <t xml:space="preserve">targeting Whelks in the NW region </t>
  </si>
  <si>
    <t xml:space="preserve"> ICES Area 7a-Irish Sea </t>
  </si>
  <si>
    <t>IRL E 1</t>
  </si>
  <si>
    <t xml:space="preserve">Included as this fishery  targets cod and elasmobranchs in the East </t>
  </si>
  <si>
    <t>IRL E 2</t>
  </si>
  <si>
    <t>7aS Herring sentinal fishery  in the southern part of the Irish Sea</t>
  </si>
  <si>
    <t>IRL E 3</t>
  </si>
  <si>
    <t xml:space="preserve">Nephrops fishery in the East all gears and selectivity measures  </t>
  </si>
  <si>
    <t>Molluscs at-sea</t>
  </si>
  <si>
    <t>IRL E 4</t>
  </si>
  <si>
    <t xml:space="preserve">targeting Whelks  in the East </t>
  </si>
  <si>
    <t>IRL E 5</t>
  </si>
  <si>
    <t xml:space="preserve">targeting Scallops  Ensis and Cerastoderma in the East </t>
  </si>
  <si>
    <t>IRL E 6</t>
  </si>
  <si>
    <t xml:space="preserve">targeting lobster and Crab in the East </t>
  </si>
  <si>
    <t>IRL E 7</t>
  </si>
  <si>
    <t xml:space="preserve">Demersal fish  including that coming from  TBB_DEF_70-99_0_0 </t>
  </si>
  <si>
    <t>IRL E 8</t>
  </si>
  <si>
    <t xml:space="preserve">Nephrops fishery all metiers  Self sampling hence the vessel x trip </t>
  </si>
  <si>
    <t xml:space="preserve">ICES Area 7fgh-Celtic Sea  </t>
  </si>
  <si>
    <t>IRL SE 1</t>
  </si>
  <si>
    <t xml:space="preserve">All Demersal Otterboard Trawlers in the South East  </t>
  </si>
  <si>
    <t>IRL SE 2</t>
  </si>
  <si>
    <t xml:space="preserve">All Demersal Beam Trawlers in the South East </t>
  </si>
  <si>
    <t>IRL SE 3</t>
  </si>
  <si>
    <t xml:space="preserve">All Demersal Seiners in the South East </t>
  </si>
  <si>
    <t>IRL SE 4</t>
  </si>
  <si>
    <t xml:space="preserve">Herring and other pelagics  in the South East </t>
  </si>
  <si>
    <t>IRL SE 5</t>
  </si>
  <si>
    <t xml:space="preserve">All Gillnetters, trammel and tangel netters in the South East </t>
  </si>
  <si>
    <t>IRL SE 6</t>
  </si>
  <si>
    <t xml:space="preserve">Nephrops fishery Included all mesh sizes and selectivity methods Small and Labadie </t>
  </si>
  <si>
    <t>IRL SE 7</t>
  </si>
  <si>
    <t>Scallop fishery in the South East including that in 7bcjk and VII3</t>
  </si>
  <si>
    <t>IRL SE 8</t>
  </si>
  <si>
    <t xml:space="preserve">Lobster and Crab in the SE  </t>
  </si>
  <si>
    <t>IRL SE 9</t>
  </si>
  <si>
    <t>All demersal sampling all gears</t>
  </si>
  <si>
    <t>IRL SE 10</t>
  </si>
  <si>
    <t>All pelagic sampling including that from IRL E 2</t>
  </si>
  <si>
    <t xml:space="preserve">ICES Area 7fgh-Celtic Sea and part 7bcjk West of Ireland </t>
  </si>
  <si>
    <t>IRL SE 11</t>
  </si>
  <si>
    <t xml:space="preserve">All Nephrops sampling  in FU 19, 20-21 22 Self sampling hence the vessel x trip  </t>
  </si>
  <si>
    <t>IRL SE 12</t>
  </si>
  <si>
    <t>Stocks in Table 1a, 1b and 1c and other selected  stocks</t>
  </si>
  <si>
    <t xml:space="preserve">All Crustaceans/Molluscs sampling including that from IRL E 5,6 &amp;7 </t>
  </si>
  <si>
    <t xml:space="preserve">ICES Area 7bcjk West of Ireland </t>
  </si>
  <si>
    <t>IRL WSW 1</t>
  </si>
  <si>
    <t xml:space="preserve">All Demersal Otterboard Trawlers targeting Gadoids  in the West and South West </t>
  </si>
  <si>
    <t>IRL WSW 2</t>
  </si>
  <si>
    <t>All Demersal Otterboard Trawlers targeting Hake Monkfish and Megrim in the West and South West</t>
  </si>
  <si>
    <t>IRL WSW 3</t>
  </si>
  <si>
    <t>All Demersal Seiners in the West and South West</t>
  </si>
  <si>
    <t>IRL WSW 4</t>
  </si>
  <si>
    <t>All Gillnetters, trammel and tangle netters  in the West and South West</t>
  </si>
  <si>
    <t>IRL WSW 5</t>
  </si>
  <si>
    <t xml:space="preserve">All LPF in all Areas </t>
  </si>
  <si>
    <t>IRL WSW 6</t>
  </si>
  <si>
    <t>All SPF from all gears in the West and South West</t>
  </si>
  <si>
    <t>IRL WSW 7</t>
  </si>
  <si>
    <t>Nephrops fishery Function  Units 16,17 &amp; 19</t>
  </si>
  <si>
    <t>IRL WSW 8</t>
  </si>
  <si>
    <t>Pot fishery for Lobster and Crab in the West and South West</t>
  </si>
  <si>
    <t>IRL WSW 9</t>
  </si>
  <si>
    <t>IRL FRA</t>
  </si>
  <si>
    <t>IRL WSW 10</t>
  </si>
  <si>
    <t>All pelagic sampling including bi lateral sampling with FRA</t>
  </si>
  <si>
    <t>IRL WSW 11</t>
  </si>
  <si>
    <t xml:space="preserve">All Nephrops sampling FU 16&amp;17   Self sampling hence the vessel x trip </t>
  </si>
  <si>
    <t>IRL WSW 12</t>
  </si>
  <si>
    <t xml:space="preserve">All lobster and crab </t>
  </si>
  <si>
    <t>ICES Area IV, VIId -North Sea</t>
  </si>
  <si>
    <t>IRL NE1</t>
  </si>
  <si>
    <t>All SPF in the North East west of Shetland from all gears</t>
  </si>
  <si>
    <t>IRL NE2</t>
  </si>
  <si>
    <t>All SPF</t>
  </si>
  <si>
    <t>crustacean  at-sea</t>
  </si>
  <si>
    <t>IRL NE3</t>
  </si>
  <si>
    <t xml:space="preserve">Crab </t>
  </si>
  <si>
    <t>ICES Area I,II -Eastern Arctic</t>
  </si>
  <si>
    <t>IRL N1</t>
  </si>
  <si>
    <t xml:space="preserve">All SPF West of Norway </t>
  </si>
  <si>
    <t>IRL N2</t>
  </si>
  <si>
    <t>IRL N3</t>
  </si>
  <si>
    <t>Northwest Demersal Trawlers</t>
  </si>
  <si>
    <t>Vessels targeting  whitefish mainly fishing in ICES area 6a</t>
  </si>
  <si>
    <t xml:space="preserve">Select from Random list  for area </t>
  </si>
  <si>
    <t xml:space="preserve">Mainly a 6a fishery with some vessels going to 6b as those fisheries come on. Landings from 6b are quite variable additional effort is made to sample these fisheries </t>
  </si>
  <si>
    <t>Northwest Pelagic trawlers</t>
  </si>
  <si>
    <t xml:space="preserve">Vessels targeting pelagic species fishing in ICES area 6a, </t>
  </si>
  <si>
    <t>Mainly large RSW trawlers,  targeting single species in quite distinct time frames. Mainly 1st and 4th Quarter fisheries</t>
  </si>
  <si>
    <t>Northwest inshore potters</t>
  </si>
  <si>
    <t xml:space="preserve">Vessles &lt;15m targeting Crustaceans </t>
  </si>
  <si>
    <t>Mainly lobster and crab</t>
  </si>
  <si>
    <t xml:space="preserve">NW All ports </t>
  </si>
  <si>
    <t xml:space="preserve">2 major ports, Killybegs and Greencastle with the majority of Demersal landings for this area </t>
  </si>
  <si>
    <t xml:space="preserve">Random weekday </t>
  </si>
  <si>
    <t>Includes sampling  of fish transshipped from other landing areas as vessels are highly mobile</t>
  </si>
  <si>
    <t xml:space="preserve">One major NW port KIllybegs with the majority of landings from the Pelagic fleet  and several minor ports </t>
  </si>
  <si>
    <t>Includes the sampling of foreign vessels if fish is landed and processed localy</t>
  </si>
  <si>
    <t xml:space="preserve">minor ports with landings from inshore vessels tagetting Crab and Lobster  </t>
  </si>
  <si>
    <t xml:space="preserve">Random monthly  </t>
  </si>
  <si>
    <t xml:space="preserve">Sampled in some ports but  mainly in processors which receive landings from numerous ports, able to trace back to port/vessel  level  </t>
  </si>
  <si>
    <t xml:space="preserve"> Inshore vessels tagetting Whelks  </t>
  </si>
  <si>
    <t xml:space="preserve">Sampled mainly in a central processor which receives landings from numerous ports, able to trace back to port and vessel  level  </t>
  </si>
  <si>
    <t>East Demersal Trawlers</t>
  </si>
  <si>
    <t>Vessels targeting whitefish in the Irish sea</t>
  </si>
  <si>
    <t xml:space="preserve"> Mainly targets Cod and Elasmobranchs . Observer programme is used to collect additional maturity data on Elasmobranchs  </t>
  </si>
  <si>
    <t xml:space="preserve">East Pelagic Trawlers </t>
  </si>
  <si>
    <t xml:space="preserve">Vessels targeting the inshore component of the Celtic sea Herring stock </t>
  </si>
  <si>
    <t>This fishery is part of the greater Celtic sea Herring Stock, targeted by smaller artisnal  vessels and only open for about 8 weeks in the 4th Quarter</t>
  </si>
  <si>
    <t xml:space="preserve">East Nephrops  Trawlers </t>
  </si>
  <si>
    <t xml:space="preserve">Irish Sea Nephrops </t>
  </si>
  <si>
    <t xml:space="preserve">All selectivity methods combined for fisheries in FU 15. </t>
  </si>
  <si>
    <t xml:space="preserve">East Potters  </t>
  </si>
  <si>
    <t xml:space="preserve">Southern Irish Sea whelk fishery </t>
  </si>
  <si>
    <t>targeting Whelk, not an Annex 1 species but  Exceeds &gt;200 tonnes nationally and &gt;10% of EU landings</t>
  </si>
  <si>
    <t xml:space="preserve">East Dredgers </t>
  </si>
  <si>
    <r>
      <t xml:space="preserve"> </t>
    </r>
    <r>
      <rPr>
        <b/>
        <sz val="10"/>
        <rFont val="Arial"/>
        <family val="2"/>
      </rPr>
      <t>Scallop</t>
    </r>
    <r>
      <rPr>
        <sz val="10"/>
        <rFont val="Arial"/>
        <family val="2"/>
      </rPr>
      <t xml:space="preserve"> Fishery Annex I EUMAP species. Sub-area VIId only. Commercial fisheries occur throughout area VII.   Also </t>
    </r>
    <r>
      <rPr>
        <b/>
        <sz val="10"/>
        <rFont val="Arial"/>
        <family val="2"/>
      </rPr>
      <t>Ensis spp</t>
    </r>
    <r>
      <rPr>
        <sz val="10"/>
        <rFont val="Arial"/>
        <family val="2"/>
      </rPr>
      <t xml:space="preserve">  
 Landings into Ireland are approximately 1000 tonnes per annum
 Exceeds thresholds: &gt;10% of EU, &gt;200 tonnes nationally.
 Specific management requirements
 High risk of impact on marine habitats 
Some in or in proximity to MPAs (SACs, SPAs)
Risk of impact to food source for birds (Common scoter, Legal framework Directive 2009/147/EC)
</t>
    </r>
    <r>
      <rPr>
        <b/>
        <sz val="10"/>
        <rFont val="Arial"/>
        <family val="2"/>
      </rPr>
      <t>Cerastoderma edule</t>
    </r>
    <r>
      <rPr>
        <sz val="10"/>
        <rFont val="Arial"/>
        <family val="2"/>
      </rPr>
      <t xml:space="preserve">  
 Landings in to Ireland vary from 0-800 tonnes
 Exceeds &gt;200 tonnes nationally but &lt;10% of EU landings
 Specific management requirements
Risk of impact to food source for birds (Legal framework Directive 2009/147/EC)
 Risk of impact on marine habitats in or in proximity to MPAs (SACs, SPAs)
 </t>
    </r>
  </si>
  <si>
    <t xml:space="preserve">targeting lobster and Crab </t>
  </si>
  <si>
    <t xml:space="preserve">All Ports </t>
  </si>
  <si>
    <t xml:space="preserve">2 major ports and numerous processors On shore sampling for all demersal  fisheries  </t>
  </si>
  <si>
    <t xml:space="preserve">Random weekly </t>
  </si>
  <si>
    <t>Main sampling are demersal species from the E, also  sample fish which have been transshipped form other Strata as vessels are highly mobile</t>
  </si>
  <si>
    <t>Nephrops landings into all ports</t>
  </si>
  <si>
    <t xml:space="preserve">Samples of catch and discards collected from vessels as part of the self sampling programme and worked up in laboratories  </t>
  </si>
  <si>
    <t>South East Demersal Trawlers</t>
  </si>
  <si>
    <t xml:space="preserve"> vessels targeting whitefish  mainly in the SE region landing in to all ports </t>
  </si>
  <si>
    <t xml:space="preserve">All Demersal Otterboard Trawlers, main fishery targets Whiting and Haddock  </t>
  </si>
  <si>
    <t>South East Demersal Beam Trawlers</t>
  </si>
  <si>
    <t xml:space="preserve"> Beam trawl fleet  located in 1 major port Kilmore Quay where the majority of the landings take place  </t>
  </si>
  <si>
    <t>Select from Random list  for area. Access is restriced to 2 vessels</t>
  </si>
  <si>
    <t xml:space="preserve">All Demersal Beam Trawlers </t>
  </si>
  <si>
    <t>South East Demersal Seiners</t>
  </si>
  <si>
    <t xml:space="preserve">All demersal Seiners targeting whitefish  </t>
  </si>
  <si>
    <t xml:space="preserve">All Demersal Seiners </t>
  </si>
  <si>
    <t>South East Pelagic Trawlers</t>
  </si>
  <si>
    <t xml:space="preserve">Vessels targeting pelagic species fishing in ICES area 7fgh, </t>
  </si>
  <si>
    <t xml:space="preserve">Mainly the Celtic sea Herring fishery </t>
  </si>
  <si>
    <t>South East Gillnetters</t>
  </si>
  <si>
    <t xml:space="preserve">All ports  </t>
  </si>
  <si>
    <t xml:space="preserve">Majority of this fishery takes place in Q1 targeting Cod with other fishing throughout the year on Pollack, Hake  </t>
  </si>
  <si>
    <t>South East Nephrops Trawlers</t>
  </si>
  <si>
    <t xml:space="preserve">Nephrops fishery </t>
  </si>
  <si>
    <t>Nephrops fishery Included all mesh sizes and selectivity methods Smalls and Labadie FU 19, 20-21 and 22</t>
  </si>
  <si>
    <t>South East Dredgers</t>
  </si>
  <si>
    <t xml:space="preserve">One major port Kilmore Quay </t>
  </si>
  <si>
    <t>Scallop fishery</t>
  </si>
  <si>
    <t xml:space="preserve">South East Potters  </t>
  </si>
  <si>
    <t xml:space="preserve">Potting for Crustaceans  </t>
  </si>
  <si>
    <t xml:space="preserve">Sampling for demersal  in ports and in processors </t>
  </si>
  <si>
    <t xml:space="preserve">Includes fish transshipped from other areas in to processors </t>
  </si>
  <si>
    <t xml:space="preserve">Sampling for Pelagic species in ports and processors  </t>
  </si>
  <si>
    <t xml:space="preserve">All pelagic sampling, mainly the Celtic sea herring fishery but  including that from IRL E 2- Sentinel Herring fishery and other transshipped fish </t>
  </si>
  <si>
    <t>All Nephrops Sampling</t>
  </si>
  <si>
    <t xml:space="preserve">Samples of catch and discards collected from vessels self sampling programme  and worked up in laboratories  </t>
  </si>
  <si>
    <t xml:space="preserve">All  shore based  sampling for other Molluscs and crustaceans  </t>
  </si>
  <si>
    <t xml:space="preserve">Sampling of Whelks, Razor Clams, Cockles Crab and Lobster ashore from both this area and those trans shipped from other areas mainly IRL E </t>
  </si>
  <si>
    <t xml:space="preserve">West South West Demersal Trawlers </t>
  </si>
  <si>
    <t xml:space="preserve">Trawlers targeting mainly gadoids </t>
  </si>
  <si>
    <t>Generally an inshore fishery mainly targettting Gadoids</t>
  </si>
  <si>
    <t xml:space="preserve">Trawlers targeting mainly Hake Monkfish and Megrim  </t>
  </si>
  <si>
    <t xml:space="preserve">Fishery on the 200m line off the west coast </t>
  </si>
  <si>
    <t xml:space="preserve">West South West Demersal Seiners </t>
  </si>
  <si>
    <t xml:space="preserve">Seiners fishing on SW coast, </t>
  </si>
  <si>
    <t xml:space="preserve">Mobile fishery and also fish in SE region  </t>
  </si>
  <si>
    <t>West South West Demersal Gillnetters</t>
  </si>
  <si>
    <t xml:space="preserve">Gillnetters mainly off the SW coast </t>
  </si>
  <si>
    <t xml:space="preserve">Off shore fishery targeting hake and Pollack </t>
  </si>
  <si>
    <t xml:space="preserve">West South West Tuna </t>
  </si>
  <si>
    <t>All Albacore Tuna fisheries in all ICES areas</t>
  </si>
  <si>
    <t xml:space="preserve">Highly mobile fishery and the areas change from year to year depending on environmental conditions </t>
  </si>
  <si>
    <t xml:space="preserve">West South West Pelagic Fisheries  </t>
  </si>
  <si>
    <t xml:space="preserve">Vessels targeting pelagic species fishing in ICES area 7bcjk  </t>
  </si>
  <si>
    <t xml:space="preserve">Mainly  RSW trawlers, generally targeting single species in quite distinct time frames. </t>
  </si>
  <si>
    <t xml:space="preserve">West South West Nephrops  Fisheries  </t>
  </si>
  <si>
    <t xml:space="preserve">Nephrops fishery Included all mesh sizes and selectivity methods Back of the Aran Islands, Porcupine and Jones Bank  FU 17, 16 and part of 19 </t>
  </si>
  <si>
    <t xml:space="preserve">West South West Potters   </t>
  </si>
  <si>
    <t xml:space="preserve">Mainly lobster brown and spider crab but also included some species not on the Annex 1 list  Necora puber Palinurus elephas Carcinus maenas and Palaemon serratus </t>
  </si>
  <si>
    <t xml:space="preserve">Sampling for demersal species in ports and in processors  </t>
  </si>
  <si>
    <t xml:space="preserve">Includes fish transshipped from other areas into processors. Some sampling of foreign landings in Castletownbere if first point of sale is in MS </t>
  </si>
  <si>
    <t xml:space="preserve">All pelagic sampling across all pelagic species commercially caught </t>
  </si>
  <si>
    <t xml:space="preserve">Samples of catch and discards collected from vessels involved self sampling programme  and worked up in laboratories  </t>
  </si>
  <si>
    <t xml:space="preserve">Mainly Brown crab and Lobster </t>
  </si>
  <si>
    <t xml:space="preserve">North East Pelagic Trawlers  </t>
  </si>
  <si>
    <t>Pelagic fisheries in ICESs  Area  IV and VIId</t>
  </si>
  <si>
    <t>Mainly the mackerel fishery and not targetted by the whole fleet, can be difficult to access as vessels are highly mobile and  landings are often into foreign ports</t>
  </si>
  <si>
    <t xml:space="preserve">Pelagic species mainly herring and mackerel, also sampling of foreign landings  </t>
  </si>
  <si>
    <t xml:space="preserve">Crab fishery in the North Sea </t>
  </si>
  <si>
    <t>Crabs coming from the vivier boat fishery, all landed into Holland and exported to the far east Sampling will be discussed at WGCRAB as this is a minor component of the overall landings</t>
  </si>
  <si>
    <t>Mainly the mackerel fishery and the Atlanto Scando Herring fishery   and not targetted by the whole fleet, can be difficult to access and landings are often into foreign ports</t>
  </si>
  <si>
    <t xml:space="preserve">Pelagic species </t>
  </si>
  <si>
    <t xml:space="preserve">Crab fishery in the  Eastern Arctic  </t>
  </si>
  <si>
    <t>Crabs coming from the vivier boat fishery as IRL NE</t>
  </si>
  <si>
    <t>IRL N4</t>
  </si>
  <si>
    <t xml:space="preserve">Demersal fishery in the  Eastern Arctic  </t>
  </si>
  <si>
    <t xml:space="preserve">Random  </t>
  </si>
  <si>
    <t>One one vessel, 4 trips, any sampling on this frame will be picked up under 4S</t>
  </si>
  <si>
    <t xml:space="preserve">Demersal Trawlers and or Seiners </t>
  </si>
  <si>
    <t>Bottom trawl mixed fishery Demersal Species</t>
  </si>
  <si>
    <t>Both 6a and 6b</t>
  </si>
  <si>
    <t>Pelagic Trawlers</t>
  </si>
  <si>
    <t xml:space="preserve">Small Pelagic Fish </t>
  </si>
  <si>
    <t xml:space="preserve">All SPF from all metiers in IRL NW2 Herring Mackerel, Horse mackerel, Blue Whiting and Sprat </t>
  </si>
  <si>
    <t>Whelk fishery</t>
  </si>
  <si>
    <t>Hooks and lines, mainly pelagic sampled as part of IRL NW 2</t>
  </si>
  <si>
    <t xml:space="preserve">Drift and or fixed netters </t>
  </si>
  <si>
    <t xml:space="preserve">Demersal </t>
  </si>
  <si>
    <t xml:space="preserve">This fleet will also have the enhanced observer programme for incidental by catch  under the biodiversity scheme </t>
  </si>
  <si>
    <t>Pots and or traps</t>
  </si>
  <si>
    <t xml:space="preserve">Crustaceans </t>
  </si>
  <si>
    <t>all vessels targetting Crab and Lobster IRL NW3</t>
  </si>
  <si>
    <t>Beam Trawlers</t>
  </si>
  <si>
    <t xml:space="preserve">Bottom trawl mixed fishery Demersal Species and Nephrops </t>
  </si>
  <si>
    <t xml:space="preserve">Inshore sentinel vessel fishery </t>
  </si>
  <si>
    <t xml:space="preserve">Irish sea Scallop and razor clam fisheries </t>
  </si>
  <si>
    <t xml:space="preserve">Mainly spring Cod fishery </t>
  </si>
  <si>
    <t>Mainly Brown crab and Lobster</t>
  </si>
  <si>
    <t>VIIbcjk</t>
  </si>
  <si>
    <t xml:space="preserve">No sea going programme but will be sampled ashore </t>
  </si>
  <si>
    <t>Transboundary fishery with 7fgh</t>
  </si>
  <si>
    <t>Small Pelagic Fish and Large Pelagic fish</t>
  </si>
  <si>
    <t xml:space="preserve">All SPF: Herring, Mackerel, Horse mackerel, Blue Whiting Boarfish  and Sprat </t>
  </si>
  <si>
    <t xml:space="preserve">local fishery ror scallops in discreet grounds </t>
  </si>
  <si>
    <t>VIIfgh</t>
  </si>
  <si>
    <t xml:space="preserve">Transboundary fishery with 7bcjk, but most of the effort here </t>
  </si>
  <si>
    <t>IV VIId</t>
  </si>
  <si>
    <t>I II</t>
  </si>
  <si>
    <t xml:space="preserve">* Vesselsl will operate in multiple sub areas and fishing grounds, therefore sum of average number of vessels will be greater than the total number of vessels in MS </t>
  </si>
  <si>
    <t>Average number of vessels *</t>
  </si>
  <si>
    <t>North Western waters (ICES areas Vb (only Union waters), VI and VII) and North Sea (ICES areas IIIa and IV), Eastern Arctic (ICES areas I and II)</t>
  </si>
  <si>
    <t>IVa, VIa</t>
  </si>
  <si>
    <t>All ports - Pelagic landings</t>
  </si>
  <si>
    <t>Combined two fishing grounds as all landings from these areas are into this group of ports.</t>
  </si>
  <si>
    <t>All ports - Inshore shellfish landings</t>
  </si>
  <si>
    <t>All ports - Demersal landings</t>
  </si>
  <si>
    <t>All ports - Nephrops landings</t>
  </si>
  <si>
    <t>XII</t>
  </si>
  <si>
    <t>* The only way for this table to make sense is to split it by sampling programme (demersal, pelagic etc); otherwise the table would be dominated by the pelagic landings.</t>
  </si>
  <si>
    <t>** Note that there will be duplicate values here: many ports receive landings from multiple fishing grounds and multiple species groups</t>
  </si>
  <si>
    <t>*** rows with less than 10 landings were omitted</t>
  </si>
  <si>
    <t>**** rows with less than 50 tonnes were omitted</t>
  </si>
  <si>
    <t>Landing locations(s)*</t>
  </si>
  <si>
    <t>Average number of locations**</t>
  </si>
  <si>
    <t>Average number of registered landings ***</t>
  </si>
  <si>
    <t>Average landed tonnage ****</t>
  </si>
  <si>
    <t>Pelagic  trawlers in IRL NW 2, IRL E 2, IRL SE 4, IRL WSW 6, IRL NE 1, IRL N1</t>
  </si>
  <si>
    <t xml:space="preserve">SOP on Marine Institute network.  Summaries of all sampling designs is uploaded to National DCF web site (accessed through http://www.dcmap-ireland.ie/documents/methodologies)  </t>
  </si>
  <si>
    <t>Yes</t>
  </si>
  <si>
    <t>Held locally on MI networks: Skippers Reports/Voice Validation Documentation; will be uploaded to National DCF web site (accessed through http://www.dcmap-ireland.ie/documents/methodologies)</t>
  </si>
  <si>
    <t xml:space="preserve"> Pelagic Discard Database  </t>
  </si>
  <si>
    <t>RDB</t>
  </si>
  <si>
    <t xml:space="preserve">ICES  Benchmark reports </t>
  </si>
  <si>
    <t xml:space="preserve">Held Locally on MI networks , R scripts and audit trail in pelagic discard database; available upon request, summary of procedures will be uploaded to National DCF web site (accessed through http://http://www.dcmap-ireland.ie/documents/methodologies) </t>
  </si>
  <si>
    <t>Continual updates to sampling SOPs, Quality updates are being uploaded Q4 2017 and final documentation will be ready Q1 2018</t>
  </si>
  <si>
    <t>Nephrops Trawlers in IRL E 3 IRL SE 6 IRL WSW 7</t>
  </si>
  <si>
    <t>Held locally on MI networks; will be uploaded to National DCF web site (accessed through http://www.dcmap-ireland.ie/documents/methodologies)</t>
  </si>
  <si>
    <t>Nemesys data aquisition and STOCKMAN http://mifeasapp01/stockman2015/Default.aspx</t>
  </si>
  <si>
    <t xml:space="preserve">colm you mentioned some work that could be done in this area?? </t>
  </si>
  <si>
    <t>ICES Benchmark reports</t>
  </si>
  <si>
    <t xml:space="preserve">Held Locally on MI networks , R scripts and audit trail in discard database; available upon request, summary of procedures is uploaded to National DCF web site (accessed through http://http://www.dcmap-ireland.ie/documents/methodologies) </t>
  </si>
  <si>
    <t>Crustaceans Pots in IRL NW 3, IRL E 6, IRL SE 8, IRL WSW 8</t>
  </si>
  <si>
    <t xml:space="preserve">SOP on Marine Institute network.  Summaries of all sampling designs are uploaded to National DCF web site (accessed through http://www.dcmap-ireland.ie/documents/methodologies)   </t>
  </si>
  <si>
    <t xml:space="preserve">Not currently but will begin recording in 2018-protocols are currently being drawn up  </t>
  </si>
  <si>
    <t xml:space="preserve">Held locally on MI networks; are uploaded to National DCF web site (accessed through http://www.dcmap-ireland.ie/documents/methodologies)    </t>
  </si>
  <si>
    <t>Shellfish SQL database; in development</t>
  </si>
  <si>
    <t>Held locally on MI networks</t>
  </si>
  <si>
    <t xml:space="preserve">Continual updates to sampling SOPs, Quality updates are being uploaded Q4 2017 and final documentation will be ready Q1 2018 </t>
  </si>
  <si>
    <t>Whelks in IRL E 4</t>
  </si>
  <si>
    <t xml:space="preserve">SOP on Marine Institute network.  Summaries of all sampling designs are uploaded to National DCF web site (accessed through http://www.dcmap-ireland.ie/documents/methodologies)  </t>
  </si>
  <si>
    <t xml:space="preserve">Held locally on MI networks; are uploaded to National DCF web site (accessed through http://www.dcmap-ireland.ie/documents/methodologies)   </t>
  </si>
  <si>
    <t>Scallops and other bivalves in IRL E 5 IRL SE 7</t>
  </si>
  <si>
    <r>
      <t xml:space="preserve">Demersal, Pelagic, </t>
    </r>
    <r>
      <rPr>
        <sz val="10"/>
        <color indexed="10"/>
        <rFont val="Arial"/>
        <family val="2"/>
      </rPr>
      <t/>
    </r>
  </si>
  <si>
    <t>SOP on Marine Institute network.  Summaries of all sampling designs is uploaded to National DCF web site (accessed through http://www.dcmap-ireland.ie/documents/methodologies)</t>
  </si>
  <si>
    <t>N/A</t>
  </si>
  <si>
    <t>QC checks on ages, LW regressions, L/A checks-automated within the DB,  R scripts; will be uploaded to National DCF web site (accessed through http://www.dcmap-ireland.ie/documents/methodologies)</t>
  </si>
  <si>
    <t>STOCKMAN data base  http://mifeasapp01/stockman2015/Default.aspx</t>
  </si>
  <si>
    <t>Held Locally on MI networks , R scripts and audit trail in discard database; available upon request, summary of procedures will be uploaded to National DCF web site (accessed through http://www.dcmap-ireland.ie/documents/methodologies)</t>
  </si>
  <si>
    <t xml:space="preserve">Recreational Survey </t>
  </si>
  <si>
    <t xml:space="preserve">Salmon- Angling Catch reports Burrishoole </t>
  </si>
  <si>
    <t xml:space="preserve">SOP on Marine Institute network.  Summaries of all sampling designs will be uploaded to National DCF web site (accessed through http://www.dcmap-ireland.ie/documents/methodologies)   </t>
  </si>
  <si>
    <t xml:space="preserve">SOP on  Institute network ; will be uploaded to National DCF web site (accessed through http://www.dcmap-ireland.ie/documents/methodologies)  </t>
  </si>
  <si>
    <t xml:space="preserve">Excel DB </t>
  </si>
  <si>
    <t xml:space="preserve">SOP on  Institute network </t>
  </si>
  <si>
    <t xml:space="preserve">Held Locally on MI networks; summaries will be uploaded to National DCF web site (accessed through http://www.dcmap-ireland.ie/documents/methodologies)  </t>
  </si>
  <si>
    <t xml:space="preserve">Documents will be uploaded in the first half of 2018 </t>
  </si>
  <si>
    <t>Biological sampling Salmon</t>
  </si>
  <si>
    <t xml:space="preserve">Salmon- Electrofishing ( Burrishoole)  </t>
  </si>
  <si>
    <t xml:space="preserve">SOP on Marine Institute network.  Summaries of all sampling designs will be uploaded to National DCF web site(accessed through http://www.dcmap-ireland.ie/documents/methodologies)   </t>
  </si>
  <si>
    <t xml:space="preserve">SOP on  Institute network ; will be uploaded to National DCF web site (accessed through http://www.dcmap-ireland.ie/documents/methodologies)   </t>
  </si>
  <si>
    <t xml:space="preserve"> Excel DB-Juveniles 1991- to date with catchability</t>
  </si>
  <si>
    <t>Biological sampling/Recreational catches Salmon</t>
  </si>
  <si>
    <t>Salmon- National Coded Wire Tagging programme</t>
  </si>
  <si>
    <t xml:space="preserve">SOP on Marine Institute network.  Summaries of all sampling designs will be uploaded to National DCF web site (accessed through http://www.dcmap-ireland.ie/documents/methodologies)  </t>
  </si>
  <si>
    <t>Access DB-MicroTag Data Management System</t>
  </si>
  <si>
    <t xml:space="preserve">ICES WG have a tagging archive </t>
  </si>
  <si>
    <t xml:space="preserve">Held Locally on MI networks; summaries will be uploaded to National DCF web site (accessed through http://www.dcmap-ireland.ie/documents/methodologies)    </t>
  </si>
  <si>
    <t>Biological sampling Salmon/Eel</t>
  </si>
  <si>
    <t>Salmon/Eel- Counters &amp; traps</t>
  </si>
  <si>
    <t xml:space="preserve">SOP on Marine Institute network.  Summaries of all sampling designs are uploaded to National DCF web site (accessed through http://www.dcmap-ireland.ie/documents/methodologies)    </t>
  </si>
  <si>
    <t xml:space="preserve">Excel- Burishoole Traps Data,  Excel -Liffey counts </t>
  </si>
  <si>
    <t xml:space="preserve">Held Locally on MI networks; summaries will be uploaded to National DCF web site(accessed through http://www.dcmap-ireland.ie/documents/methodologies)  </t>
  </si>
  <si>
    <t>Biological sampling Eel</t>
  </si>
  <si>
    <t>Eel-Electro fishing surveys</t>
  </si>
  <si>
    <t xml:space="preserve">SOP on Marine Institute network.  Summaries of all sampling designs will be uploaded to National DCF web site (accessed through http://www.dcmap-ireland.ie/documents/methodologies)    </t>
  </si>
  <si>
    <t xml:space="preserve">SOP on  Institute network ; will be uploaded to National DCF web site (accessed through http://www.dcmap-ireland.ie/documents/methodologies)    </t>
  </si>
  <si>
    <t>Excel- DB</t>
  </si>
  <si>
    <t>Eel-Fyke net surveys</t>
  </si>
  <si>
    <t xml:space="preserve">Salmon- Counters &amp; Restocking (annual) </t>
  </si>
  <si>
    <t>SOP on  ESB network. Summaries of all sampling designs are also included in the National NSSC Salmon Annual Report &amp; ESB Fisheries Annual report</t>
  </si>
  <si>
    <t xml:space="preserve">SOP on ESB network ; summaries will be uploaded to National DCF web site (accessed through http://www.dcmap-ireland.ie/documents/methodologies)  </t>
  </si>
  <si>
    <t xml:space="preserve">Excel- Lee, Shannon and Erne  Trap &amp; Fish Counter Data. Excel -  Lee, Shannon and Erne e-fishing surevy and hatchery restocking data </t>
  </si>
  <si>
    <t xml:space="preserve">SOP on  ESB network </t>
  </si>
  <si>
    <t xml:space="preserve">Held Locally on ESB networks; summaries will be uploaded to National DCF web site(accessed through http://www.dcmap-ireland.ie/documents/methodologies)  </t>
  </si>
  <si>
    <t>European Eel</t>
  </si>
  <si>
    <t xml:space="preserve">European Eel (annual) </t>
  </si>
  <si>
    <t>SOP on ESB and NUI., Galway networks.  Summaries of all sampling designs are also included in the National NSSC Eel Annual Report &amp; ESB Fisheries Annual report located at https://www.esb.ie/acting-responsibly/fisheries-2/fisheries</t>
  </si>
  <si>
    <t xml:space="preserve">Excel- Lee, Shannon and Erne  Trap and Transport; Excel -  Lee Shannon and Erne E-fishing and elver restocking data </t>
  </si>
  <si>
    <t>Held locally on ESB networks</t>
  </si>
  <si>
    <t xml:space="preserve">Held Locally on ESB networks; summaries will be uploaded to National DCF web site (accessed through http://www.dcmap-ireland.ie/documents/methodologies)  </t>
  </si>
  <si>
    <t>Demersal trawlers in  IRL NW 1, IRL E 1, IRL SE 1, IRL SE 2, IRL SE 3, IRL SE 5, IRL WSW 1, IRL WSW 2 IRL WSW 3 IRL WSW 4</t>
  </si>
  <si>
    <t>Held locally on MI networks: Skippers Report documentation/Voice Validation Documentation; will be uploaded to National DCF web site (accessed through http://www.dcmap-ireland.ie/documents/methodologies)</t>
  </si>
  <si>
    <t xml:space="preserve">Discard Data base  </t>
  </si>
  <si>
    <t>Held Locally on MI networks, R scripts and audit trail in discard database; available upon request, summary of procedures will be uploaded to National DCF web site (accessed through http://www.dcmap-ireland.ie/documents/methodologies )</t>
  </si>
  <si>
    <t>Sampling year/ period</t>
  </si>
  <si>
    <t>RFMO/RFO/IO/NSB</t>
  </si>
  <si>
    <t>Name of data collection scheme</t>
  </si>
  <si>
    <t>Statistically sound sources and methods</t>
  </si>
  <si>
    <t>Error checking</t>
  </si>
  <si>
    <t>Are procedures for confidential data handling in place and documented?</t>
  </si>
  <si>
    <t>Are protocols to enforce confidentiality between DCF partners in place and documented?</t>
  </si>
  <si>
    <t>Are protocols to enforce confidentiality with external users in place and documented?</t>
  </si>
  <si>
    <t>Is sound methodology documented ?</t>
  </si>
  <si>
    <t>Does it follow international standards, guidelines and best practices?</t>
  </si>
  <si>
    <t>Are methodologies consistent at MS, regional and EU level?</t>
  </si>
  <si>
    <t>Economic and Social Data for Fisheries</t>
  </si>
  <si>
    <t>Logbook Data</t>
  </si>
  <si>
    <t xml:space="preserve">MS is currently redesigning sampling protocol for completion in  February 2018  and design of database will begin in 2018 </t>
  </si>
  <si>
    <t>MS is currently redesigning sampling protocol for completion in  February 2018  and design of database will begin in 2018</t>
  </si>
  <si>
    <t>Questionairre</t>
  </si>
  <si>
    <t>Sentinel Vessel Programme</t>
  </si>
  <si>
    <t>Economic and Social Data for Aquaculture</t>
  </si>
  <si>
    <t>Economic and Social Data for Processing</t>
  </si>
  <si>
    <t xml:space="preserve">Financial accounts </t>
  </si>
  <si>
    <t>Data set</t>
  </si>
  <si>
    <t>Section</t>
  </si>
  <si>
    <t>Variable group</t>
  </si>
  <si>
    <t>Year(s) of WP implementation</t>
  </si>
  <si>
    <t xml:space="preserve">Reference year </t>
  </si>
  <si>
    <t>Final data available after</t>
  </si>
  <si>
    <t>Biological variables</t>
  </si>
  <si>
    <t>1B/1C/1H</t>
  </si>
  <si>
    <r>
      <t xml:space="preserve"> Demersal  </t>
    </r>
    <r>
      <rPr>
        <sz val="10"/>
        <rFont val="Arial"/>
        <family val="2"/>
      </rPr>
      <t xml:space="preserve">stocks,  length, weight,  sex ratio, sexual maturity  </t>
    </r>
  </si>
  <si>
    <t>n</t>
  </si>
  <si>
    <t>March 31, n+1</t>
  </si>
  <si>
    <r>
      <t xml:space="preserve">Stocks as listed in 1B/1C </t>
    </r>
    <r>
      <rPr>
        <sz val="10"/>
        <color indexed="10"/>
        <rFont val="Arial"/>
        <family val="2"/>
      </rPr>
      <t/>
    </r>
  </si>
  <si>
    <t>1B/1C</t>
  </si>
  <si>
    <r>
      <t xml:space="preserve"> Nephrops </t>
    </r>
    <r>
      <rPr>
        <sz val="10"/>
        <rFont val="Arial"/>
        <family val="2"/>
      </rPr>
      <t xml:space="preserve">stocks, length, sex ratio, sexual maturity  </t>
    </r>
  </si>
  <si>
    <t>Nephrops FU VII</t>
  </si>
  <si>
    <r>
      <t xml:space="preserve"> </t>
    </r>
    <r>
      <rPr>
        <sz val="10"/>
        <rFont val="Arial"/>
        <family val="2"/>
      </rPr>
      <t xml:space="preserve">Elasmobranchs stocks,  length, weight,  sex ratio, sexual maturity  </t>
    </r>
  </si>
  <si>
    <t>May 1, n+1</t>
  </si>
  <si>
    <t xml:space="preserve">All elasmobranch data </t>
  </si>
  <si>
    <t xml:space="preserve">  Shellfish  stocks,  length, weight,  sex ratio, sexual maturity  </t>
  </si>
  <si>
    <t>August 31, n+1</t>
  </si>
  <si>
    <r>
      <t xml:space="preserve">Demersal stocks,  commercial age, </t>
    </r>
    <r>
      <rPr>
        <sz val="10"/>
        <rFont val="Arial"/>
        <family val="2"/>
      </rPr>
      <t xml:space="preserve">Survey age from IGFS and IAMS </t>
    </r>
  </si>
  <si>
    <t>March 20, n+1</t>
  </si>
  <si>
    <t xml:space="preserve"> Gadus morhua VIIa, VIIe-k, Lepidorhombus whiffiagonis VI, VII, VIIIabd, Melanogrammus aeglefinus VIa, VIIa, VIIe-k; Merlangius merlangius VIa, VIIa, VIIe-k; Merluccius merluccius IIIa, IV, VI, VII, VIIIab; Pleuronectes platessa VIIa, VIIbc VIIfg, VIIh-k; Pollachius pollachius all areas except IX, X; Pollachius virens VII, VIII; Solea solea VIIa, VIIhjk, VIIbc. </t>
  </si>
  <si>
    <t xml:space="preserve">Pelagic stocks, commercial age,length, weight,  sex ratio, sexual maturity </t>
  </si>
  <si>
    <t>February 28, n+1</t>
  </si>
  <si>
    <t>Clupea harengus  VIaN,VIaS, VIIa,VIIj, VIIg</t>
  </si>
  <si>
    <t>May 31 , n+1</t>
  </si>
  <si>
    <t xml:space="preserve"> Micromesistius poutassou I-IX, XII, XIV;</t>
  </si>
  <si>
    <t xml:space="preserve">Pelagic stocks, commercial ,length, weight,  sex ratio, sexual maturity </t>
  </si>
  <si>
    <t>Capros aper VI VII</t>
  </si>
  <si>
    <t>June 7, n+1</t>
  </si>
  <si>
    <t xml:space="preserve"> Trachurus trachurus IIa, IVa, Vb, VIa, VIIa-c, e-k, VIIIabde</t>
  </si>
  <si>
    <t xml:space="preserve">Pelagic stocks, commercial age ,length, weight,  sex ratio, sexual maturity </t>
  </si>
  <si>
    <t>26 June, N+1</t>
  </si>
  <si>
    <t xml:space="preserve"> Scomber scombrus II, IIIa, IV, V, VI, VII, VIII, IX </t>
  </si>
  <si>
    <t xml:space="preserve">Pelagic Stocks  survey age, length, weight,  sex ratio, sexual maturity </t>
  </si>
  <si>
    <t>Clupea harengus  VIaN,VIaS,VIIj,VIIg</t>
  </si>
  <si>
    <t>March 1, n</t>
  </si>
  <si>
    <t xml:space="preserve">Pelagic Stocks  survey, length, weight,  sex ratio, sexual maturity </t>
  </si>
  <si>
    <t>1H</t>
  </si>
  <si>
    <t xml:space="preserve">MEGS  Survey ages </t>
  </si>
  <si>
    <t xml:space="preserve">survey n (+6 months)  </t>
  </si>
  <si>
    <t xml:space="preserve"> Trachurus trachurus , VIa, VIIa-c, e-k, VIIIabde  Scomber scombrus , VI, VII, VIII,</t>
  </si>
  <si>
    <t xml:space="preserve">Incidental Bycatch  </t>
  </si>
  <si>
    <t>1F</t>
  </si>
  <si>
    <t>n-1</t>
  </si>
  <si>
    <t>Jan 31, n+1</t>
  </si>
  <si>
    <t>Egg Production</t>
  </si>
  <si>
    <t xml:space="preserve">MEGS -Egg production  </t>
  </si>
  <si>
    <t>April 30 n+1</t>
  </si>
  <si>
    <t xml:space="preserve">Fecundity </t>
  </si>
  <si>
    <t>MEGS fecundity</t>
  </si>
  <si>
    <t xml:space="preserve">  Scomber scombrus  VI, VII, VIII</t>
  </si>
  <si>
    <t xml:space="preserve">CTD </t>
  </si>
  <si>
    <t xml:space="preserve">MEGS CTD </t>
  </si>
  <si>
    <t>Stock abundance -WESPAS CSHAS</t>
  </si>
  <si>
    <t xml:space="preserve">Survey n (+3 months) </t>
  </si>
  <si>
    <t>Spawning/Pre spawning Herring/Boarfish acoustic survey: Clupea harengus  VIaN,VIaS,VIIj  Capros aper VI VII</t>
  </si>
  <si>
    <t xml:space="preserve">Stock abundance </t>
  </si>
  <si>
    <t xml:space="preserve">Nephrops abundance UWTV </t>
  </si>
  <si>
    <t xml:space="preserve">Survey n (+3 months)  </t>
  </si>
  <si>
    <t xml:space="preserve">Nephrops length, weight,  sex ratio, sexual maturity  </t>
  </si>
  <si>
    <t xml:space="preserve">Standardized relative indices of abundance at age for assessment IGFS IAMS </t>
  </si>
  <si>
    <t xml:space="preserve">All species all stocks for which data is collected  </t>
  </si>
  <si>
    <t xml:space="preserve">Standardized relative indices of numbers at length for assessment IGFS IAMS </t>
  </si>
  <si>
    <t xml:space="preserve">Standardized relative indices of total No and total biomass for elasmobranch assessment IGFS IAMS </t>
  </si>
  <si>
    <t>1D</t>
  </si>
  <si>
    <t xml:space="preserve">Recreational fish Salmon </t>
  </si>
  <si>
    <t>April 30 N+1</t>
  </si>
  <si>
    <t xml:space="preserve">Recreational fish - all other relevant species   seabass, eel, cod, elasmobranchs, highly migratory </t>
  </si>
  <si>
    <t>March n+1</t>
  </si>
  <si>
    <t>Annual estimate of catch, annual percentage of released catch, catch composition data from the  Pilot studies</t>
  </si>
  <si>
    <t>1E</t>
  </si>
  <si>
    <t>All data Salmon</t>
  </si>
  <si>
    <t xml:space="preserve">All data Eel </t>
  </si>
  <si>
    <t>2a</t>
  </si>
  <si>
    <t xml:space="preserve">Capacity </t>
  </si>
  <si>
    <t>Feb 28, n+1</t>
  </si>
  <si>
    <t>Variable collected  for all areas</t>
  </si>
  <si>
    <t xml:space="preserve">Feb 28, n+1 </t>
  </si>
  <si>
    <t xml:space="preserve">Draft copy of logbooks database is taken end of February with finalised version available Middle of April  </t>
  </si>
  <si>
    <t>Fleet economic</t>
  </si>
  <si>
    <t>3A</t>
  </si>
  <si>
    <t>Revenue/costs</t>
  </si>
  <si>
    <t>N-1</t>
  </si>
  <si>
    <t>N+1, March 1</t>
  </si>
  <si>
    <t>Aquaculture economic</t>
  </si>
  <si>
    <t>3B</t>
  </si>
  <si>
    <t>Fishing Activity Variable</t>
  </si>
  <si>
    <t>2A</t>
  </si>
  <si>
    <t>capacity</t>
  </si>
  <si>
    <t>N+1, January 31</t>
  </si>
  <si>
    <t>landings</t>
  </si>
  <si>
    <t>N+1, March 31</t>
  </si>
  <si>
    <t>Fish processing economic</t>
  </si>
  <si>
    <t>3C</t>
  </si>
  <si>
    <t>N-2</t>
  </si>
  <si>
    <t>N+1, November 1</t>
  </si>
  <si>
    <t>Date when data was available</t>
  </si>
  <si>
    <t>Table 7A: Planned regional and international coordination</t>
  </si>
  <si>
    <t>Acronym</t>
  </si>
  <si>
    <t>Name of meeting</t>
  </si>
  <si>
    <t>Planned MS participation</t>
  </si>
  <si>
    <t>Number of participants</t>
  </si>
  <si>
    <t>DCF National co-ordination Meeting</t>
  </si>
  <si>
    <t>DCF NC Meet</t>
  </si>
  <si>
    <t>National Correspondents Meeting</t>
  </si>
  <si>
    <t xml:space="preserve">AER </t>
  </si>
  <si>
    <t>Annual Economic Report Meeting</t>
  </si>
  <si>
    <t>LM</t>
  </si>
  <si>
    <t xml:space="preserve">Expert group on data collection </t>
  </si>
  <si>
    <t>RCM NA</t>
  </si>
  <si>
    <t xml:space="preserve">RCM for the North Atlantic </t>
  </si>
  <si>
    <t>PGDATA</t>
  </si>
  <si>
    <t xml:space="preserve">ICES Planning Group on Data Needs for Assessments and Advice </t>
  </si>
  <si>
    <t>PGECON</t>
  </si>
  <si>
    <t>Planning Group on Economic Issues</t>
  </si>
  <si>
    <t>WGCHAIRS</t>
  </si>
  <si>
    <t xml:space="preserve">Annual Meeting of Advisory Working Group Chairs </t>
  </si>
  <si>
    <t>DIG</t>
  </si>
  <si>
    <t>Data and Information Group</t>
  </si>
  <si>
    <t>WGBIODIV</t>
  </si>
  <si>
    <t xml:space="preserve">Working Group on Biodiversity Science </t>
  </si>
  <si>
    <t>WGBIOP</t>
  </si>
  <si>
    <t xml:space="preserve">ICES Working Group on Biological Parameters </t>
  </si>
  <si>
    <t>WGBYC</t>
  </si>
  <si>
    <t xml:space="preserve">Working Group on Bycatch of Protected Species Fishing Behaviour </t>
  </si>
  <si>
    <t>WGCATCH</t>
  </si>
  <si>
    <t xml:space="preserve">ICES Working Group on Commercial Catches Sampling </t>
  </si>
  <si>
    <t>IBTSWG</t>
  </si>
  <si>
    <t xml:space="preserve">International Bottom Trawl Survey Working Group </t>
  </si>
  <si>
    <t>WGBEAM</t>
  </si>
  <si>
    <t xml:space="preserve">Working Group on Beam Trawl Surveys </t>
  </si>
  <si>
    <t>WGFTFB</t>
  </si>
  <si>
    <t xml:space="preserve">ICES-FAO Working Group on Fishing Technology and Fish Behaviour </t>
  </si>
  <si>
    <t xml:space="preserve">Working Group of International Pelagic Surveys </t>
  </si>
  <si>
    <t>WGISUR</t>
  </si>
  <si>
    <t xml:space="preserve">Working Group on Integrating Surveys for the Ecosystem Approach </t>
  </si>
  <si>
    <t xml:space="preserve">Working Group on Mackerel and Horse Mackerel Egg Surveys </t>
  </si>
  <si>
    <t>WGNEPS</t>
  </si>
  <si>
    <t xml:space="preserve">Working Group  on Nephrops Surveys </t>
  </si>
  <si>
    <t>WGRFS</t>
  </si>
  <si>
    <t xml:space="preserve">ICES Working Group on Recreational Fisheries Surveys </t>
  </si>
  <si>
    <t>HAWG</t>
  </si>
  <si>
    <t xml:space="preserve">Herring Assessment Working Group for the Area South of 62⁰N </t>
  </si>
  <si>
    <t>WGBIE</t>
  </si>
  <si>
    <t xml:space="preserve">Working Group on the Assessment of Bay of Biscay and Iberian Ecosystem </t>
  </si>
  <si>
    <t>WGCRAB</t>
  </si>
  <si>
    <t>Working Group on the Biology and. Life History of Crabs</t>
  </si>
  <si>
    <t>WGCSE</t>
  </si>
  <si>
    <t xml:space="preserve">Working Group on the Assessment of Celtic Seas Stocks </t>
  </si>
  <si>
    <t>WGDEEP</t>
  </si>
  <si>
    <t>Working Group on the Biology and Assessment of Deep-sea Fisheries Resources</t>
  </si>
  <si>
    <t>WGECO</t>
  </si>
  <si>
    <t xml:space="preserve">Working Group on the Ecosystem Effects of Fishing Activities </t>
  </si>
  <si>
    <t>WGEEL</t>
  </si>
  <si>
    <t>Joint EIFAC/ICES Working Group on Eels</t>
  </si>
  <si>
    <t>WGEF</t>
  </si>
  <si>
    <t>Working Group on Elasmobranch Fishes</t>
  </si>
  <si>
    <t>WGFAST</t>
  </si>
  <si>
    <t xml:space="preserve">Working Group on Fisheries Acoustics Science and Technology </t>
  </si>
  <si>
    <t>WGHANSA</t>
  </si>
  <si>
    <t>Working Group on Southern Horse Mackerel Anchovy and Sardine</t>
  </si>
  <si>
    <t>WGISDAA</t>
  </si>
  <si>
    <t xml:space="preserve">Working Group on Improving use of Survey Data for Assessment and Advice </t>
  </si>
  <si>
    <t>WGNAS</t>
  </si>
  <si>
    <t xml:space="preserve">Working Group on North Atlantic Salmon </t>
  </si>
  <si>
    <t>WGSAM</t>
  </si>
  <si>
    <t>Working Group on Multispecies Assessment Methods</t>
  </si>
  <si>
    <t>WGSCALLOP</t>
  </si>
  <si>
    <t xml:space="preserve">Scallop Assessment Working Group </t>
  </si>
  <si>
    <t>WGWIDE</t>
  </si>
  <si>
    <t xml:space="preserve">Working Group on Widely Distributed Stocks </t>
  </si>
  <si>
    <t>WGDEC</t>
  </si>
  <si>
    <t>Working Group on Deep-water Ecology</t>
  </si>
  <si>
    <t>WGHIST</t>
  </si>
  <si>
    <t>Working Group on the History of Fish and Fisheries</t>
  </si>
  <si>
    <t>WGMHM</t>
  </si>
  <si>
    <t>Working Group on Marine Habitat Mapping</t>
  </si>
  <si>
    <t>WGMIXFISH-Advice</t>
  </si>
  <si>
    <t>Working Group on Mixed Fisheries Advice</t>
  </si>
  <si>
    <t>WGMIXFISH-METH</t>
  </si>
  <si>
    <t xml:space="preserve">Working Group on Mixed Fisheries Advice  - Methodology </t>
  </si>
  <si>
    <t>WGMME</t>
  </si>
  <si>
    <t xml:space="preserve">Working Group on Marine Mammal Ecology </t>
  </si>
  <si>
    <t>WGSFD</t>
  </si>
  <si>
    <t>Working Group on Spatial Fisheries Data</t>
  </si>
  <si>
    <t>WGTC</t>
  </si>
  <si>
    <t xml:space="preserve">Working Group on Target Classification </t>
  </si>
  <si>
    <t>WKARBLUE2</t>
  </si>
  <si>
    <t>Workshop on Age estimation of Blue Whiting (Micromesistius poutassou) ​</t>
  </si>
  <si>
    <t>WKARMAC2</t>
  </si>
  <si>
    <t>Workshop on Age estimation of Mackerel (Scomber scombrus)</t>
  </si>
  <si>
    <t>WKARNSSH</t>
  </si>
  <si>
    <t>Workshop on Age estimation of Norwegian Spring Spawning Herring (Clupea harengus)</t>
  </si>
  <si>
    <t>WKIRISH</t>
  </si>
  <si>
    <t>Benchmark Workshop on sharing information on the Irish Sea Ecosystem, stock assessments, and fisheries issues, and scoping needs for assessment and management advice</t>
  </si>
  <si>
    <t>WKLIFE</t>
  </si>
  <si>
    <t>Workshop on the Development of Assessments based on LIFE history traits and Exploitation Characteristics</t>
  </si>
  <si>
    <t>WKMSHS2</t>
  </si>
  <si>
    <t>Workshop on Sexual Maturity Staging of Herring (Clupea harengus) and Sprat (Sprattus sprattus)</t>
  </si>
  <si>
    <t>WKPELA</t>
  </si>
  <si>
    <t>Benchmark Workshop on Pelagic Stocks</t>
  </si>
  <si>
    <t>WKWIDE</t>
  </si>
  <si>
    <t>Benchmark Workshop on Widely Distributed Stocks</t>
  </si>
  <si>
    <t>Coastal states Blue Whiting</t>
  </si>
  <si>
    <t>Table 7B: Follow-up of recommendations and agreements</t>
  </si>
  <si>
    <t>Source</t>
  </si>
  <si>
    <t xml:space="preserve">Section </t>
  </si>
  <si>
    <t>Topic</t>
  </si>
  <si>
    <t>Recommendation number</t>
  </si>
  <si>
    <t>Recommendation/ Agreement</t>
  </si>
  <si>
    <t>Follow-up action</t>
  </si>
  <si>
    <t xml:space="preserve">MS action taken </t>
  </si>
  <si>
    <t>RCMNA 2015</t>
  </si>
  <si>
    <t>Overview of sampling activities</t>
  </si>
  <si>
    <t>Description of metiers</t>
  </si>
  <si>
    <t>Provide Descriptions of metiers that are in the RDB</t>
  </si>
  <si>
    <r>
      <t>1.</t>
    </r>
    <r>
      <rPr>
        <sz val="7"/>
        <rFont val="Times New Roman"/>
        <family val="1"/>
      </rPr>
      <t xml:space="preserve">    </t>
    </r>
    <r>
      <rPr>
        <sz val="10"/>
        <rFont val="Verdana"/>
        <family val="2"/>
      </rPr>
      <t>RCM NA MS to provide this template before RCM NA 2016. 2.    RCMs chairs to include this request in next Data Call as an optional request recommended. 3. RDB Managers to set up a space in the RDB to maintain these descriptionsRDB Managers to set up a space in the RDB to maintain these descriptions</t>
    </r>
  </si>
  <si>
    <t xml:space="preserve">To be done as part of 2016 data call  </t>
  </si>
  <si>
    <t>Implications of the landing obligation</t>
  </si>
  <si>
    <t>Implications of the landing obligation -  Scientific and data storage, IT systems and estimation</t>
  </si>
  <si>
    <r>
      <t xml:space="preserve">RCM NA </t>
    </r>
    <r>
      <rPr>
        <sz val="10"/>
        <rFont val="Verdana"/>
        <family val="2"/>
      </rPr>
      <t>recommends that scientific institutions and ICES ensure that data recording systems, IT systems and estimation routines are able to appropriately deal with the retained discard fraction (Landings BMS) and official discards. RCMs to review, monitor and advise on the impact of the implementation. Also, authorities should adjust logbooks and IT systems to accommodate the accurate recordings of all catch components, including the part that can be released under the de minimis exemptions.</t>
    </r>
  </si>
  <si>
    <t xml:space="preserve">MS implementing changes in e logbooks and data bases </t>
  </si>
  <si>
    <t>LM 2016</t>
  </si>
  <si>
    <t>RCMs transition to RCGs</t>
  </si>
  <si>
    <t>Pan-regional intersessional work</t>
  </si>
  <si>
    <t>LM 4</t>
  </si>
  <si>
    <t xml:space="preserve">The RCM NA strongly recommends the continuation of the pan regional intersessional work groups already proposed • Cost sharing of funding surveys
• Impact of landing obligation 
• Reviewing the ICES list of data needs as input for designing regional sampling plans.
• Review and follow-up on upload logs                                         and adopt further intersessional work groups• Rules and procedures
• RDB Data analysis subgroup
• Regional Sampling
</t>
  </si>
  <si>
    <t>All RCM Chairs to consider ToRs, contributors and provide assistance where required. (RCM LDF, Baltic, NSEA, NA and MED)</t>
  </si>
  <si>
    <t xml:space="preserve">MS has already proposed people  for Cost sharing and Data needs </t>
  </si>
  <si>
    <t>Databases and data strategy</t>
  </si>
  <si>
    <t xml:space="preserve">Foreign Landings </t>
  </si>
  <si>
    <t>LM 12</t>
  </si>
  <si>
    <t>1.     MS upload their samples of non-flag vessels (foreign landings) to the RDB. 2. The WKCATCH investigate suitable methods for estimating non Flag landing fractions.</t>
  </si>
  <si>
    <t>RCG Chairs to put out a data call.  MS to upload their samples of non-flag vessels (foreign landings) to the RDB WKCATCH investigate suitable methods for estimating non Flag landing fractions.</t>
  </si>
  <si>
    <t>Workshops and pilot studies</t>
  </si>
  <si>
    <t>Assigning trips to métier</t>
  </si>
  <si>
    <t xml:space="preserve">LM 20 </t>
  </si>
  <si>
    <t xml:space="preserve">The RCM NA strongly recommends a data compilation workshop to: 1.Standardise the processes that use trip based transversal data to determine the métier. 2. Consider criteria for aggregating data for different end-users (JRC, ICES and other RFMOs). 3. Investigate a framework for managing métier and fleet descriptions when needed. </t>
  </si>
  <si>
    <t xml:space="preserve"> JRC or ICES to set up a tranversal data workshop and  NC and MS to provide contributors and to implement guidelines</t>
  </si>
  <si>
    <t xml:space="preserve">RCM NA </t>
  </si>
  <si>
    <t>Task sharing agreements</t>
  </si>
  <si>
    <t xml:space="preserve">Maintenance of existing bi lateral agreements </t>
  </si>
  <si>
    <t>RCM NA 11</t>
  </si>
  <si>
    <t xml:space="preserve">RCM NA recommends that, where required, formal bilateral agreements set up for the period from 2014-2016 are carried forward until regional sampling plans are agreed. </t>
  </si>
  <si>
    <t>MS to maintain current contributions to these agreements</t>
  </si>
  <si>
    <t xml:space="preserve">Unsure as to whether to put in the Agreements from the RCM NA where they had not been endorsed by the LM 2016 This was verbally agreed and MS has noted in NP and will continue with task sharing. </t>
  </si>
  <si>
    <t xml:space="preserve">RCM NS &amp; EA 2016 </t>
  </si>
  <si>
    <t>Cost-sharing agreement for the conducting of the International Ecosystem Survey in the Nordic Seas (ASH) and the Blue Whiting Survey in 2016 and 2017</t>
  </si>
  <si>
    <t xml:space="preserve">None </t>
  </si>
  <si>
    <t xml:space="preserve">RCM NS&amp;EA 2016 agreed  on continuation of the cost sharing model for 2 surveys: 1. the International Ecosystem Survey in the Nordic (Atlanto-Scandian herring), 2. the Blue Whiting Survey (blue whiting). This model applies to those MS having a EU-TAC share &gt;= 5% for the species subject to this surveys. This model will be used for the International Ecosystem Survey in the Nordic Seas (IESNS) carried out by the Danish R/V Dana and the Blue Whiting Survey carried out by the Irish R/V Celtic Explorer and the Dutch R/V Tridens for years 2016 and 2017. </t>
  </si>
  <si>
    <t xml:space="preserve">The NC’s from Ireland, France and Spain should be consulted at the RCM NA 2016 regarding the Blue Whiting survey.  Ireland should also be consulted regarding the International Ecosystem Survey in the Nordic.  </t>
  </si>
  <si>
    <t>As above</t>
  </si>
  <si>
    <t>To endorse the need for multispecies data collection for marine recreational fisheries pilot surveys.</t>
  </si>
  <si>
    <t>RCG NA 2018 #7</t>
  </si>
  <si>
    <t>The RCG NA recommends that: marine recreational fisheries surveys collect data on all species caught rather than the solely species defined in the DCF. Member states are interpreting the species requirements the pilot studies of marine recreational fisheries surveys differently. There is limited additional resource required to collect data on all species caught and it is not possible to assess the impact without data, so the RCG NA recommends that multispecies pilot surveys are done.</t>
  </si>
  <si>
    <t>1. Clarification of the requirement for pilot studies is needed and proposal for inclusion of multispecies surveys in the revision of the DCF.</t>
  </si>
  <si>
    <t xml:space="preserve">MS is in negotiation with implementing authority  (IFI) to include this in current Pilot study  </t>
  </si>
  <si>
    <t>Table7C: Bi- and multilateral agreements</t>
  </si>
  <si>
    <t>MSs</t>
  </si>
  <si>
    <t>Contact persons</t>
  </si>
  <si>
    <t>Content</t>
  </si>
  <si>
    <t>Coordination</t>
  </si>
  <si>
    <t>Description of sampling / sampling protocol / sampling intensity</t>
  </si>
  <si>
    <t xml:space="preserve">Data transmission  </t>
  </si>
  <si>
    <t xml:space="preserve">Access to vessels </t>
  </si>
  <si>
    <t xml:space="preserve">Validity </t>
  </si>
  <si>
    <t>IRL -SCO</t>
  </si>
  <si>
    <t>leonie.odowd@marine.ie ; m.bell@marlab.ac.uk</t>
  </si>
  <si>
    <t xml:space="preserve"> Vessels fishing on the Irish register, which operate and / or land into Scotland for first point of sale will be sampled as part of the 2014-2016  Annual Work Plans under the requirements of the EC Data Collection Framework (199/2008).  The eventual additional sampling costs will be covered within the Scottish National Sampling Programme from 2014-2016</t>
  </si>
  <si>
    <t xml:space="preserve">The sampling will be for length maturity and age of Demersal and Pelagic landings, sampling will be carried out in accordance with the Scottish National Sampling Programmes. </t>
  </si>
  <si>
    <t>Scotland will send this sampling data to Ireland for inclusion with the Irish assessment working group data sets.  Ireland will then be responsible for submitting the data to the relevant ICES Expert Groups, and to the EC under the requirements of its Data Collection Framework. Scotland will provide the required data for the species that are requested by the relevant ICES Expert Groups, and the data for the additional species to Ireland as and when requested.</t>
  </si>
  <si>
    <t xml:space="preserve">N/A as samplng is on shore </t>
  </si>
  <si>
    <t xml:space="preserve">This agreement commences on January 1, 2014, it ends on December 31, 2016.   </t>
  </si>
  <si>
    <r>
      <t xml:space="preserve">Landings of Scottish vessels into Ireland and of Irish landings into Scotland may change over the period of this bi lateral agreement and will need to be      monitored on an on - going basis.  </t>
    </r>
    <r>
      <rPr>
        <sz val="10"/>
        <rFont val="Arial"/>
        <family val="2"/>
      </rPr>
      <t xml:space="preserve"> AT THE RCMNA 2016 IT WAS AGREED THAT THE EXISTING BI/MULTILATERAL AGREEMENTS WOULD STAND UNTIL THE AGREEMENT OF REGIONAL SAMPLING PLANS</t>
    </r>
  </si>
  <si>
    <t>Fishing vessels on the UK- Scotland register, which operate and / or land for first sale into Ireland, will be sampled by Ireland as part of the 2014-2016 Annual Work Plans under the requirements of the EC Data Collection Framework (199/2008). The eventual additional sampling costs will be covered within the Irish National Sampling Programme from 2014-2016.</t>
  </si>
  <si>
    <t>The samples will be processed and age, sex, length, maturity information recorded.</t>
  </si>
  <si>
    <t xml:space="preserve"> These data will be sent to the Scottish scientist with responsibility for submitting Scottish data to the ICES WGWIDE. Scotland is responsible for submitting the data to the relevant ICES Expert Groups, and to the EC under the requirements of its Data Collection Framework. </t>
  </si>
  <si>
    <t>Landings of Scottish vessels into Ireland and of Irish landings into Scotland may change over the period of this bi lateral agreement and will need to be monitored on an on - going basis. AT THE RCMNA 2016 IT WAS AGREED THAT THE EXISTING BI/MULTILATERAL AGREEMENTS WOULD STAND UNTIL THE AGREEMENT OF REGIONAL SAMPLING PLANS</t>
  </si>
  <si>
    <t xml:space="preserve">IRL -DK </t>
  </si>
  <si>
    <t xml:space="preserve">leonie.odowd@marine.ie; ;Jørgen Dalskov &lt;jd@aqua.dtu.dk&gt; </t>
  </si>
  <si>
    <t>Five Vessels fishing on the Danish register, which operate and / or land for first sale into Ireland, will be sampled as part of the 2014-2016 National Programme under the requirements of the EC Data Collection Framework (199/2008). The eventual additional sampling costs will be covered within the Irish National Sampling Programme from 2014- 2016</t>
  </si>
  <si>
    <t>The sampling will be for length maturity and age of Blue whiting landings, sampling will be carried out in accordance with the Irish National Sampling Programme.</t>
  </si>
  <si>
    <t>The samples will be processed and age, sex, length, maturity information recorded. These data will be sent to the Danish scientist with responsibility for submitting Danish data to the ICES WGWIDE.</t>
  </si>
  <si>
    <t xml:space="preserve"> AT THE RCMNA 2016 IT WAS AGREED THAT THE EXISTING BI/MULTILATERAL AGREEMENTS WOULD STAND UNTIL THE AGREEMENT OF REGIONAL SAMPLING PLANS</t>
  </si>
  <si>
    <t>IRL-FRA</t>
  </si>
  <si>
    <t>Leonie O'Dowd  National Correspondant                            Marie-Bénédicte PEYRAT National Correspondant</t>
  </si>
  <si>
    <t>Fifty four vessels fishing on the French register, which operate and / or land into Ireland and transported for first point of sale to France, will be sampled as part of the 2014-2016 National Programme under the requirements of the EC Data Collection Framework (199/2008). The eventual additional sampling costs will be covered within the French National Sampling Programme from 2014-16</t>
  </si>
  <si>
    <t>The sampling will be for length maturity and age of Hake, Monkfish and Megrim landings, sampling will be carried out in accordance with the French National Sampling Programme.</t>
  </si>
  <si>
    <t>France is responsible for submitting the data to the relevant ICES Expert Groups, and to the EC under the requirements of its Data Collection Framework. France will provide the required data for the species that are requested by the relevant ICES Expert Groups, and the data for the additional species to Ireland as and when requested.</t>
  </si>
  <si>
    <t xml:space="preserve">This agreement commences on September 9, 2014, it ends on December 31, 2016. </t>
  </si>
  <si>
    <t>  In addition, four pelagic vessels fishing on the Irish register which operate and / or land for first sale into France, on an opportunistic basis, will be sampled as part of the 2014-2016 National Programme under the requirements of the EC Data Collection Framework (199/2008). The eventual additional sampling costs will be covered within the Irish National Sampling Programme from 2014-16.</t>
  </si>
  <si>
    <t xml:space="preserve">The sampling will be for length maturity and age of mackerel, horse mackerel and herring landings, sampling will be carried out in accordance with the Irish National Sampling Programme. Also Ten samples of herring, mackerel, horse mackerel and/or albacore tuna will be sampled annually by a contractor based in Douarnenez, France.  This contractor will collect and primary-process the samples and send the data to the Irish Marine Institute where they will be aged. The data will be submitted by the relevant Irish scientist to WGWIDE, HAWG and/or ICCAT. </t>
  </si>
  <si>
    <t>Ireland is responsible for submitting the data to the relevant ICES Expert Groups, and to the EC under the requirements of its Data Collection Framework. Ireland will provide the required data for the species that are requested by the relevant ICES Expert Groups, and the data for the additional species to France as and when requested.</t>
  </si>
  <si>
    <t>IRL-DK</t>
  </si>
  <si>
    <t>Vessels fishing on the Danish register, which operate and / or land for first sale into Ireland, will be sampled as part of the 2017-2019 National Programme under the requirements of the EC Data Collection Framework (199/2008). The eventual additional sampling costs will be covered within the Irish National Sampling Programme from 2017-2019</t>
  </si>
  <si>
    <t>The sampling will be for length, weight and age  of mackerel and Horse mackerel landings, sampling will be carried out in accordance with the Irish National Sampling Programme.</t>
  </si>
  <si>
    <t xml:space="preserve">This agreement commences on January 1, 2017, it ends on December 31, 2017.   </t>
  </si>
  <si>
    <t xml:space="preserve">Currently in discussion on bilateral agreement on boarfish sampling, updated bilateral will be uploaded when finalised. </t>
  </si>
  <si>
    <r>
      <rPr>
        <b/>
        <sz val="10"/>
        <rFont val="Arial"/>
        <family val="2"/>
      </rPr>
      <t>DATA SOURCE for COLUMN I:</t>
    </r>
    <r>
      <rPr>
        <sz val="10"/>
        <rFont val="Arial"/>
        <family val="2"/>
      </rPr>
      <t xml:space="preserve"> International landings for 2015 not yet available. Reference years 2012-14 used when calculating %share in EU landings . Data source for % EU TAC is from the MARE FIDES (https://webgate.ec.europa.eu/fides/index.cfm) database (opening quota 2015, so before swaps etc) and % share of the landings is from EUROSTAT (via ICES) for the years 2011-2014 (because 2015 data are still preliminary).</t>
    </r>
  </si>
  <si>
    <t>Sector Name</t>
  </si>
  <si>
    <t>Table 6A: Data availability</t>
  </si>
  <si>
    <t>No change</t>
  </si>
  <si>
    <t>Landings almost unchanged</t>
  </si>
  <si>
    <t>no change</t>
  </si>
  <si>
    <t xml:space="preserve"> </t>
  </si>
  <si>
    <t>L. budegassa is quite rare in area IV,VI, hard to get samples.</t>
  </si>
  <si>
    <t>The number of individuals is lower than planned but the number of samples is more than sufficient to support the requirements from end-users</t>
  </si>
  <si>
    <t>Survey catches somewhat lower than expected</t>
  </si>
  <si>
    <t>Survey catches lower than expected</t>
  </si>
  <si>
    <r>
      <t>No at sea observer trips were possible on the 6 fishing trips completed by the industry in  2019, however 2</t>
    </r>
    <r>
      <rPr>
        <sz val="11"/>
        <color rgb="FFFF0000"/>
        <rFont val="Calibri"/>
        <family val="2"/>
        <scheme val="minor"/>
      </rPr>
      <t xml:space="preserve"> </t>
    </r>
    <r>
      <rPr>
        <sz val="11"/>
        <rFont val="Calibri"/>
        <family val="2"/>
        <scheme val="minor"/>
      </rPr>
      <t>samples were collected at sea by the crew and brought back for the MI to work up</t>
    </r>
  </si>
  <si>
    <t>LPF was concentrated in the Bay of Biscay with the majority of landings into France, not possible to get observers aboard.</t>
  </si>
  <si>
    <t>All individuals in a sample measured</t>
  </si>
  <si>
    <t>5 per 1/2cm</t>
  </si>
  <si>
    <t>The fishery continues to decline, therefore sample numbers are lower than planned</t>
  </si>
  <si>
    <t>Sample 3 bags from each ICES rectangle on each port visit</t>
  </si>
  <si>
    <t>No sampling planned</t>
  </si>
  <si>
    <t>Pecten maxiumus are hermaphrodites</t>
  </si>
  <si>
    <t>maturity sampling was done on on commercial samples instead</t>
  </si>
  <si>
    <t>All individuals or a sub-sample in a string of pots are measured</t>
  </si>
  <si>
    <t>All individuals or a sub-sample in a string of pots are sampled</t>
  </si>
  <si>
    <t>Random subsample</t>
  </si>
  <si>
    <t xml:space="preserve">50 per sample  </t>
  </si>
  <si>
    <t>1 per 1 cm per sample</t>
  </si>
  <si>
    <t>Catches were very low, resulting in reduced sample numbers</t>
  </si>
  <si>
    <t>Catches were very low, access to round fish in Q1 was restricted, continued efforts are being made</t>
  </si>
  <si>
    <t>Up to 250 individuals are sampled per sampling event</t>
  </si>
  <si>
    <t>1 per 2 cm per sample</t>
  </si>
  <si>
    <t>Access to round fish in Q1 was restricted, continued efforts are being made</t>
  </si>
  <si>
    <t>Access to round fish was restricted, continued efforts are being made</t>
  </si>
  <si>
    <t>100 per sample</t>
  </si>
  <si>
    <t>1 per mm per haul</t>
  </si>
  <si>
    <t>Access to round (not gutted) fish in Q1 was restricted, continued efforts are being made</t>
  </si>
  <si>
    <t>5-10 per cm class</t>
  </si>
  <si>
    <t>2 per 1 cm per sample</t>
  </si>
  <si>
    <t>Norwegian Spring Spawning Herring from Area II landed into Norway. 2 samples were collected at sea and taken back to the MI. An informal arrangement exists between IRL and NOR to sample their fish respectively</t>
  </si>
  <si>
    <t>Greater number of PSU achieved due to more observers sampling in VIIa (mostly off the Wexford and Waterford coasts)</t>
  </si>
  <si>
    <t>Only landed Scallop measured from VIIg no crustacea</t>
  </si>
  <si>
    <t>The number of vessels relates to Brown Crab sampling only (8 Vessels were sampled over 9 sampling events).  In relation to lobster we have no way of knowing how many vessels our samples came from because our sampling took place in a processing facility where landings from all Vessels are kept in large tanks. There were 3 sampling events undertaken for lobster.</t>
  </si>
  <si>
    <t>The number of vessels is in relation to Brown Crab sampling only.  In relation to lobster we have no way of knowing how many vessels our samples came from because our sampling took place in a Co-op and processing facility where landings from all Vessels are kept in large tanks.</t>
  </si>
  <si>
    <t>Combination</t>
  </si>
  <si>
    <t>Please refer to the Danish Annual Report for survey details</t>
  </si>
  <si>
    <t>Some re-allocation of survey effort made in 2019 to cover lack of French EVHOE survey in N. Celtic Sea.</t>
  </si>
  <si>
    <t>P</t>
  </si>
  <si>
    <t xml:space="preserve">N </t>
  </si>
  <si>
    <t xml:space="preserve">C </t>
  </si>
  <si>
    <t>Physical</t>
  </si>
  <si>
    <t>By-catch data were also assimilated; Sampling and spatial coverage was completed in a shorter time scale than planned. Five vessels were used for a maximum of 5 days in early June to complete 160 stations each.</t>
  </si>
  <si>
    <t>Some fisheries did not open so sampling was not required and spatial coverage was thus reduced. Also some surveys were not achieved due to adverse weather conditions.</t>
  </si>
  <si>
    <t>By-catch data assimilated. Some surveys were achieved in a shorter time period than initially planned.</t>
  </si>
  <si>
    <t>Data on other bivalve species were also assimilated; Sampling and spatial coverage was completed in a shorter time scale</t>
  </si>
  <si>
    <t>To be done after WGMEGS in April 2020</t>
  </si>
  <si>
    <t>To be done after WGMEGS in April 2021</t>
  </si>
  <si>
    <t>To be done after WGMEGS in April 2022</t>
  </si>
  <si>
    <t>To be done after WGMEGS in April 2023</t>
  </si>
  <si>
    <t>To be done after WGMEGS in April 2024</t>
  </si>
  <si>
    <t>No existing database</t>
  </si>
  <si>
    <t>EuroGOOS ROOS regional data portals</t>
  </si>
  <si>
    <t>No existing international database</t>
  </si>
  <si>
    <t>ICES Oceanographic Database</t>
  </si>
  <si>
    <t>ICES Acoustic Database</t>
  </si>
  <si>
    <t>Dredge samples from the Razor clam beds along the west coast are usually quite clean tows with very little by-catch and on some surveys the abundances of by-catch species were not recorded due to time and personnel constraints.</t>
  </si>
  <si>
    <t>Marine Institute Inshore Database</t>
  </si>
  <si>
    <t>Three locations fished in 2019, due to changes in the ESB management of the T&amp;T fishery</t>
  </si>
  <si>
    <t>Additional sites fished in 2019.</t>
  </si>
  <si>
    <t>Bad weather and consistent high water levels reduced the extent of the survey</t>
  </si>
  <si>
    <t>Bad weather and consistent high water levels reduced the extent of the survey.</t>
  </si>
  <si>
    <t>Stopped the counter in 2018 due to continuous malfunction</t>
  </si>
  <si>
    <t xml:space="preserve">Operated at Ferny gap, Portora Gates, Crum Island, Outlet of Lough Oughter and Lough Gowna for the Erne sites, not at Roscor. </t>
  </si>
  <si>
    <t>Data are uploaded on an annual basis to the WGBYC bycatch database, hosted by ICES.</t>
  </si>
  <si>
    <t>All data are reported to ICES WGBYC and recorded on the bycatch database</t>
  </si>
  <si>
    <t>No. of Vessels, Gt, Kw, Vessel age</t>
  </si>
  <si>
    <t>Days at sea, fishing days, Kw*fishing days, Gt*fishing days, no. of trips, no. of fishing operations, no. of nets/length.</t>
  </si>
  <si>
    <t>Days at sea, fishing days, Kw*fishing days, Gt*fishing days, no. of trips, no. of fishing operations, no. of nets/length, no. of hooks/lines, no. of pots/traps.</t>
  </si>
  <si>
    <t>Days at sea, fishing days, Kw*fishing days, Gt*fishing days, no. of trips, no. of fishing operations,  no. of hooks/lines.</t>
  </si>
  <si>
    <t>Days at sea, fishing days, Kw*fishing days, Gt*fishing days, no. of trips, no. of fishing operations, no. of pots/traps.</t>
  </si>
  <si>
    <t>Value of landings (total and per species), live weight of landings (total and per species), prices by commercial species.</t>
  </si>
  <si>
    <t>Established programme</t>
  </si>
  <si>
    <t>Pilot Study.</t>
  </si>
  <si>
    <t>STECF Meeting</t>
  </si>
  <si>
    <t>3</t>
  </si>
  <si>
    <t>1</t>
  </si>
  <si>
    <t>2</t>
  </si>
  <si>
    <t>8</t>
  </si>
  <si>
    <t>4</t>
  </si>
  <si>
    <t>No Meeting in 2019</t>
  </si>
  <si>
    <t>WGACEGG</t>
  </si>
  <si>
    <t>Working Group on Acoustic and Egg Surveys for Sardine and Anchovy in ICES areas 7, 8 and 9</t>
  </si>
  <si>
    <t>WKRRMAC</t>
  </si>
  <si>
    <t>Workshop on a research roadmap for Mackerel</t>
  </si>
  <si>
    <t>WKCELTIC</t>
  </si>
  <si>
    <t>Workshop on Celtic Sea Stocks</t>
  </si>
  <si>
    <t>WKHASS</t>
  </si>
  <si>
    <t>Workshop on Herring Acoustic</t>
  </si>
  <si>
    <t>WKFORBIAS</t>
  </si>
  <si>
    <t>Workshop on catch forecasts from biased assessments</t>
  </si>
  <si>
    <t>WKFlatNSCS</t>
  </si>
  <si>
    <t>Benchmark Workshop for Flatfish stocks in the North Sea and Celtic Sea</t>
  </si>
  <si>
    <t>WKSCINDI</t>
  </si>
  <si>
    <t>Workshop on Science with Industry Initiatives</t>
  </si>
  <si>
    <t>WKRDB-EST</t>
  </si>
  <si>
    <t>Workshop on Estimation with the RDBES data model</t>
  </si>
  <si>
    <t>WKRDB-POP</t>
  </si>
  <si>
    <t>Workshop on Populating the RDBES data model</t>
  </si>
  <si>
    <t>SCRDB</t>
  </si>
  <si>
    <t>Steering committee of the regional fisheries database</t>
  </si>
  <si>
    <t>IBPher6a7bc</t>
  </si>
  <si>
    <t>Interbench protocol for Herring in 6a</t>
  </si>
  <si>
    <t>WGSEDA</t>
  </si>
  <si>
    <t>Working Group on Socio-Economic Dimensions of Aquaculture (WGSEDA)</t>
  </si>
  <si>
    <t>RCG EU Map</t>
  </si>
  <si>
    <t>WGDIAD</t>
  </si>
  <si>
    <t>Working Group on Science to Support Conservation, Restoration and Management of Diadromous Specie</t>
  </si>
  <si>
    <t>WKIBPNEAMac - NEA Mackerel Interbenchmark</t>
  </si>
  <si>
    <t>WGTARGET</t>
  </si>
  <si>
    <t>The joint ICES/Probyfish Workshop on identification of target and bycatch species</t>
  </si>
  <si>
    <t>WKESIG</t>
  </si>
  <si>
    <t>Workshop on evaluating survey information Celtic Sea gadoids</t>
  </si>
  <si>
    <t>WKGMSE2</t>
  </si>
  <si>
    <t>Workshop on Guidelines for Management Strategy Evaluations</t>
  </si>
  <si>
    <t>Relevant changes have been made to MI data bases and eLogbooks</t>
  </si>
  <si>
    <t>MS have contributed to, Regional sampling plans, Landing Obligation, Cost sharing of surveys, Rules and procedures and RDB data analysis</t>
  </si>
  <si>
    <t>Ireland participated at the STECF transversal workshop in 2017.</t>
  </si>
  <si>
    <t xml:space="preserve">At the RCMNA 2016 it was agreed that the existing Bi/Multilateral agreements would stand until the agreeement of regional sampling plans  </t>
  </si>
  <si>
    <t>No PSU achieved due to fewer observers based along the east coast. No row for landings data of Whelk in east = 12 PSU re landings sampled at a processing facility. Measurements = 18,228 individuals</t>
  </si>
  <si>
    <t>No at sea sampling undertaken in 2019.  Only sampling by survey. Razors (Ensis siliqua)surveys (x3) = 9 fishing days, 27,283 measured; Cockles sampled during lowtide survey = 5 sampling days, 7 low tides, 13,150 measured; Scallop =  22 sampling events on landings from VIIa, 8,780 measured.</t>
  </si>
  <si>
    <t>No discard trips undertaken in 2019.  All scallop sampling done by survey. Only Scallop from surveys measured. Sample Tows = 67, Measured Scallop = 11,848.</t>
  </si>
  <si>
    <t>30th September 2019</t>
  </si>
  <si>
    <t>Submitted on data call deadline on 17/04/20</t>
  </si>
  <si>
    <t>Survey catches slightly  lower than expected</t>
  </si>
  <si>
    <t>Shellfish data not submitted to ICES, data submitted to DAFM as requested</t>
  </si>
  <si>
    <t>Not included in WP, but attended by MI staff</t>
  </si>
  <si>
    <t xml:space="preserve">The ICES benchmark reports refered to in column P include: 
WKIRISH3 2017 http://www.ices.dk/sites/pub/Publication%20Reports/Expert%20Group%20Report/BSG/2017/WKIrish/wkirish3_2017.pdf
WKAnglerfish 2018 http://www.ices.dk/sites/pub/Publication%20Reports/Expert%20Group%20Report/acom/2018/WKANGLER/WKAngler_2018.pdf
WKCeltic 2019 (workshop in progress)
WKFlatNSCS 2019 (report not published yet)
WKDEM 2019 (report not published yet)
Sampling  SOPs have been updated and are stored internally using Paradigm 3.  
Process flow  'FEAS_Demersal_2_Port Sampling FEAS_ Pelagic_3_ Port Sampling and FEAS_Inshore_3_ Port Sampling  describing all procedures uploaded to DCMAP website 
Sampling design document ( FEAS_SOP_22_ Demersal Sampling Design and Sampling Targets for Pelagic fish ) is available on website </t>
  </si>
  <si>
    <t>Beam trawlers 24-&lt; 40 m</t>
  </si>
  <si>
    <t>Dredgers 10-&lt; 12 m</t>
  </si>
  <si>
    <t>Dredgers 24-&lt; 40 m</t>
  </si>
  <si>
    <t>Drift and/or fixed netters 18-&lt; 24 m</t>
  </si>
  <si>
    <t>Pelagic trawlers 0-&lt; 10 m</t>
  </si>
  <si>
    <t>Pelagic trawlers 12-&lt; 18 m</t>
  </si>
  <si>
    <t>Vessels using active and passive gears 12-&lt; 18 m</t>
  </si>
  <si>
    <t>Vessels using hooks 10-&lt; 12 m</t>
  </si>
  <si>
    <t>Vessels using Pots and/or traps 12-&lt; 18 m</t>
  </si>
  <si>
    <t/>
  </si>
  <si>
    <t xml:space="preserve">Not revelant for Ireland for all segments </t>
  </si>
  <si>
    <t>Planned Sample Rate on WP is incorrect, it should be Census with 100% Planned Sample Rate</t>
  </si>
  <si>
    <t>No social data submitted for segment</t>
  </si>
  <si>
    <t>Segment Collapse</t>
  </si>
  <si>
    <t>Sample rates decreased with new survey including raw material and social variables</t>
  </si>
  <si>
    <t>Revised Sampling and Raising Metholdogies in use since 2019. New database going out to tender in May 2020</t>
  </si>
  <si>
    <t>Data Call Deadline Met</t>
  </si>
  <si>
    <t>Data Call Deadline Met. Poor Sample Rates.</t>
  </si>
  <si>
    <t>Chair of PGECON and Chair of RCG</t>
  </si>
  <si>
    <t>Ireland was Chair</t>
  </si>
  <si>
    <t>16th Liaison Meeting</t>
  </si>
  <si>
    <t>Planning Group on Economic Issues Workshop (Salerno)</t>
  </si>
  <si>
    <t>Funded Project in place to provide IBTSQ4 data to EmodNet by year end 2020</t>
  </si>
  <si>
    <t xml:space="preserve">Did not receive request for seapen or seapoloid sampling in 2019 following contact made to relevant instututions. Sampling for INFOMAR was amended to sediment grabs for grountruthing. </t>
  </si>
  <si>
    <t>EmodNet</t>
  </si>
  <si>
    <t>All individuals or a sub-sample in a string of pots are measured.  100% not achieved due to lack of sampling opportunities.</t>
  </si>
  <si>
    <t>All individuals or a sub-sample in a string of pots are sampled. 100% not achieved due to lack of sampling opportunities.</t>
  </si>
  <si>
    <t>We don't collect sediment cores on an annual basis.  Only faunal samples are collected during this survey. WP to be updated</t>
  </si>
  <si>
    <t>Trawl stations are not pre-determined and are carried out to verify the species composition of schools/aggregations. Therefore number is variable per survey and not a consistent metric on which to base survey success in this instance.</t>
  </si>
  <si>
    <t>Ireland signed the cost sharing agreement and is participating in the cost sharing for the Blue Whiting and the international ecosystem surveys in the Nordic</t>
  </si>
  <si>
    <t>Ireland has adjusted its pilot study to use a multi-species approach where possible and feasible. Sampling is stratified according to target species but we intend to collect data on all species within that sampling stratum.</t>
  </si>
  <si>
    <t xml:space="preserve">All data are reported to ICES WGBYC and recorded on the bycatch database. </t>
  </si>
  <si>
    <t>Beam trawling was not carried out in 2019 however this is not a primary objective of the Underwater TV survey. Beam trawls are  only carried out when the planned UWTV stations (primary objective) are completed in a given survey.</t>
  </si>
  <si>
    <t>AR Year</t>
  </si>
  <si>
    <t>2019</t>
  </si>
  <si>
    <t>Revised Sampling and Raising Metholdogies in use since 2019</t>
  </si>
  <si>
    <t xml:space="preserve">Field Survey SOPs for Juvenile Salmonids and Eel now uploaded on to http://www.dcmap-ireland.ie/documents/methodologies </t>
  </si>
  <si>
    <t>Data call is due in June 2020</t>
  </si>
  <si>
    <t>Not included in WP, but attended by BIM staff</t>
  </si>
  <si>
    <t>Note taken to remove from WP in 2020</t>
  </si>
  <si>
    <t>Relevant staff member had left, replacement not recruited in time</t>
  </si>
  <si>
    <t>Questions about the definitions and use of metiers within the RCGs are currently being considered by the pan-regional RCG inter-sessional sub-group on metiers.  Ireland is an active participant in this sub-group and its latest work will be presented for discussion at the 2020 RCG meetings."</t>
  </si>
  <si>
    <t>Fist draft available on 10th February, second draft 9th March and final 2019 logbook data  available  4th May 2020</t>
  </si>
  <si>
    <t>WESPAS end Aug 2019. 
CSHAS end Nov 2019.</t>
  </si>
  <si>
    <t>See Text Box 4A for comments and discussion of mitigation measures being put in place. For herring in the Celtic Sea in 2019, there was only a limited sentinel fishery in place</t>
  </si>
  <si>
    <t>The majority of these landings were landed in foreign ports in 2019</t>
  </si>
  <si>
    <t xml:space="preserve"> - </t>
  </si>
  <si>
    <t>Irish participant unable to attend - clash of meetings</t>
  </si>
  <si>
    <t>We don't normally sample this Area. Planned PSUs set at zero</t>
  </si>
  <si>
    <t>Pilot study was planned to commence in 2018 but had to be postponed to 2019, commenced in October 2019, no outputs available for 2019, see Pilot study text box for details</t>
  </si>
  <si>
    <t>SOPS are being updated and reviewed during 2020.
Process flows for the at-sea sampling in theInshore  programme ( FEAS_Inshore_2_Observer at-sea)  are now uploaded to  http://www.dcmap-ireland.ie/documents/methodologies</t>
  </si>
  <si>
    <t>Pilot study started Oct 2019</t>
  </si>
  <si>
    <t>Landings of Nephrops, in ICES Area 7a, have dropped by 30% , from an average of ~ 2,554t over the reference year period (2013 - 2015) to approximately 1,859t in 2019.  Achieved sampling was 41% of the planned targets</t>
  </si>
  <si>
    <t>63 samples were secured for these FU's, and while they do not reach the target in the AWP, this number was more than sufficient to support the Nephrops stock assessment</t>
  </si>
  <si>
    <t>Very few boats fishing in this area and the majority of landing were made in foreign ports in 2019</t>
  </si>
  <si>
    <t>16 samples were secured for these FU's, and while they do not reach the target in the AWP, this number was more than sufficient to support the Nephrops stock assessment.</t>
  </si>
  <si>
    <t>Some difficulty obtaining  enough samples</t>
  </si>
  <si>
    <t>Nearly all 2019 landings were abroad - these are covered under bilateral agreements.</t>
  </si>
  <si>
    <t>Excess planned sampling intensity occurred at  no additional expense to DCF</t>
  </si>
  <si>
    <t>100% not achieved due to lack of sampling opportunities.</t>
  </si>
  <si>
    <t>Catches were not as big from the Vessels sampled in 2019 as they had been in previous years.</t>
  </si>
  <si>
    <t>Large increase in activy in Q4 2019 especially, due to increased sprat fishing and an increased concentration of Scad in VIA compared to 2018.  This resulted in a larger number of sampling events becoming available,.</t>
  </si>
  <si>
    <t>See general comment in Text Box 4A regarding shortfall in the at sea sampling programme and the discussion of mitigation measures being put in place</t>
  </si>
  <si>
    <t>The achievement of target number of trips in small scale fisheries is conditional on a number of factors including availability of observers, activity of fishing vessels which are very weather dependent and how the sampling is designed around the geographic distribution of fishing. In 2019 observer availability, contracted to the MI, was low er than expected</t>
  </si>
  <si>
    <t xml:space="preserve">Eel Fyke Net Survey Presicion SOP now uploaded to  http://www.dcmap-ireland.ie/documents/methodologies </t>
  </si>
  <si>
    <t>Process flows  ( FEAS_Newport_1_Traps and FEAS_Newport_2 FishHusbandry) are now uploaded to  http://www.dcmap-ireland.ie/documents/methodologies
A Manual on  Anadramous-Catadramous species data collection in fresh waters and a Manual on Fish Trap operations, fish handling, fish tagging and fish sampling also available on http://www.dcmap-ireland.ie/documents/methodologies</t>
  </si>
  <si>
    <t>The ICES benchmark reports refered to in column P include: 
WKIRISH3 2017 http://www.ices.dk/sites/pub/Publication%20Reports/Expert%20Group%20Report/BSG/2017/WKIrish/wkirish3_2017.pdf
WKAnglerfish 2018 http://www.ices.dk/sites/pub/Publication%20Reports/Expert%20Group%20Report/acom/2018/WKANGLER/WKAngler_2018.pdf
WKCeltic 2019 (workshop in progress)
WKFlatNSCS 2019 (report not published yet)
WKDEM 2019 (report not published yet)                                                                                                 
Responses continue to be logged. Sampling  SOPs have been updated and are stored internally using Paradigm 3, which is a type of document control software. 
Process flows for the at-sea sampling in the Demersa/Nephrops  programme ( FEAS_Demersal_3_Catch Sampling atsea)  are now uploaded to  http://www.dcmap-ireland.ie/documents/methodologies</t>
  </si>
  <si>
    <t xml:space="preserve">
Responses continue to be logged. Sampling  SOPs have been updated and are stored internally using Paradigm 3, a type of document control software.  
We don’t' actually upload this to the RDB currently - this will be reviewed in 2020.
Process flows for At-sea sampling in the Pelagic  atsea programme ( FEAS_Pelagic_2_Atsea Observer) are now uploaded to  http://www.dcmap-ireland.ie/documents/methodologies
</t>
  </si>
  <si>
    <t xml:space="preserve">
Responses continue to be logged.  SOPs have been updated and are stored internally using Paradigm 3, a type of document control software.  
Process flows for the at-sea sampling in the Demersa/Nephrops  atsea programme ( FEAS_Demersal_3_Catch Sampling atsea) and the At-sea Sampling Manual are now uploaded to  http://www.dcmap-ireland.ie/documents/methodologies</t>
  </si>
  <si>
    <t xml:space="preserve">The Shellfish database SQL data has been established and populated with historical data.  User acceptance testing is currently on going, with the new GUI (Graphical User Interface) - and once this is completed and the GUI launched editing and imputation methods will be fully documented.                            SOPS are being updated and reviewed during 2020. They will then be uploaded on to Paradigm 3.
</t>
  </si>
  <si>
    <t>The Shellfish database SQL data has been established and populated with historical data.  User acceptance testing is currently on going, with the new GUI (Graphical User Interface) - and once this is completed and the GUI launched editing and imputation methods will be fully documented.                            SOPS are being updated and reviewed during 2020. They will then be uploaded on to Paradigm 3.</t>
  </si>
  <si>
    <t>No fishery</t>
  </si>
  <si>
    <t>Majority landed in foreign ports</t>
  </si>
  <si>
    <t>Six sites have been fished here for last four years for logistical reasons, planned no. is an error in WP</t>
  </si>
  <si>
    <t>39.7t of eel captured, trap and transport target was met as per National Eel management Plan.</t>
  </si>
  <si>
    <t>12t of eel captured, trap and transport target was met as per National Eel management Plan.</t>
  </si>
  <si>
    <t>No vessel activity in segment but included to match the WP</t>
  </si>
  <si>
    <t xml:space="preserve">Pelagic  landings in to this sampling frame were limited, sampled where possible,   one Pelagic processor shut down in the West with landings then trucked to the NW and sampled there. </t>
  </si>
  <si>
    <t>Representative unable to go due to scheduling issues</t>
  </si>
  <si>
    <t xml:space="preserve">Field Survey SOPs for Juvenile Salmonids and Eel now uploaded on to http://www.dcmap-ireland.ie/documents/methodologies   </t>
  </si>
  <si>
    <t>IRE kept watching brief on TORs and contributed data as required</t>
  </si>
  <si>
    <t>IRE kept watching brief on TORs and contributed data as required,  physical participation deemed non-essential  as Ireland has no deep sea fisheries</t>
  </si>
  <si>
    <t>RCG-ISSG EU Map Review</t>
  </si>
  <si>
    <t>EU RCG</t>
  </si>
  <si>
    <t>Irish participants could not attend in 2019 as meeting was scheduled later than in previous years and coincided with surveys</t>
  </si>
  <si>
    <t>No Irish participant assigned, deemed non-essential as Ireland does not currently carry out a DCF beam trawl survey</t>
  </si>
  <si>
    <t>No Irish participant assigned  deemed non-essential</t>
  </si>
  <si>
    <t>No Irish participant assigned,  deemed non-essential as dealing with Southern stocks</t>
  </si>
  <si>
    <t>No Irish participant assigned, deemed non-essential</t>
  </si>
  <si>
    <t>IRE kept watching brief on TORs and contributed data as required, no Irish participant assigned, physical participation deemed non-essential</t>
  </si>
  <si>
    <t>No Irish participant assigned, deemed non-essential as no species in Irish waters being assesssed</t>
  </si>
  <si>
    <t xml:space="preserve">SOP  uploaded to DCMAP website, http://www.dcmap-ireland.ie/documents/methodologies </t>
  </si>
  <si>
    <t>WP Ireland</t>
  </si>
  <si>
    <t xml:space="preserve"> National Microtag recovery Programme Student Protocol uploaded to http://www.dcmap-ireland.ie/documents/methodologies 
A Manual on  Anadramous-Catadramous species data collection in fresh waters and a Manual on Fish Trap operations, fish handling, fish tagging and fish sampling also available on http://www.dcmap-ireland.ie/documents/methodologies.  Process flow FEAS_Newport_2 Fish Husbandry) is now uploaded to  http://www.dcmap-ireland.ie/documents/methodologies                                            </t>
  </si>
  <si>
    <t>Methodologies are available in the ESB Fisheries 2013 Annual Report available here: https://www.esb.ie/docs/default-source/investor-relations-documents/esb-annual-report-2013 Methodologies have not changes since 2013 and this is the most recent publically available report. The Irish Electricity Supply Board is not funded for this work by the DCF but provides annual data to the mMarine IInstitute for submission to ICES</t>
  </si>
  <si>
    <t>Two surveys of 20 days each, giving a total of 40 days a splanned</t>
  </si>
  <si>
    <t>Two surveys of 20 days each, giving a total of 40 days as planned. Fishing hauls are carried out on an opportunistic basis. Fish were not encountered during the February survey so no hauls were carried out. There is no biological reason to make up these hauls during the second survey once sufficient samples are colected on this survey.</t>
  </si>
  <si>
    <t>By-catch data was assimilated. Some surveys were not achieved and some were curtailed due to adverse weather conditions. Surveys in other areas were expanded to investigate the full extent of current oyster beds thus the number of at sea days and samples collected are higher than planned.</t>
  </si>
  <si>
    <t xml:space="preserve">Marine mammal observations are not considered core components of the survey program and observations  are rotated annually between the different acoustic surveys to cover 6 weeks of overall acoustic survey effort. </t>
  </si>
  <si>
    <t xml:space="preserve">Seabird observations are not considered core components of the survey program and observations  are rotated annually between the different acoustic surveys to cover 6 weeks of overall acoustic survey effort. </t>
  </si>
  <si>
    <t>No participants paid by DCF, but wo participants from Irish Universities</t>
  </si>
  <si>
    <t>No participants paid for by DCF, but two participants by correspondence from an Irish University, one physical participant from an Irish University</t>
  </si>
  <si>
    <t>This approach was recommended by the RCM - NA in their 2016 report.  RCM NA 11: Maintenance of existing bilateral agreements: "RCM NA recommends that, where required, formal bilateral agreements set up for the period from 2014-2016 are carried forward until regional sampling plans are agreed". Ongoing</t>
  </si>
  <si>
    <t>This approach was recommended by the RCM - NA in their 2016 report.  RCM NA 11: Maintenance of existing bilateral agreements: "RCM NA recommends that, where required, formal bilateral agreements set up for the period from 2014-2016 are carried forward until regional sampling plans are agreed".Ongoing</t>
  </si>
  <si>
    <r>
      <t>Increase in landings 2017-19 -</t>
    </r>
    <r>
      <rPr>
        <sz val="10"/>
        <color rgb="FFFF0000"/>
        <rFont val="Arial"/>
        <family val="2"/>
      </rPr>
      <t xml:space="preserve"> </t>
    </r>
    <r>
      <rPr>
        <sz val="10"/>
        <rFont val="Arial"/>
        <family val="2"/>
      </rPr>
      <t>no impact on work plan implementation</t>
    </r>
  </si>
  <si>
    <t xml:space="preserve"> &lt;200t landings 2017-19 - no impact on work plan implementation</t>
  </si>
  <si>
    <t>No landings 2017-19 - no impact on work plan implementation</t>
  </si>
  <si>
    <t>&gt;200t landings 2017-19 - no impact on work plan implementation</t>
  </si>
  <si>
    <t>Increase in landings 2017-19 - no impact on work plan implementation</t>
  </si>
  <si>
    <t>Decrease in landings 2017-19 - no impact on work plan implementation</t>
  </si>
  <si>
    <t>&gt;200t landings 2017-19 -no impact on work plan implementation</t>
  </si>
  <si>
    <t>Deviations are explained in Text box 3B</t>
  </si>
  <si>
    <t>Apr/May 2020</t>
  </si>
  <si>
    <t>Aug 2019/Nov 2019</t>
  </si>
  <si>
    <t xml:space="preserve">Pilot study survey planning was originally to commence in late 2018 but was postponed to 2019 due to unforeseen delays in staff recruitment. Characterisation and survey planning commenced in October 2019 for early 2020 survey roll-out. High C &amp; R levels based on limited historical survey data. </t>
  </si>
  <si>
    <t xml:space="preserve">Pilot study survey planning was originally to commence in late 2018 but was postponed to 2019 due to unforeseen delays in staff recruitment. Characterisation and survey planning commenced in October 2019 for early 2020 survey roll-out. </t>
  </si>
  <si>
    <t>Pilot study survey planning was originally to commence in late 2018 but was postponed to 2019 due to unforeseen delays in staff recruitment. Characterisation and survey planning commenced in October 2019 for early 2020 survey roll-out. Removals extremely low based on expert knowledge of this mainly catch &amp; release fishery.</t>
  </si>
  <si>
    <t>Pilot Study (ABFT Data Collection)</t>
  </si>
  <si>
    <t xml:space="preserve">Atlantic Bluefin Tuna (ABFT) Scientific Data Collection Pilot Study commenced in 2019. Limited number of authorised charter vessels permitted to catch, tag and release ABFT by angling. </t>
  </si>
  <si>
    <t>All data submitted before working group data call deadlines (data call deadlines were between 03/04/20 and 03/05/20)</t>
  </si>
  <si>
    <t>Submitted before working group data call deadline on 17/04/20</t>
  </si>
  <si>
    <t>Data submitted for working group deadline April 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</si>
</sst>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6" x14ac:knownFonts="1">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0"/>
      <color indexed="8"/>
      <name val="Arial"/>
      <family val="2"/>
    </font>
    <font>
      <sz val="11"/>
      <color indexed="8"/>
      <name val="Calibri"/>
      <family val="2"/>
    </font>
    <font>
      <sz val="10"/>
      <color indexed="9"/>
      <name val="Arial"/>
      <family val="2"/>
    </font>
    <font>
      <sz val="11"/>
      <color indexed="9"/>
      <name val="Calibri"/>
      <family val="2"/>
    </font>
    <font>
      <b/>
      <sz val="10"/>
      <color indexed="63"/>
      <name val="Arial"/>
      <family val="2"/>
    </font>
    <font>
      <b/>
      <sz val="10"/>
      <color indexed="52"/>
      <name val="Arial"/>
      <family val="2"/>
    </font>
    <font>
      <sz val="11"/>
      <color indexed="17"/>
      <name val="Calibri"/>
      <family val="2"/>
    </font>
    <font>
      <b/>
      <sz val="11"/>
      <color indexed="52"/>
      <name val="Calibri"/>
      <family val="2"/>
    </font>
    <font>
      <b/>
      <sz val="11"/>
      <color indexed="9"/>
      <name val="Calibri"/>
      <family val="2"/>
    </font>
    <font>
      <sz val="11"/>
      <color indexed="52"/>
      <name val="Calibri"/>
      <family val="2"/>
    </font>
    <font>
      <sz val="10"/>
      <color indexed="62"/>
      <name val="Arial"/>
      <family val="2"/>
    </font>
    <font>
      <b/>
      <sz val="11"/>
      <color indexed="62"/>
      <name val="Calibri"/>
      <family val="2"/>
    </font>
    <font>
      <sz val="11"/>
      <color indexed="62"/>
      <name val="Calibri"/>
      <family val="2"/>
    </font>
    <font>
      <b/>
      <sz val="10"/>
      <color indexed="8"/>
      <name val="Arial"/>
      <family val="2"/>
    </font>
    <font>
      <i/>
      <sz val="10"/>
      <color indexed="23"/>
      <name val="Arial"/>
      <family val="2"/>
    </font>
    <font>
      <sz val="11"/>
      <color indexed="20"/>
      <name val="Calibri"/>
      <family val="2"/>
    </font>
    <font>
      <b/>
      <sz val="11"/>
      <color indexed="63"/>
      <name val="Calibri"/>
      <family val="2"/>
    </font>
    <font>
      <sz val="11"/>
      <color indexed="10"/>
      <name val="Calibri"/>
      <family val="2"/>
    </font>
    <font>
      <i/>
      <sz val="11"/>
      <color indexed="23"/>
      <name val="Calibri"/>
      <family val="2"/>
    </font>
    <font>
      <b/>
      <sz val="18"/>
      <color indexed="62"/>
      <name val="Cambria"/>
      <family val="2"/>
    </font>
    <font>
      <b/>
      <sz val="15"/>
      <color indexed="62"/>
      <name val="Calibri"/>
      <family val="2"/>
    </font>
    <font>
      <b/>
      <sz val="13"/>
      <color indexed="62"/>
      <name val="Calibri"/>
      <family val="2"/>
    </font>
    <font>
      <b/>
      <sz val="18"/>
      <color indexed="56"/>
      <name val="Cambria"/>
      <family val="2"/>
    </font>
    <font>
      <sz val="10"/>
      <color indexed="10"/>
      <name val="Arial"/>
      <family val="2"/>
    </font>
    <font>
      <b/>
      <sz val="10"/>
      <name val="Arial"/>
      <family val="2"/>
    </font>
    <font>
      <sz val="10"/>
      <name val="Arial"/>
      <family val="2"/>
    </font>
    <font>
      <b/>
      <sz val="11"/>
      <name val="Arial"/>
      <family val="2"/>
    </font>
    <font>
      <i/>
      <sz val="10"/>
      <color indexed="8"/>
      <name val="Arial"/>
      <family val="2"/>
    </font>
    <font>
      <i/>
      <sz val="10"/>
      <name val="Arial"/>
      <family val="2"/>
    </font>
    <font>
      <sz val="11"/>
      <color theme="1"/>
      <name val="Calibri"/>
      <family val="2"/>
      <scheme val="minor"/>
    </font>
    <font>
      <sz val="10"/>
      <color theme="1"/>
      <name val="Arial"/>
      <family val="2"/>
    </font>
    <font>
      <sz val="8"/>
      <color theme="1"/>
      <name val="Arial"/>
      <family val="2"/>
    </font>
    <font>
      <sz val="10"/>
      <color rgb="FFFF0000"/>
      <name val="Arial"/>
      <family val="2"/>
    </font>
    <font>
      <b/>
      <sz val="10"/>
      <name val="Arial"/>
      <family val="2"/>
      <charset val="161"/>
    </font>
    <font>
      <sz val="9"/>
      <name val="Arial"/>
      <family val="2"/>
      <charset val="161"/>
    </font>
    <font>
      <b/>
      <sz val="8"/>
      <name val="Arial"/>
      <family val="2"/>
    </font>
    <font>
      <b/>
      <sz val="8"/>
      <name val="Arial"/>
      <family val="2"/>
      <charset val="161"/>
    </font>
    <font>
      <b/>
      <sz val="10"/>
      <color theme="1"/>
      <name val="Arial"/>
      <family val="2"/>
    </font>
    <font>
      <b/>
      <sz val="10"/>
      <color rgb="FF000000"/>
      <name val="Arial"/>
      <family val="2"/>
    </font>
    <font>
      <sz val="8"/>
      <color rgb="FF000000"/>
      <name val="Arial"/>
      <family val="2"/>
    </font>
    <font>
      <b/>
      <sz val="12"/>
      <name val="Arial"/>
      <family val="2"/>
    </font>
    <font>
      <sz val="11"/>
      <name val="Calibri"/>
      <family val="2"/>
      <scheme val="minor"/>
    </font>
    <font>
      <b/>
      <sz val="10"/>
      <name val="Arial"/>
      <family val="2"/>
    </font>
    <font>
      <sz val="10"/>
      <name val="Arial"/>
      <family val="2"/>
    </font>
    <font>
      <b/>
      <sz val="10"/>
      <color indexed="8"/>
      <name val="Arial"/>
      <family val="2"/>
    </font>
    <font>
      <b/>
      <sz val="10"/>
      <name val="Arial"/>
      <family val="2"/>
    </font>
    <font>
      <sz val="10"/>
      <name val="Arial"/>
      <family val="2"/>
    </font>
    <font>
      <b/>
      <sz val="10"/>
      <color indexed="8"/>
      <name val="Arial"/>
      <family val="2"/>
    </font>
    <font>
      <strike/>
      <sz val="10"/>
      <name val="Arial"/>
      <family val="2"/>
    </font>
    <font>
      <u/>
      <sz val="10"/>
      <color theme="10"/>
      <name val="Arial"/>
      <family val="2"/>
    </font>
    <font>
      <sz val="8"/>
      <name val="Arial"/>
      <family val="2"/>
    </font>
    <font>
      <sz val="10"/>
      <color theme="0" tint="-0.499984740745262"/>
      <name val="Arial"/>
      <family val="2"/>
    </font>
    <font>
      <b/>
      <sz val="10"/>
      <color rgb="FFFF0000"/>
      <name val="Arial"/>
      <family val="2"/>
    </font>
    <font>
      <sz val="7"/>
      <name val="Times New Roman"/>
      <family val="1"/>
    </font>
    <font>
      <sz val="10"/>
      <name val="Verdana"/>
      <family val="2"/>
    </font>
    <font>
      <u/>
      <sz val="10"/>
      <name val="Arial"/>
      <family val="2"/>
    </font>
    <font>
      <sz val="11"/>
      <color rgb="FFFF0000"/>
      <name val="Calibri"/>
      <family val="2"/>
      <scheme val="minor"/>
    </font>
    <font>
      <sz val="11"/>
      <name val="Calibri"/>
      <family val="2"/>
    </font>
    <font>
      <b/>
      <sz val="11"/>
      <name val="Calibri"/>
      <family val="2"/>
      <scheme val="minor"/>
    </font>
    <font>
      <sz val="11"/>
      <color theme="1"/>
      <name val="Calibri"/>
      <family val="2"/>
    </font>
    <font>
      <b/>
      <sz val="12"/>
      <color rgb="FF222222"/>
      <name val="Arial"/>
      <family val="2"/>
    </font>
    <font>
      <sz val="11"/>
      <color rgb="FF141414"/>
      <name val="Segoe UI"/>
      <family val="2"/>
    </font>
  </fonts>
  <fills count="31">
    <fill>
      <patternFill patternType="none"/>
    </fill>
    <fill>
      <patternFill patternType="gray125"/>
    </fill>
    <fill>
      <patternFill patternType="solid">
        <fgColor indexed="31"/>
        <bgColor indexed="22"/>
      </patternFill>
    </fill>
    <fill>
      <patternFill patternType="solid">
        <fgColor indexed="45"/>
        <bgColor indexed="29"/>
      </patternFill>
    </fill>
    <fill>
      <patternFill patternType="solid">
        <fgColor indexed="42"/>
        <bgColor indexed="27"/>
      </patternFill>
    </fill>
    <fill>
      <patternFill patternType="solid">
        <fgColor indexed="46"/>
        <bgColor indexed="45"/>
      </patternFill>
    </fill>
    <fill>
      <patternFill patternType="solid">
        <fgColor indexed="27"/>
        <bgColor indexed="42"/>
      </patternFill>
    </fill>
    <fill>
      <patternFill patternType="solid">
        <fgColor indexed="47"/>
        <bgColor indexed="24"/>
      </patternFill>
    </fill>
    <fill>
      <patternFill patternType="solid">
        <fgColor indexed="24"/>
        <bgColor indexed="41"/>
      </patternFill>
    </fill>
    <fill>
      <patternFill patternType="solid">
        <fgColor indexed="26"/>
        <bgColor indexed="9"/>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22"/>
        <bgColor indexed="31"/>
      </patternFill>
    </fill>
    <fill>
      <patternFill patternType="solid">
        <fgColor indexed="43"/>
        <bgColor indexed="26"/>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55"/>
        <bgColor indexed="23"/>
      </patternFill>
    </fill>
    <fill>
      <patternFill patternType="solid">
        <fgColor indexed="54"/>
        <bgColor indexed="19"/>
      </patternFill>
    </fill>
    <fill>
      <patternFill patternType="solid">
        <fgColor theme="0"/>
        <bgColor indexed="64"/>
      </patternFill>
    </fill>
    <fill>
      <patternFill patternType="solid">
        <fgColor theme="0" tint="-0.34998626667073579"/>
        <bgColor indexed="64"/>
      </patternFill>
    </fill>
    <fill>
      <patternFill patternType="solid">
        <fgColor rgb="FFFFFF00"/>
        <bgColor indexed="64"/>
      </patternFill>
    </fill>
    <fill>
      <patternFill patternType="solid">
        <fgColor theme="0" tint="-0.34998626667073579"/>
        <bgColor indexed="41"/>
      </patternFill>
    </fill>
    <fill>
      <patternFill patternType="solid">
        <fgColor theme="0" tint="-0.34998626667073579"/>
        <bgColor rgb="FF000000"/>
      </patternFill>
    </fill>
    <fill>
      <patternFill patternType="solid">
        <fgColor theme="6" tint="0.39997558519241921"/>
        <bgColor indexed="64"/>
      </patternFill>
    </fill>
  </fills>
  <borders count="106">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style="thin">
        <color indexed="62"/>
      </top>
      <bottom style="double">
        <color indexed="62"/>
      </bottom>
      <diagonal/>
    </border>
    <border>
      <left/>
      <right/>
      <top/>
      <bottom style="thick">
        <color indexed="22"/>
      </bottom>
      <diagonal/>
    </border>
    <border>
      <left style="thin">
        <color indexed="22"/>
      </left>
      <right style="thin">
        <color indexed="22"/>
      </right>
      <top style="thin">
        <color indexed="22"/>
      </top>
      <bottom style="thin">
        <color indexed="22"/>
      </bottom>
      <diagonal/>
    </border>
    <border>
      <left/>
      <right/>
      <top/>
      <bottom style="thick">
        <color indexed="49"/>
      </bottom>
      <diagonal/>
    </border>
    <border>
      <left/>
      <right/>
      <top/>
      <bottom style="medium">
        <color indexed="49"/>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right/>
      <top style="thin">
        <color indexed="64"/>
      </top>
      <bottom/>
      <diagonal/>
    </border>
    <border>
      <left style="thin">
        <color indexed="64"/>
      </left>
      <right/>
      <top/>
      <bottom/>
      <diagonal/>
    </border>
    <border>
      <left style="medium">
        <color indexed="8"/>
      </left>
      <right/>
      <top style="medium">
        <color indexed="8"/>
      </top>
      <bottom/>
      <diagonal/>
    </border>
    <border>
      <left style="thin">
        <color indexed="64"/>
      </left>
      <right/>
      <top style="thin">
        <color indexed="64"/>
      </top>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auto="1"/>
      </left>
      <right style="thin">
        <color auto="1"/>
      </right>
      <top style="thin">
        <color auto="1"/>
      </top>
      <bottom style="medium">
        <color indexed="64"/>
      </bottom>
      <diagonal/>
    </border>
    <border>
      <left style="thin">
        <color auto="1"/>
      </left>
      <right style="thin">
        <color auto="1"/>
      </right>
      <top style="thin">
        <color auto="1"/>
      </top>
      <bottom style="thin">
        <color auto="1"/>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thin">
        <color indexed="64"/>
      </left>
      <right/>
      <top style="thin">
        <color indexed="64"/>
      </top>
      <bottom style="medium">
        <color indexed="64"/>
      </bottom>
      <diagonal/>
    </border>
    <border>
      <left/>
      <right style="medium">
        <color indexed="64"/>
      </right>
      <top/>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
      <left style="medium">
        <color indexed="64"/>
      </left>
      <right style="medium">
        <color indexed="64"/>
      </right>
      <top style="medium">
        <color indexed="64"/>
      </top>
      <bottom/>
      <diagonal/>
    </border>
    <border>
      <left style="thin">
        <color indexed="64"/>
      </left>
      <right/>
      <top style="thin">
        <color indexed="64"/>
      </top>
      <bottom/>
      <diagonal/>
    </border>
    <border>
      <left style="thin">
        <color auto="1"/>
      </left>
      <right style="thin">
        <color auto="1"/>
      </right>
      <top style="thin">
        <color auto="1"/>
      </top>
      <bottom/>
      <diagonal/>
    </border>
    <border>
      <left/>
      <right/>
      <top style="thin">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auto="1"/>
      </left>
      <right style="medium">
        <color auto="1"/>
      </right>
      <top style="thin">
        <color auto="1"/>
      </top>
      <bottom style="medium">
        <color auto="1"/>
      </bottom>
      <diagonal/>
    </border>
    <border>
      <left style="thin">
        <color auto="1"/>
      </left>
      <right style="thin">
        <color auto="1"/>
      </right>
      <top/>
      <bottom style="thin">
        <color auto="1"/>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top/>
      <bottom style="thin">
        <color auto="1"/>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indexed="64"/>
      </left>
      <right/>
      <top style="thin">
        <color indexed="64"/>
      </top>
      <bottom/>
      <diagonal/>
    </border>
    <border>
      <left style="thin">
        <color indexed="64"/>
      </left>
      <right style="thin">
        <color indexed="64"/>
      </right>
      <top style="thin">
        <color indexed="8"/>
      </top>
      <bottom style="thin">
        <color indexed="8"/>
      </bottom>
      <diagonal/>
    </border>
    <border>
      <left style="thin">
        <color indexed="64"/>
      </left>
      <right/>
      <top style="thin">
        <color indexed="8"/>
      </top>
      <bottom style="thin">
        <color indexed="8"/>
      </bottom>
      <diagonal/>
    </border>
    <border>
      <left style="thin">
        <color indexed="64"/>
      </left>
      <right style="thin">
        <color indexed="8"/>
      </right>
      <top style="thin">
        <color indexed="8"/>
      </top>
      <bottom style="thin">
        <color indexed="8"/>
      </bottom>
      <diagonal/>
    </border>
    <border>
      <left style="thin">
        <color indexed="64"/>
      </left>
      <right style="thin">
        <color indexed="64"/>
      </right>
      <top style="thin">
        <color indexed="8"/>
      </top>
      <bottom style="thin">
        <color indexed="64"/>
      </bottom>
      <diagonal/>
    </border>
    <border>
      <left style="thin">
        <color indexed="64"/>
      </left>
      <right style="thin">
        <color indexed="8"/>
      </right>
      <top style="thin">
        <color indexed="8"/>
      </top>
      <bottom style="thin">
        <color indexed="64"/>
      </bottom>
      <diagonal/>
    </border>
    <border>
      <left style="thin">
        <color indexed="64"/>
      </left>
      <right style="thin">
        <color indexed="64"/>
      </right>
      <top style="thin">
        <color indexed="64"/>
      </top>
      <bottom style="thin">
        <color indexed="8"/>
      </bottom>
      <diagonal/>
    </border>
    <border>
      <left style="thin">
        <color indexed="64"/>
      </left>
      <right style="thin">
        <color indexed="8"/>
      </right>
      <top style="thin">
        <color indexed="64"/>
      </top>
      <bottom style="thin">
        <color indexed="8"/>
      </bottom>
      <diagonal/>
    </border>
    <border>
      <left style="thin">
        <color indexed="64"/>
      </left>
      <right style="thin">
        <color indexed="64"/>
      </right>
      <top style="thin">
        <color indexed="8"/>
      </top>
      <bottom/>
      <diagonal/>
    </border>
    <border>
      <left style="thin">
        <color indexed="64"/>
      </left>
      <right/>
      <top style="thin">
        <color indexed="8"/>
      </top>
      <bottom/>
      <diagonal/>
    </border>
    <border>
      <left style="thin">
        <color indexed="64"/>
      </left>
      <right style="thin">
        <color indexed="8"/>
      </right>
      <top style="thin">
        <color indexed="8"/>
      </top>
      <bottom/>
      <diagonal/>
    </border>
    <border>
      <left style="thin">
        <color auto="1"/>
      </left>
      <right/>
      <top style="thin">
        <color auto="1"/>
      </top>
      <bottom/>
      <diagonal/>
    </border>
    <border>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right/>
      <top style="thin">
        <color auto="1"/>
      </top>
      <bottom/>
      <diagonal/>
    </border>
    <border>
      <left style="medium">
        <color indexed="64"/>
      </left>
      <right style="thin">
        <color indexed="64"/>
      </right>
      <top style="thin">
        <color auto="1"/>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top/>
      <bottom/>
      <diagonal/>
    </border>
    <border>
      <left/>
      <right style="thin">
        <color indexed="64"/>
      </right>
      <top/>
      <bottom style="medium">
        <color indexed="64"/>
      </bottom>
      <diagonal/>
    </border>
    <border>
      <left style="thin">
        <color auto="1"/>
      </left>
      <right style="thin">
        <color auto="1"/>
      </right>
      <top style="thin">
        <color auto="1"/>
      </top>
      <bottom style="thin">
        <color auto="1"/>
      </bottom>
      <diagonal/>
    </border>
    <border>
      <left style="medium">
        <color indexed="64"/>
      </left>
      <right style="thin">
        <color indexed="64"/>
      </right>
      <top style="thin">
        <color indexed="64"/>
      </top>
      <bottom style="thick">
        <color indexed="64"/>
      </bottom>
      <diagonal/>
    </border>
    <border>
      <left style="thin">
        <color auto="1"/>
      </left>
      <right style="thin">
        <color auto="1"/>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medium">
        <color indexed="64"/>
      </right>
      <top style="thin">
        <color indexed="64"/>
      </top>
      <bottom style="thick">
        <color indexed="64"/>
      </bottom>
      <diagonal/>
    </border>
    <border>
      <left style="medium">
        <color auto="1"/>
      </left>
      <right style="medium">
        <color auto="1"/>
      </right>
      <top style="thin">
        <color indexed="64"/>
      </top>
      <bottom style="thick">
        <color indexed="64"/>
      </bottom>
      <diagonal/>
    </border>
    <border>
      <left style="thin">
        <color indexed="64"/>
      </left>
      <right style="medium">
        <color indexed="64"/>
      </right>
      <top style="medium">
        <color indexed="64"/>
      </top>
      <bottom style="thick">
        <color indexed="64"/>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right/>
      <top style="thin">
        <color indexed="64"/>
      </top>
      <bottom/>
      <diagonal/>
    </border>
    <border>
      <left style="thin">
        <color auto="1"/>
      </left>
      <right style="thin">
        <color indexed="64"/>
      </right>
      <top style="thin">
        <color auto="1"/>
      </top>
      <bottom style="thin">
        <color auto="1"/>
      </bottom>
      <diagonal/>
    </border>
  </borders>
  <cellStyleXfs count="87">
    <xf numFmtId="0" fontId="0" fillId="0" borderId="0"/>
    <xf numFmtId="0" fontId="4" fillId="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5" fillId="8" borderId="0" applyNumberFormat="0" applyBorder="0" applyAlignment="0" applyProtection="0"/>
    <xf numFmtId="0" fontId="5" fillId="7" borderId="0" applyNumberFormat="0" applyBorder="0" applyAlignment="0" applyProtection="0"/>
    <xf numFmtId="0" fontId="5" fillId="9" borderId="0" applyNumberFormat="0" applyBorder="0" applyAlignment="0" applyProtection="0"/>
    <xf numFmtId="0" fontId="5" fillId="8"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5" borderId="0" applyNumberFormat="0" applyBorder="0" applyAlignment="0" applyProtection="0"/>
    <xf numFmtId="0" fontId="4" fillId="10" borderId="0" applyNumberFormat="0" applyBorder="0" applyAlignment="0" applyProtection="0"/>
    <xf numFmtId="0" fontId="4" fillId="13" borderId="0" applyNumberFormat="0" applyBorder="0" applyAlignment="0" applyProtection="0"/>
    <xf numFmtId="0" fontId="5" fillId="14" borderId="0" applyNumberFormat="0" applyBorder="0" applyAlignment="0" applyProtection="0"/>
    <xf numFmtId="0" fontId="5" fillId="11" borderId="0" applyNumberFormat="0" applyBorder="0" applyAlignment="0" applyProtection="0"/>
    <xf numFmtId="0" fontId="5" fillId="15" borderId="0" applyNumberFormat="0" applyBorder="0" applyAlignment="0" applyProtection="0"/>
    <xf numFmtId="0" fontId="5" fillId="14" borderId="0" applyNumberFormat="0" applyBorder="0" applyAlignment="0" applyProtection="0"/>
    <xf numFmtId="0" fontId="5" fillId="10" borderId="0" applyNumberFormat="0" applyBorder="0" applyAlignment="0" applyProtection="0"/>
    <xf numFmtId="0" fontId="5" fillId="7" borderId="0" applyNumberFormat="0" applyBorder="0" applyAlignment="0" applyProtection="0"/>
    <xf numFmtId="0" fontId="6" fillId="16" borderId="0" applyNumberFormat="0" applyBorder="0" applyAlignment="0" applyProtection="0"/>
    <xf numFmtId="0" fontId="6" fillId="11" borderId="0" applyNumberFormat="0" applyBorder="0" applyAlignment="0" applyProtection="0"/>
    <xf numFmtId="0" fontId="6" fillId="12"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19" borderId="0" applyNumberFormat="0" applyBorder="0" applyAlignment="0" applyProtection="0"/>
    <xf numFmtId="0" fontId="7" fillId="18" borderId="0" applyNumberFormat="0" applyBorder="0" applyAlignment="0" applyProtection="0"/>
    <xf numFmtId="0" fontId="7" fillId="11" borderId="0" applyNumberFormat="0" applyBorder="0" applyAlignment="0" applyProtection="0"/>
    <xf numFmtId="0" fontId="7" fillId="15" borderId="0" applyNumberFormat="0" applyBorder="0" applyAlignment="0" applyProtection="0"/>
    <xf numFmtId="0" fontId="7" fillId="14" borderId="0" applyNumberFormat="0" applyBorder="0" applyAlignment="0" applyProtection="0"/>
    <xf numFmtId="0" fontId="7" fillId="18" borderId="0" applyNumberFormat="0" applyBorder="0" applyAlignment="0" applyProtection="0"/>
    <xf numFmtId="0" fontId="7" fillId="7" borderId="0" applyNumberFormat="0" applyBorder="0" applyAlignment="0" applyProtection="0"/>
    <xf numFmtId="0" fontId="8" fillId="14" borderId="1" applyNumberFormat="0" applyAlignment="0" applyProtection="0"/>
    <xf numFmtId="0" fontId="9" fillId="14" borderId="2" applyNumberFormat="0" applyAlignment="0" applyProtection="0"/>
    <xf numFmtId="0" fontId="10" fillId="4" borderId="0" applyNumberFormat="0" applyBorder="0" applyAlignment="0" applyProtection="0"/>
    <xf numFmtId="0" fontId="11" fillId="8" borderId="2" applyNumberFormat="0" applyAlignment="0" applyProtection="0"/>
    <xf numFmtId="0" fontId="12" fillId="23" borderId="3" applyNumberFormat="0" applyAlignment="0" applyProtection="0"/>
    <xf numFmtId="0" fontId="13" fillId="0" borderId="4" applyNumberFormat="0" applyFill="0" applyAlignment="0" applyProtection="0"/>
    <xf numFmtId="0" fontId="14" fillId="7" borderId="2" applyNumberFormat="0" applyAlignment="0" applyProtection="0"/>
    <xf numFmtId="0" fontId="15" fillId="0" borderId="0" applyNumberFormat="0" applyFill="0" applyBorder="0" applyAlignment="0" applyProtection="0"/>
    <xf numFmtId="0" fontId="7" fillId="18" borderId="0" applyNumberFormat="0" applyBorder="0" applyAlignment="0" applyProtection="0"/>
    <xf numFmtId="0" fontId="7" fillId="20" borderId="0" applyNumberFormat="0" applyBorder="0" applyAlignment="0" applyProtection="0"/>
    <xf numFmtId="0" fontId="7" fillId="21" borderId="0" applyNumberFormat="0" applyBorder="0" applyAlignment="0" applyProtection="0"/>
    <xf numFmtId="0" fontId="7" fillId="24" borderId="0" applyNumberFormat="0" applyBorder="0" applyAlignment="0" applyProtection="0"/>
    <xf numFmtId="0" fontId="7" fillId="18" borderId="0" applyNumberFormat="0" applyBorder="0" applyAlignment="0" applyProtection="0"/>
    <xf numFmtId="0" fontId="7" fillId="22" borderId="0" applyNumberFormat="0" applyBorder="0" applyAlignment="0" applyProtection="0"/>
    <xf numFmtId="0" fontId="16" fillId="7" borderId="2" applyNumberFormat="0" applyAlignment="0" applyProtection="0"/>
    <xf numFmtId="0" fontId="17" fillId="0" borderId="5" applyNumberFormat="0" applyFill="0" applyAlignment="0" applyProtection="0"/>
    <xf numFmtId="0" fontId="18" fillId="0" borderId="0" applyNumberFormat="0" applyFill="0" applyBorder="0" applyAlignment="0" applyProtection="0"/>
    <xf numFmtId="0" fontId="19" fillId="3" borderId="0" applyNumberFormat="0" applyBorder="0" applyAlignment="0" applyProtection="0"/>
    <xf numFmtId="0" fontId="33" fillId="0" borderId="0"/>
    <xf numFmtId="0" fontId="29" fillId="0" borderId="0"/>
    <xf numFmtId="0" fontId="33" fillId="0" borderId="0"/>
    <xf numFmtId="0" fontId="29" fillId="0" borderId="0"/>
    <xf numFmtId="0" fontId="29" fillId="0" borderId="0"/>
    <xf numFmtId="0" fontId="29" fillId="0" borderId="0"/>
    <xf numFmtId="0" fontId="29" fillId="0" borderId="0"/>
    <xf numFmtId="0" fontId="29" fillId="0" borderId="0"/>
    <xf numFmtId="0" fontId="33" fillId="0" borderId="0"/>
    <xf numFmtId="0" fontId="29" fillId="9" borderId="7" applyNumberFormat="0" applyAlignment="0" applyProtection="0"/>
    <xf numFmtId="0" fontId="29" fillId="9" borderId="7" applyNumberFormat="0" applyAlignment="0" applyProtection="0"/>
    <xf numFmtId="0" fontId="20" fillId="8" borderId="1" applyNumberFormat="0" applyAlignment="0" applyProtection="0"/>
    <xf numFmtId="0" fontId="33" fillId="0" borderId="0"/>
    <xf numFmtId="0" fontId="33" fillId="0" borderId="0"/>
    <xf numFmtId="0" fontId="21" fillId="0" borderId="0" applyNumberFormat="0" applyFill="0" applyBorder="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4" fillId="0" borderId="8" applyNumberFormat="0" applyFill="0" applyAlignment="0" applyProtection="0"/>
    <xf numFmtId="0" fontId="25" fillId="0" borderId="6" applyNumberFormat="0" applyFill="0" applyAlignment="0" applyProtection="0"/>
    <xf numFmtId="0" fontId="15" fillId="0" borderId="9" applyNumberFormat="0" applyFill="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5" fillId="0" borderId="0"/>
    <xf numFmtId="0" fontId="3" fillId="0" borderId="0"/>
    <xf numFmtId="0" fontId="3" fillId="0" borderId="0"/>
    <xf numFmtId="0" fontId="3" fillId="0" borderId="0"/>
    <xf numFmtId="0" fontId="3" fillId="0" borderId="0"/>
    <xf numFmtId="0" fontId="29" fillId="0" borderId="0"/>
    <xf numFmtId="9" fontId="29" fillId="0" borderId="0" applyFont="0" applyFill="0" applyBorder="0" applyAlignment="0" applyProtection="0"/>
    <xf numFmtId="0" fontId="53" fillId="0" borderId="0" applyNumberFormat="0" applyFill="0" applyBorder="0" applyAlignment="0" applyProtection="0"/>
    <xf numFmtId="0" fontId="29" fillId="0" borderId="0"/>
    <xf numFmtId="9" fontId="29" fillId="0" borderId="0" applyFont="0" applyFill="0" applyBorder="0" applyAlignment="0" applyProtection="0"/>
  </cellStyleXfs>
  <cellXfs count="816">
    <xf numFmtId="0" fontId="0" fillId="0" borderId="0" xfId="0"/>
    <xf numFmtId="0" fontId="0" fillId="0" borderId="0" xfId="0" applyFont="1"/>
    <xf numFmtId="0" fontId="0" fillId="0" borderId="0" xfId="0" applyFont="1" applyBorder="1"/>
    <xf numFmtId="0" fontId="0" fillId="0" borderId="0" xfId="0" applyFont="1" applyFill="1" applyBorder="1"/>
    <xf numFmtId="0" fontId="4" fillId="0" borderId="0" xfId="0" applyFont="1" applyFill="1"/>
    <xf numFmtId="0" fontId="0" fillId="0" borderId="0" xfId="0" applyFont="1" applyFill="1"/>
    <xf numFmtId="0" fontId="28" fillId="0" borderId="0" xfId="0" applyFont="1"/>
    <xf numFmtId="49" fontId="28" fillId="0" borderId="0" xfId="0" applyNumberFormat="1" applyFont="1" applyFill="1" applyBorder="1" applyAlignment="1">
      <alignment vertical="center"/>
    </xf>
    <xf numFmtId="0" fontId="28" fillId="0" borderId="0" xfId="0" applyFont="1" applyBorder="1" applyAlignment="1">
      <alignment vertical="center"/>
    </xf>
    <xf numFmtId="0" fontId="0" fillId="0" borderId="0" xfId="0" applyFont="1" applyBorder="1" applyAlignment="1">
      <alignment horizontal="center"/>
    </xf>
    <xf numFmtId="49" fontId="0" fillId="0" borderId="0" xfId="0" applyNumberFormat="1" applyFont="1" applyFill="1" applyBorder="1" applyAlignment="1">
      <alignment horizontal="center" vertical="center"/>
    </xf>
    <xf numFmtId="49" fontId="28" fillId="0" borderId="26" xfId="0" applyNumberFormat="1" applyFont="1" applyFill="1" applyBorder="1" applyAlignment="1">
      <alignment vertical="center"/>
    </xf>
    <xf numFmtId="0" fontId="0" fillId="0" borderId="0" xfId="0" applyFont="1" applyFill="1" applyAlignment="1">
      <alignment horizontal="center"/>
    </xf>
    <xf numFmtId="0" fontId="38" fillId="0" borderId="0" xfId="0" applyFont="1"/>
    <xf numFmtId="0" fontId="0" fillId="0" borderId="0" xfId="0" applyFill="1" applyAlignment="1">
      <alignment horizontal="center"/>
    </xf>
    <xf numFmtId="0" fontId="0" fillId="0" borderId="0" xfId="0" applyBorder="1"/>
    <xf numFmtId="49" fontId="39" fillId="0" borderId="12" xfId="60" applyNumberFormat="1" applyFont="1" applyFill="1" applyBorder="1" applyAlignment="1">
      <alignment horizontal="center" vertical="center" wrapText="1"/>
    </xf>
    <xf numFmtId="49" fontId="39" fillId="0" borderId="12" xfId="0" applyNumberFormat="1" applyFont="1" applyFill="1" applyBorder="1" applyAlignment="1">
      <alignment horizontal="center" vertical="center" wrapText="1"/>
    </xf>
    <xf numFmtId="0" fontId="39" fillId="0" borderId="12" xfId="0" applyFont="1" applyFill="1" applyBorder="1" applyAlignment="1">
      <alignment horizontal="center" vertical="center" wrapText="1"/>
    </xf>
    <xf numFmtId="0" fontId="29" fillId="0" borderId="0" xfId="0" applyFont="1"/>
    <xf numFmtId="0" fontId="29" fillId="0" borderId="0" xfId="0" applyFont="1" applyBorder="1" applyAlignment="1"/>
    <xf numFmtId="49" fontId="28" fillId="0" borderId="0" xfId="58" applyNumberFormat="1" applyFont="1" applyFill="1" applyBorder="1" applyAlignment="1">
      <alignment vertical="center"/>
    </xf>
    <xf numFmtId="49" fontId="29" fillId="25" borderId="11" xfId="62" applyNumberFormat="1" applyFont="1" applyFill="1" applyBorder="1" applyAlignment="1">
      <alignment vertical="center"/>
    </xf>
    <xf numFmtId="49" fontId="28" fillId="0" borderId="0" xfId="62" applyNumberFormat="1" applyFont="1" applyFill="1" applyBorder="1" applyAlignment="1">
      <alignment vertical="center"/>
    </xf>
    <xf numFmtId="49" fontId="28" fillId="0" borderId="0" xfId="61" applyNumberFormat="1" applyFont="1" applyFill="1" applyBorder="1" applyAlignment="1">
      <alignment vertical="center"/>
    </xf>
    <xf numFmtId="0" fontId="29" fillId="0" borderId="0" xfId="0" applyFont="1" applyBorder="1"/>
    <xf numFmtId="0" fontId="28" fillId="0" borderId="0" xfId="0" applyFont="1" applyFill="1" applyBorder="1" applyAlignment="1">
      <alignment horizontal="left" vertical="center"/>
    </xf>
    <xf numFmtId="0" fontId="34" fillId="0" borderId="11" xfId="0" applyFont="1" applyBorder="1"/>
    <xf numFmtId="0" fontId="0" fillId="0" borderId="0" xfId="0" applyFont="1" applyAlignment="1">
      <alignment horizontal="center"/>
    </xf>
    <xf numFmtId="0" fontId="0" fillId="0" borderId="0" xfId="0" applyFont="1" applyFill="1" applyBorder="1" applyAlignment="1">
      <alignment horizontal="left"/>
    </xf>
    <xf numFmtId="0" fontId="29" fillId="0" borderId="0" xfId="0" applyFont="1" applyFill="1" applyBorder="1"/>
    <xf numFmtId="0" fontId="34" fillId="0" borderId="0" xfId="78" applyFont="1" applyBorder="1"/>
    <xf numFmtId="0" fontId="34" fillId="0" borderId="0" xfId="79" applyFont="1" applyFill="1" applyBorder="1"/>
    <xf numFmtId="0" fontId="34" fillId="0" borderId="0" xfId="79" applyFont="1" applyBorder="1"/>
    <xf numFmtId="0" fontId="36" fillId="0" borderId="0" xfId="80" applyFont="1" applyFill="1" applyBorder="1"/>
    <xf numFmtId="0" fontId="41" fillId="0" borderId="0" xfId="78" applyFont="1" applyBorder="1"/>
    <xf numFmtId="49" fontId="44" fillId="25" borderId="0" xfId="0" applyNumberFormat="1" applyFont="1" applyFill="1" applyBorder="1" applyAlignment="1">
      <alignment vertical="center"/>
    </xf>
    <xf numFmtId="0" fontId="44" fillId="0" borderId="0" xfId="0" applyFont="1"/>
    <xf numFmtId="0" fontId="0" fillId="0" borderId="0" xfId="0" applyFont="1" applyAlignment="1"/>
    <xf numFmtId="0" fontId="0" fillId="25" borderId="0" xfId="0" applyFont="1" applyFill="1" applyAlignment="1">
      <alignment wrapText="1"/>
    </xf>
    <xf numFmtId="49" fontId="0" fillId="0" borderId="0" xfId="0" applyNumberFormat="1" applyFont="1" applyFill="1" applyBorder="1" applyAlignment="1">
      <alignment horizontal="center" vertical="center" wrapText="1"/>
    </xf>
    <xf numFmtId="1" fontId="0" fillId="0" borderId="0" xfId="0" applyNumberFormat="1" applyFont="1" applyFill="1" applyBorder="1" applyAlignment="1">
      <alignment horizontal="center" vertical="center" wrapText="1"/>
    </xf>
    <xf numFmtId="49" fontId="4" fillId="0" borderId="0" xfId="0" applyNumberFormat="1" applyFont="1" applyFill="1" applyBorder="1" applyAlignment="1">
      <alignment horizontal="center" vertical="center" wrapText="1"/>
    </xf>
    <xf numFmtId="0" fontId="0" fillId="0" borderId="34" xfId="0" applyBorder="1"/>
    <xf numFmtId="0" fontId="0" fillId="0" borderId="0" xfId="0" applyFont="1" applyBorder="1" applyAlignment="1"/>
    <xf numFmtId="0" fontId="3" fillId="0" borderId="0" xfId="81"/>
    <xf numFmtId="0" fontId="41" fillId="0" borderId="0" xfId="57" applyFont="1" applyFill="1" applyBorder="1" applyAlignment="1">
      <alignment horizontal="left"/>
    </xf>
    <xf numFmtId="0" fontId="29" fillId="0" borderId="29" xfId="0" applyFont="1" applyBorder="1"/>
    <xf numFmtId="0" fontId="0" fillId="0" borderId="0" xfId="0" applyFont="1" applyFill="1" applyAlignment="1">
      <alignment horizontal="left"/>
    </xf>
    <xf numFmtId="0" fontId="29" fillId="0" borderId="25" xfId="0" applyFont="1" applyBorder="1" applyAlignment="1"/>
    <xf numFmtId="0" fontId="34" fillId="0" borderId="0" xfId="78" applyFont="1" applyBorder="1" applyAlignment="1"/>
    <xf numFmtId="0" fontId="28" fillId="0" borderId="33" xfId="0" applyFont="1" applyFill="1" applyBorder="1" applyAlignment="1">
      <alignment horizontal="left" vertical="center"/>
    </xf>
    <xf numFmtId="0" fontId="34" fillId="0" borderId="0" xfId="57" applyFont="1"/>
    <xf numFmtId="0" fontId="46" fillId="0" borderId="27" xfId="0" applyFont="1" applyBorder="1" applyAlignment="1"/>
    <xf numFmtId="0" fontId="47" fillId="0" borderId="24" xfId="0" applyFont="1" applyBorder="1" applyAlignment="1"/>
    <xf numFmtId="0" fontId="47" fillId="0" borderId="34" xfId="0" applyFont="1" applyBorder="1"/>
    <xf numFmtId="0" fontId="47" fillId="0" borderId="34" xfId="0" applyFont="1" applyBorder="1" applyAlignment="1">
      <alignment horizontal="right"/>
    </xf>
    <xf numFmtId="0" fontId="47" fillId="0" borderId="10" xfId="0" applyFont="1" applyBorder="1"/>
    <xf numFmtId="0" fontId="47" fillId="0" borderId="25" xfId="0" applyFont="1" applyBorder="1" applyAlignment="1"/>
    <xf numFmtId="0" fontId="47" fillId="0" borderId="0" xfId="0" applyFont="1" applyBorder="1" applyAlignment="1"/>
    <xf numFmtId="0" fontId="46" fillId="0" borderId="13" xfId="0" applyFont="1" applyFill="1" applyBorder="1" applyAlignment="1">
      <alignment horizontal="left" vertical="center"/>
    </xf>
    <xf numFmtId="0" fontId="47" fillId="0" borderId="0" xfId="0" applyFont="1"/>
    <xf numFmtId="0" fontId="47" fillId="0" borderId="0" xfId="0" applyFont="1" applyFill="1"/>
    <xf numFmtId="49" fontId="49" fillId="0" borderId="0" xfId="60" applyNumberFormat="1" applyFont="1" applyFill="1" applyBorder="1" applyAlignment="1">
      <alignment vertical="center"/>
    </xf>
    <xf numFmtId="0" fontId="50" fillId="0" borderId="0" xfId="0" applyFont="1"/>
    <xf numFmtId="0" fontId="50" fillId="25" borderId="0" xfId="0" applyFont="1" applyFill="1"/>
    <xf numFmtId="0" fontId="50" fillId="0" borderId="0" xfId="0" applyFont="1" applyFill="1"/>
    <xf numFmtId="0" fontId="50" fillId="0" borderId="0" xfId="0" applyFont="1" applyBorder="1" applyAlignment="1"/>
    <xf numFmtId="0" fontId="50" fillId="0" borderId="0" xfId="0" applyFont="1" applyFill="1" applyBorder="1" applyAlignment="1"/>
    <xf numFmtId="0" fontId="50" fillId="0" borderId="29" xfId="0" applyFont="1" applyBorder="1" applyAlignment="1"/>
    <xf numFmtId="0" fontId="50" fillId="0" borderId="29" xfId="0" applyFont="1" applyFill="1" applyBorder="1" applyAlignment="1"/>
    <xf numFmtId="0" fontId="0" fillId="0" borderId="0" xfId="0" applyFont="1" applyFill="1" applyBorder="1" applyAlignment="1">
      <alignment wrapText="1"/>
    </xf>
    <xf numFmtId="0" fontId="0" fillId="0" borderId="0" xfId="0" applyFont="1" applyFill="1" applyBorder="1" applyAlignment="1">
      <alignment horizontal="left" wrapText="1"/>
    </xf>
    <xf numFmtId="0" fontId="0" fillId="0" borderId="0" xfId="0" applyFill="1" applyBorder="1" applyAlignment="1">
      <alignment vertical="top" wrapText="1"/>
    </xf>
    <xf numFmtId="0" fontId="0" fillId="0" borderId="0" xfId="0" applyFont="1" applyFill="1" applyBorder="1" applyAlignment="1">
      <alignment vertical="top" wrapText="1"/>
    </xf>
    <xf numFmtId="0" fontId="30" fillId="0" borderId="0" xfId="0" applyFont="1" applyFill="1" applyBorder="1" applyAlignment="1">
      <alignment vertical="center"/>
    </xf>
    <xf numFmtId="0" fontId="30" fillId="0" borderId="29" xfId="0" applyFont="1" applyFill="1" applyBorder="1" applyAlignment="1">
      <alignment vertical="center"/>
    </xf>
    <xf numFmtId="0" fontId="28" fillId="0" borderId="16" xfId="0" applyFont="1" applyFill="1" applyBorder="1" applyAlignment="1">
      <alignment horizontal="left" vertical="center"/>
    </xf>
    <xf numFmtId="0" fontId="0" fillId="0" borderId="28" xfId="0" applyBorder="1" applyAlignment="1"/>
    <xf numFmtId="0" fontId="0" fillId="0" borderId="29" xfId="0" applyBorder="1" applyAlignment="1"/>
    <xf numFmtId="0" fontId="0" fillId="0" borderId="25" xfId="0" applyBorder="1" applyAlignment="1"/>
    <xf numFmtId="0" fontId="0" fillId="0" borderId="0" xfId="0" applyBorder="1" applyAlignment="1"/>
    <xf numFmtId="0" fontId="28" fillId="0" borderId="0" xfId="0" applyFont="1" applyFill="1" applyBorder="1" applyAlignment="1">
      <alignment vertical="center"/>
    </xf>
    <xf numFmtId="0" fontId="0" fillId="0" borderId="28" xfId="0" applyBorder="1" applyAlignment="1"/>
    <xf numFmtId="0" fontId="0" fillId="0" borderId="29" xfId="0" applyBorder="1" applyAlignment="1"/>
    <xf numFmtId="0" fontId="44" fillId="0" borderId="0" xfId="0" applyFont="1" applyAlignment="1"/>
    <xf numFmtId="0" fontId="44" fillId="0" borderId="29" xfId="0" applyFont="1" applyBorder="1" applyAlignment="1"/>
    <xf numFmtId="0" fontId="37" fillId="0" borderId="18" xfId="0" applyFont="1" applyBorder="1"/>
    <xf numFmtId="0" fontId="0" fillId="0" borderId="15" xfId="0" applyFont="1" applyBorder="1" applyAlignment="1">
      <alignment horizontal="right"/>
    </xf>
    <xf numFmtId="0" fontId="37" fillId="0" borderId="16" xfId="0" applyFont="1" applyFill="1" applyBorder="1" applyAlignment="1">
      <alignment horizontal="left" vertical="center"/>
    </xf>
    <xf numFmtId="49" fontId="51" fillId="0" borderId="45" xfId="60" applyNumberFormat="1" applyFont="1" applyFill="1" applyBorder="1" applyAlignment="1">
      <alignment horizontal="center" vertical="center" wrapText="1"/>
    </xf>
    <xf numFmtId="0" fontId="51" fillId="0" borderId="45" xfId="0" applyFont="1" applyFill="1" applyBorder="1" applyAlignment="1">
      <alignment horizontal="center" vertical="center"/>
    </xf>
    <xf numFmtId="49" fontId="51" fillId="25" borderId="45" xfId="60" applyNumberFormat="1" applyFont="1" applyFill="1" applyBorder="1" applyAlignment="1">
      <alignment horizontal="center" vertical="center" wrapText="1"/>
    </xf>
    <xf numFmtId="0" fontId="49" fillId="0" borderId="11" xfId="0" applyFont="1" applyFill="1" applyBorder="1" applyAlignment="1">
      <alignment horizontal="left" vertical="center"/>
    </xf>
    <xf numFmtId="0" fontId="50" fillId="0" borderId="14" xfId="0" applyFont="1" applyBorder="1"/>
    <xf numFmtId="0" fontId="50" fillId="0" borderId="35" xfId="0" applyFont="1" applyBorder="1" applyAlignment="1">
      <alignment horizontal="right"/>
    </xf>
    <xf numFmtId="0" fontId="0" fillId="0" borderId="18" xfId="0" applyBorder="1"/>
    <xf numFmtId="0" fontId="28" fillId="0" borderId="58" xfId="0" applyFont="1" applyFill="1" applyBorder="1" applyAlignment="1">
      <alignment horizontal="left" vertical="center"/>
    </xf>
    <xf numFmtId="0" fontId="37" fillId="0" borderId="15" xfId="0" applyFont="1" applyBorder="1"/>
    <xf numFmtId="49" fontId="28" fillId="0" borderId="45" xfId="0" applyNumberFormat="1" applyFont="1" applyFill="1" applyBorder="1" applyAlignment="1">
      <alignment horizontal="center" vertical="center" wrapText="1"/>
    </xf>
    <xf numFmtId="49" fontId="28" fillId="25" borderId="45" xfId="62" applyNumberFormat="1" applyFont="1" applyFill="1" applyBorder="1" applyAlignment="1">
      <alignment horizontal="center" vertical="center"/>
    </xf>
    <xf numFmtId="0" fontId="28" fillId="0" borderId="45" xfId="0" applyFont="1" applyBorder="1" applyAlignment="1">
      <alignment horizontal="center" vertical="center"/>
    </xf>
    <xf numFmtId="49" fontId="28" fillId="25" borderId="45" xfId="62" applyNumberFormat="1" applyFont="1" applyFill="1" applyBorder="1" applyAlignment="1">
      <alignment horizontal="center" vertical="center" wrapText="1" shrinkToFit="1"/>
    </xf>
    <xf numFmtId="49" fontId="28" fillId="25" borderId="45" xfId="60" applyNumberFormat="1" applyFont="1" applyFill="1" applyBorder="1" applyAlignment="1">
      <alignment horizontal="center" vertical="center" wrapText="1"/>
    </xf>
    <xf numFmtId="49" fontId="28" fillId="0" borderId="45" xfId="62" applyNumberFormat="1" applyFont="1" applyFill="1" applyBorder="1" applyAlignment="1">
      <alignment horizontal="center" vertical="center" wrapText="1" shrinkToFit="1"/>
    </xf>
    <xf numFmtId="0" fontId="28" fillId="0" borderId="45" xfId="0" applyFont="1" applyFill="1" applyBorder="1" applyAlignment="1">
      <alignment horizontal="center" vertical="center" wrapText="1"/>
    </xf>
    <xf numFmtId="0" fontId="28" fillId="0" borderId="45" xfId="0" applyFont="1" applyFill="1" applyBorder="1" applyAlignment="1">
      <alignment horizontal="center" vertical="center"/>
    </xf>
    <xf numFmtId="49" fontId="28" fillId="25" borderId="45" xfId="62" applyNumberFormat="1" applyFont="1" applyFill="1" applyBorder="1" applyAlignment="1">
      <alignment horizontal="center" vertical="top" wrapText="1"/>
    </xf>
    <xf numFmtId="49" fontId="28" fillId="0" borderId="45" xfId="60" applyNumberFormat="1" applyFont="1" applyFill="1" applyBorder="1" applyAlignment="1">
      <alignment horizontal="center" vertical="center" wrapText="1"/>
    </xf>
    <xf numFmtId="49" fontId="28" fillId="0" borderId="45" xfId="62" applyNumberFormat="1" applyFont="1" applyFill="1" applyBorder="1" applyAlignment="1">
      <alignment horizontal="center" vertical="center" wrapText="1"/>
    </xf>
    <xf numFmtId="0" fontId="28" fillId="0" borderId="45" xfId="0" applyFont="1" applyBorder="1" applyAlignment="1">
      <alignment vertical="center"/>
    </xf>
    <xf numFmtId="49" fontId="28" fillId="0" borderId="45" xfId="62" applyNumberFormat="1" applyFont="1" applyFill="1" applyBorder="1" applyAlignment="1">
      <alignment vertical="center"/>
    </xf>
    <xf numFmtId="49" fontId="28" fillId="0" borderId="45" xfId="59" applyNumberFormat="1" applyFont="1" applyFill="1" applyBorder="1" applyAlignment="1">
      <alignment horizontal="center" vertical="top" wrapText="1"/>
    </xf>
    <xf numFmtId="49" fontId="28" fillId="0" borderId="45" xfId="61" applyNumberFormat="1" applyFont="1" applyFill="1" applyBorder="1" applyAlignment="1">
      <alignment horizontal="center" vertical="center" wrapText="1"/>
    </xf>
    <xf numFmtId="49" fontId="28" fillId="0" borderId="45" xfId="0" applyNumberFormat="1" applyFont="1" applyFill="1" applyBorder="1" applyAlignment="1">
      <alignment horizontal="center" vertical="center"/>
    </xf>
    <xf numFmtId="49" fontId="28" fillId="0" borderId="45" xfId="59" applyNumberFormat="1" applyFont="1" applyFill="1" applyBorder="1" applyAlignment="1">
      <alignment horizontal="center" vertical="center" wrapText="1"/>
    </xf>
    <xf numFmtId="49" fontId="28" fillId="25" borderId="45" xfId="62" applyNumberFormat="1" applyFont="1" applyFill="1" applyBorder="1" applyAlignment="1">
      <alignment horizontal="center" vertical="center" wrapText="1"/>
    </xf>
    <xf numFmtId="49" fontId="28" fillId="0" borderId="45" xfId="61" applyNumberFormat="1" applyFont="1" applyFill="1" applyBorder="1" applyAlignment="1">
      <alignment horizontal="center" vertical="center"/>
    </xf>
    <xf numFmtId="0" fontId="3" fillId="0" borderId="0" xfId="81" applyBorder="1"/>
    <xf numFmtId="0" fontId="3" fillId="0" borderId="42" xfId="81" applyBorder="1"/>
    <xf numFmtId="0" fontId="17" fillId="25" borderId="45" xfId="82" applyFont="1" applyFill="1" applyBorder="1" applyAlignment="1">
      <alignment horizontal="center" vertical="center"/>
    </xf>
    <xf numFmtId="0" fontId="17" fillId="25" borderId="45" xfId="82" applyFont="1" applyFill="1" applyBorder="1" applyAlignment="1">
      <alignment horizontal="center" vertical="center" wrapText="1"/>
    </xf>
    <xf numFmtId="0" fontId="17" fillId="25" borderId="45" xfId="82" applyFont="1" applyFill="1" applyBorder="1" applyAlignment="1">
      <alignment horizontal="center" vertical="center" wrapText="1" shrinkToFit="1"/>
    </xf>
    <xf numFmtId="0" fontId="28" fillId="25" borderId="45" xfId="82" applyFont="1" applyFill="1" applyBorder="1" applyAlignment="1">
      <alignment horizontal="center" vertical="center" wrapText="1"/>
    </xf>
    <xf numFmtId="49" fontId="28" fillId="25" borderId="45" xfId="82" applyNumberFormat="1" applyFont="1" applyFill="1" applyBorder="1" applyAlignment="1">
      <alignment horizontal="center" vertical="center" wrapText="1"/>
    </xf>
    <xf numFmtId="0" fontId="34" fillId="0" borderId="0" xfId="57" applyFont="1" applyBorder="1"/>
    <xf numFmtId="0" fontId="34" fillId="0" borderId="0" xfId="57" applyFont="1" applyBorder="1" applyAlignment="1"/>
    <xf numFmtId="0" fontId="17" fillId="0" borderId="45" xfId="0" applyFont="1" applyFill="1" applyBorder="1" applyAlignment="1">
      <alignment horizontal="center" vertical="center" wrapText="1"/>
    </xf>
    <xf numFmtId="0" fontId="28" fillId="0" borderId="45" xfId="0" applyFont="1" applyFill="1" applyBorder="1" applyAlignment="1">
      <alignment horizontal="center" vertical="center" wrapText="1" shrinkToFit="1"/>
    </xf>
    <xf numFmtId="0" fontId="28" fillId="0" borderId="0" xfId="0" applyFont="1" applyBorder="1"/>
    <xf numFmtId="0" fontId="41" fillId="0" borderId="45" xfId="0" applyFont="1" applyFill="1" applyBorder="1" applyAlignment="1">
      <alignment horizontal="center" vertical="center" wrapText="1"/>
    </xf>
    <xf numFmtId="0" fontId="41" fillId="0" borderId="53" xfId="0" applyFont="1" applyFill="1" applyBorder="1" applyAlignment="1">
      <alignment wrapText="1"/>
    </xf>
    <xf numFmtId="0" fontId="28" fillId="0" borderId="0" xfId="0" applyFont="1" applyFill="1" applyBorder="1" applyAlignment="1">
      <alignment horizontal="center" vertical="center" wrapText="1"/>
    </xf>
    <xf numFmtId="49" fontId="28" fillId="0" borderId="14" xfId="0" applyNumberFormat="1" applyFont="1" applyFill="1" applyBorder="1" applyAlignment="1">
      <alignment horizontal="center" vertical="center"/>
    </xf>
    <xf numFmtId="49" fontId="28" fillId="0" borderId="12" xfId="0" applyNumberFormat="1" applyFont="1" applyFill="1" applyBorder="1" applyAlignment="1">
      <alignment horizontal="center" vertical="center" wrapText="1"/>
    </xf>
    <xf numFmtId="49" fontId="28" fillId="0" borderId="61" xfId="0" applyNumberFormat="1" applyFont="1" applyFill="1" applyBorder="1" applyAlignment="1">
      <alignment horizontal="center" vertical="center" wrapText="1"/>
    </xf>
    <xf numFmtId="49" fontId="28" fillId="0" borderId="62" xfId="0" applyNumberFormat="1" applyFont="1" applyFill="1" applyBorder="1" applyAlignment="1">
      <alignment horizontal="center" vertical="center" wrapText="1"/>
    </xf>
    <xf numFmtId="0" fontId="28" fillId="0" borderId="12" xfId="0" applyFont="1" applyFill="1" applyBorder="1" applyAlignment="1">
      <alignment horizontal="center" vertical="center" wrapText="1"/>
    </xf>
    <xf numFmtId="49" fontId="17" fillId="0" borderId="12" xfId="0" applyNumberFormat="1" applyFont="1" applyFill="1" applyBorder="1" applyAlignment="1">
      <alignment horizontal="center" vertical="center" wrapText="1"/>
    </xf>
    <xf numFmtId="49" fontId="17" fillId="0" borderId="61" xfId="0" applyNumberFormat="1" applyFont="1" applyFill="1" applyBorder="1" applyAlignment="1">
      <alignment horizontal="center" vertical="center" wrapText="1"/>
    </xf>
    <xf numFmtId="0" fontId="4" fillId="0" borderId="0" xfId="0" applyFont="1" applyFill="1" applyBorder="1" applyAlignment="1">
      <alignment horizontal="center" vertical="center"/>
    </xf>
    <xf numFmtId="0" fontId="31" fillId="0" borderId="0" xfId="0" applyFont="1" applyFill="1" applyBorder="1" applyAlignment="1">
      <alignment horizontal="center" vertical="center"/>
    </xf>
    <xf numFmtId="49" fontId="4" fillId="0" borderId="0" xfId="0" applyNumberFormat="1" applyFont="1" applyFill="1" applyBorder="1" applyAlignment="1">
      <alignment horizontal="center" vertical="center"/>
    </xf>
    <xf numFmtId="49" fontId="0" fillId="0" borderId="52" xfId="0" applyNumberFormat="1" applyFont="1" applyFill="1" applyBorder="1" applyAlignment="1">
      <alignment horizontal="center" vertical="center" wrapText="1"/>
    </xf>
    <xf numFmtId="49" fontId="0" fillId="0" borderId="51" xfId="0" applyNumberFormat="1" applyFont="1" applyFill="1" applyBorder="1" applyAlignment="1">
      <alignment horizontal="center" vertical="center" wrapText="1"/>
    </xf>
    <xf numFmtId="0" fontId="28" fillId="0" borderId="49" xfId="0" applyFont="1" applyFill="1" applyBorder="1" applyAlignment="1">
      <alignment horizontal="center" vertical="center"/>
    </xf>
    <xf numFmtId="49" fontId="28" fillId="0" borderId="49" xfId="0" applyNumberFormat="1" applyFont="1" applyFill="1" applyBorder="1" applyAlignment="1">
      <alignment horizontal="center" vertical="center" wrapText="1"/>
    </xf>
    <xf numFmtId="0" fontId="52" fillId="0" borderId="0" xfId="0" applyFont="1" applyFill="1" applyAlignment="1">
      <alignment horizontal="left"/>
    </xf>
    <xf numFmtId="49" fontId="0" fillId="25" borderId="65" xfId="0" applyNumberFormat="1" applyFont="1" applyFill="1" applyBorder="1" applyAlignment="1">
      <alignment horizontal="center" vertical="center"/>
    </xf>
    <xf numFmtId="0" fontId="28" fillId="0" borderId="0" xfId="0" applyFont="1" applyFill="1" applyBorder="1" applyAlignment="1">
      <alignment horizontal="left" vertical="center"/>
    </xf>
    <xf numFmtId="0" fontId="0" fillId="26" borderId="17" xfId="0" applyFont="1" applyFill="1" applyBorder="1"/>
    <xf numFmtId="0" fontId="39" fillId="0" borderId="14" xfId="0" applyFont="1" applyFill="1" applyBorder="1" applyAlignment="1">
      <alignment horizontal="center" vertical="center" wrapText="1"/>
    </xf>
    <xf numFmtId="49" fontId="39" fillId="0" borderId="19" xfId="0" applyNumberFormat="1" applyFont="1" applyFill="1" applyBorder="1" applyAlignment="1">
      <alignment horizontal="center" vertical="center" wrapText="1"/>
    </xf>
    <xf numFmtId="49" fontId="51" fillId="26" borderId="45" xfId="60" applyNumberFormat="1" applyFont="1" applyFill="1" applyBorder="1" applyAlignment="1">
      <alignment horizontal="center" vertical="center" wrapText="1"/>
    </xf>
    <xf numFmtId="0" fontId="50" fillId="26" borderId="11" xfId="0" applyFont="1" applyFill="1" applyBorder="1"/>
    <xf numFmtId="49" fontId="17" fillId="26" borderId="45" xfId="60" applyNumberFormat="1" applyFont="1" applyFill="1" applyBorder="1" applyAlignment="1">
      <alignment horizontal="center" vertical="center" wrapText="1"/>
    </xf>
    <xf numFmtId="0" fontId="29" fillId="26" borderId="11" xfId="80" applyFont="1" applyFill="1" applyBorder="1"/>
    <xf numFmtId="0" fontId="29" fillId="26" borderId="34" xfId="80" applyFont="1" applyFill="1" applyBorder="1"/>
    <xf numFmtId="0" fontId="34" fillId="26" borderId="11" xfId="78" applyFont="1" applyFill="1" applyBorder="1"/>
    <xf numFmtId="0" fontId="34" fillId="26" borderId="34" xfId="78" applyFont="1" applyFill="1" applyBorder="1"/>
    <xf numFmtId="0" fontId="37" fillId="26" borderId="17" xfId="0" applyFont="1" applyFill="1" applyBorder="1" applyAlignment="1">
      <alignment horizontal="left" vertical="center"/>
    </xf>
    <xf numFmtId="0" fontId="28" fillId="26" borderId="49" xfId="0" applyFont="1" applyFill="1" applyBorder="1" applyAlignment="1">
      <alignment horizontal="center" vertical="center" wrapText="1"/>
    </xf>
    <xf numFmtId="49" fontId="28" fillId="26" borderId="49" xfId="0" applyNumberFormat="1" applyFont="1" applyFill="1" applyBorder="1" applyAlignment="1">
      <alignment horizontal="center" vertical="center" wrapText="1"/>
    </xf>
    <xf numFmtId="0" fontId="0" fillId="26" borderId="49" xfId="0" applyFill="1" applyBorder="1"/>
    <xf numFmtId="0" fontId="0" fillId="0" borderId="57" xfId="0" applyBorder="1"/>
    <xf numFmtId="0" fontId="28" fillId="0" borderId="59" xfId="0" applyFont="1" applyFill="1" applyBorder="1" applyAlignment="1">
      <alignment horizontal="left" vertical="center"/>
    </xf>
    <xf numFmtId="49" fontId="28" fillId="26" borderId="45" xfId="60" applyNumberFormat="1" applyFont="1" applyFill="1" applyBorder="1" applyAlignment="1">
      <alignment horizontal="center" vertical="center" wrapText="1"/>
    </xf>
    <xf numFmtId="0" fontId="0" fillId="26" borderId="11" xfId="0" applyFont="1" applyFill="1" applyBorder="1"/>
    <xf numFmtId="0" fontId="0" fillId="26" borderId="49" xfId="0" applyFont="1" applyFill="1" applyBorder="1"/>
    <xf numFmtId="0" fontId="28" fillId="26" borderId="45" xfId="0" applyFont="1" applyFill="1" applyBorder="1" applyAlignment="1">
      <alignment horizontal="center" vertical="center" wrapText="1"/>
    </xf>
    <xf numFmtId="49" fontId="28" fillId="26" borderId="19" xfId="60" applyNumberFormat="1" applyFont="1" applyFill="1" applyBorder="1" applyAlignment="1">
      <alignment horizontal="center" vertical="center" wrapText="1"/>
    </xf>
    <xf numFmtId="0" fontId="28" fillId="26" borderId="45" xfId="82" applyFont="1" applyFill="1" applyBorder="1" applyAlignment="1">
      <alignment horizontal="center" vertical="center" wrapText="1"/>
    </xf>
    <xf numFmtId="0" fontId="47" fillId="26" borderId="13" xfId="0" applyFont="1" applyFill="1" applyBorder="1"/>
    <xf numFmtId="0" fontId="47" fillId="26" borderId="45" xfId="0" applyFont="1" applyFill="1" applyBorder="1"/>
    <xf numFmtId="0" fontId="40" fillId="0" borderId="68" xfId="0" applyFont="1" applyFill="1" applyBorder="1" applyAlignment="1">
      <alignment horizontal="center" vertical="center" wrapText="1"/>
    </xf>
    <xf numFmtId="0" fontId="40" fillId="0" borderId="69" xfId="0" applyFont="1" applyFill="1" applyBorder="1" applyAlignment="1">
      <alignment horizontal="center" vertical="center" wrapText="1"/>
    </xf>
    <xf numFmtId="0" fontId="29" fillId="0" borderId="0" xfId="0" applyFont="1" applyBorder="1" applyAlignment="1">
      <alignment horizontal="center" vertical="center"/>
    </xf>
    <xf numFmtId="49" fontId="28" fillId="27" borderId="60" xfId="0" applyNumberFormat="1" applyFont="1" applyFill="1" applyBorder="1" applyAlignment="1">
      <alignment horizontal="center" vertical="center" wrapText="1"/>
    </xf>
    <xf numFmtId="49" fontId="28" fillId="27" borderId="45" xfId="60" applyNumberFormat="1" applyFont="1" applyFill="1" applyBorder="1" applyAlignment="1">
      <alignment horizontal="center" vertical="center" wrapText="1"/>
    </xf>
    <xf numFmtId="0" fontId="28" fillId="27" borderId="45" xfId="82" applyFont="1" applyFill="1" applyBorder="1" applyAlignment="1">
      <alignment horizontal="center" vertical="center" wrapText="1"/>
    </xf>
    <xf numFmtId="0" fontId="45" fillId="26" borderId="49" xfId="81" applyFont="1" applyFill="1" applyBorder="1"/>
    <xf numFmtId="0" fontId="45" fillId="27" borderId="49" xfId="81" applyFont="1" applyFill="1" applyBorder="1"/>
    <xf numFmtId="0" fontId="45" fillId="26" borderId="60" xfId="81" applyFont="1" applyFill="1" applyBorder="1"/>
    <xf numFmtId="0" fontId="0" fillId="0" borderId="70" xfId="0" applyFont="1" applyBorder="1"/>
    <xf numFmtId="0" fontId="29" fillId="0" borderId="70" xfId="0" applyFont="1" applyBorder="1"/>
    <xf numFmtId="0" fontId="28" fillId="25" borderId="45" xfId="0" applyFont="1" applyFill="1" applyBorder="1" applyAlignment="1">
      <alignment horizontal="center" vertical="center" wrapText="1"/>
    </xf>
    <xf numFmtId="0" fontId="28" fillId="26" borderId="50" xfId="0" applyFont="1" applyFill="1" applyBorder="1" applyAlignment="1">
      <alignment horizontal="center" vertical="center" wrapText="1"/>
    </xf>
    <xf numFmtId="0" fontId="28" fillId="0" borderId="0" xfId="0" applyFont="1" applyFill="1" applyBorder="1" applyAlignment="1">
      <alignment horizontal="left" vertical="center"/>
    </xf>
    <xf numFmtId="0" fontId="0" fillId="0" borderId="70" xfId="0" applyFont="1" applyFill="1" applyBorder="1" applyAlignment="1">
      <alignment horizontal="center"/>
    </xf>
    <xf numFmtId="2" fontId="0" fillId="0" borderId="70" xfId="0" applyNumberFormat="1" applyFont="1" applyFill="1" applyBorder="1" applyAlignment="1">
      <alignment horizontal="center" vertical="center"/>
    </xf>
    <xf numFmtId="49" fontId="32" fillId="0" borderId="70" xfId="0" applyNumberFormat="1" applyFont="1" applyFill="1" applyBorder="1" applyAlignment="1">
      <alignment horizontal="center" vertical="center"/>
    </xf>
    <xf numFmtId="2" fontId="0" fillId="0" borderId="70" xfId="0" applyNumberFormat="1" applyFont="1" applyFill="1" applyBorder="1" applyAlignment="1">
      <alignment horizontal="left" vertical="center"/>
    </xf>
    <xf numFmtId="0" fontId="0" fillId="0" borderId="70" xfId="0" applyNumberFormat="1" applyFont="1" applyFill="1" applyBorder="1" applyAlignment="1">
      <alignment horizontal="center" vertical="center"/>
    </xf>
    <xf numFmtId="2" fontId="0" fillId="0" borderId="70" xfId="0" applyNumberFormat="1" applyFont="1" applyFill="1" applyBorder="1" applyAlignment="1">
      <alignment vertical="center" wrapText="1"/>
    </xf>
    <xf numFmtId="0" fontId="0" fillId="0" borderId="0" xfId="84" applyFont="1" applyAlignment="1">
      <alignment wrapText="1"/>
    </xf>
    <xf numFmtId="2" fontId="0" fillId="0" borderId="70" xfId="0" applyNumberFormat="1" applyFont="1" applyFill="1" applyBorder="1" applyAlignment="1">
      <alignment vertical="center"/>
    </xf>
    <xf numFmtId="0" fontId="0" fillId="0" borderId="70" xfId="0" applyFont="1" applyBorder="1" applyAlignment="1">
      <alignment horizontal="center"/>
    </xf>
    <xf numFmtId="0" fontId="0" fillId="0" borderId="70" xfId="0" applyFill="1" applyBorder="1" applyAlignment="1">
      <alignment horizontal="center"/>
    </xf>
    <xf numFmtId="0" fontId="0" fillId="0" borderId="70" xfId="0" applyFont="1" applyFill="1" applyBorder="1"/>
    <xf numFmtId="0" fontId="0" fillId="0" borderId="11" xfId="0" applyFont="1" applyFill="1" applyBorder="1" applyAlignment="1">
      <alignment horizontal="center" vertical="center"/>
    </xf>
    <xf numFmtId="2" fontId="0" fillId="0" borderId="44" xfId="0" applyNumberFormat="1" applyFont="1" applyFill="1" applyBorder="1" applyAlignment="1">
      <alignment vertical="center"/>
    </xf>
    <xf numFmtId="0" fontId="0" fillId="26" borderId="70" xfId="0" applyFont="1" applyFill="1" applyBorder="1"/>
    <xf numFmtId="0" fontId="0" fillId="26" borderId="70" xfId="0" applyFill="1" applyBorder="1"/>
    <xf numFmtId="0" fontId="3" fillId="26" borderId="70" xfId="81" applyFill="1" applyBorder="1"/>
    <xf numFmtId="0" fontId="29" fillId="26" borderId="70" xfId="0" applyFont="1" applyFill="1" applyBorder="1"/>
    <xf numFmtId="0" fontId="28" fillId="0" borderId="15" xfId="0" applyFont="1" applyFill="1" applyBorder="1" applyAlignment="1">
      <alignment horizontal="left" vertical="center"/>
    </xf>
    <xf numFmtId="0" fontId="0" fillId="0" borderId="28" xfId="0" applyFont="1" applyBorder="1" applyAlignment="1"/>
    <xf numFmtId="0" fontId="0" fillId="0" borderId="29" xfId="0" applyFont="1" applyBorder="1" applyAlignment="1"/>
    <xf numFmtId="49" fontId="28" fillId="0" borderId="17" xfId="0" applyNumberFormat="1" applyFont="1" applyFill="1" applyBorder="1" applyAlignment="1">
      <alignment vertical="center"/>
    </xf>
    <xf numFmtId="49" fontId="0" fillId="0" borderId="11" xfId="0" applyNumberFormat="1" applyFont="1" applyFill="1" applyBorder="1" applyAlignment="1">
      <alignment horizontal="center" vertical="center"/>
    </xf>
    <xf numFmtId="49" fontId="32" fillId="0" borderId="11" xfId="0" applyNumberFormat="1" applyFont="1" applyFill="1" applyBorder="1" applyAlignment="1">
      <alignment vertical="center"/>
    </xf>
    <xf numFmtId="49" fontId="0" fillId="0" borderId="65" xfId="0" applyNumberFormat="1" applyFont="1" applyFill="1" applyBorder="1" applyAlignment="1">
      <alignment horizontal="center" vertical="center"/>
    </xf>
    <xf numFmtId="49" fontId="0" fillId="0" borderId="21" xfId="0" applyNumberFormat="1" applyFont="1" applyFill="1" applyBorder="1" applyAlignment="1">
      <alignment horizontal="center" vertical="center"/>
    </xf>
    <xf numFmtId="49" fontId="0" fillId="0" borderId="22" xfId="0" applyNumberFormat="1" applyFont="1" applyFill="1" applyBorder="1" applyAlignment="1">
      <alignment horizontal="center" vertical="center"/>
    </xf>
    <xf numFmtId="49" fontId="54" fillId="0" borderId="21" xfId="0" applyNumberFormat="1" applyFont="1" applyFill="1" applyBorder="1" applyAlignment="1">
      <alignment horizontal="center" vertical="center"/>
    </xf>
    <xf numFmtId="49" fontId="54" fillId="0" borderId="11" xfId="0" applyNumberFormat="1" applyFont="1" applyFill="1" applyBorder="1" applyAlignment="1">
      <alignment horizontal="center" vertical="center"/>
    </xf>
    <xf numFmtId="49" fontId="54" fillId="0" borderId="22" xfId="0" applyNumberFormat="1" applyFont="1" applyFill="1" applyBorder="1" applyAlignment="1">
      <alignment horizontal="center" vertical="center"/>
    </xf>
    <xf numFmtId="0" fontId="0" fillId="0" borderId="64" xfId="0" applyFont="1" applyBorder="1"/>
    <xf numFmtId="49" fontId="0" fillId="0" borderId="67" xfId="0" applyNumberFormat="1" applyFont="1" applyFill="1" applyBorder="1" applyAlignment="1">
      <alignment horizontal="center" vertical="center"/>
    </xf>
    <xf numFmtId="49" fontId="0" fillId="25" borderId="21" xfId="0" applyNumberFormat="1" applyFont="1" applyFill="1" applyBorder="1" applyAlignment="1">
      <alignment horizontal="center" vertical="center"/>
    </xf>
    <xf numFmtId="49" fontId="0" fillId="25" borderId="11" xfId="0" applyNumberFormat="1" applyFont="1" applyFill="1" applyBorder="1" applyAlignment="1">
      <alignment horizontal="center" vertical="center"/>
    </xf>
    <xf numFmtId="49" fontId="0" fillId="25" borderId="22" xfId="0" applyNumberFormat="1" applyFont="1" applyFill="1" applyBorder="1" applyAlignment="1">
      <alignment horizontal="center" vertical="center"/>
    </xf>
    <xf numFmtId="0" fontId="0" fillId="25" borderId="21" xfId="0" applyNumberFormat="1" applyFont="1" applyFill="1" applyBorder="1" applyAlignment="1">
      <alignment horizontal="center" vertical="center"/>
    </xf>
    <xf numFmtId="0" fontId="0" fillId="25" borderId="11" xfId="0" applyNumberFormat="1" applyFont="1" applyFill="1" applyBorder="1" applyAlignment="1">
      <alignment horizontal="center" vertical="center"/>
    </xf>
    <xf numFmtId="0" fontId="0" fillId="25" borderId="22" xfId="0" applyNumberFormat="1" applyFont="1" applyFill="1" applyBorder="1" applyAlignment="1">
      <alignment horizontal="center" vertical="center"/>
    </xf>
    <xf numFmtId="0" fontId="0" fillId="0" borderId="21" xfId="0" applyNumberFormat="1" applyFont="1" applyFill="1" applyBorder="1" applyAlignment="1">
      <alignment horizontal="center" vertical="center"/>
    </xf>
    <xf numFmtId="0" fontId="0" fillId="0" borderId="11" xfId="0" applyNumberFormat="1" applyFont="1" applyFill="1" applyBorder="1" applyAlignment="1">
      <alignment horizontal="center" vertical="center"/>
    </xf>
    <xf numFmtId="0" fontId="0" fillId="0" borderId="0" xfId="0" applyFill="1" applyBorder="1"/>
    <xf numFmtId="0" fontId="47" fillId="0" borderId="0" xfId="0" applyFont="1" applyFill="1" applyBorder="1"/>
    <xf numFmtId="0" fontId="3" fillId="0" borderId="0" xfId="81" applyFill="1" applyBorder="1"/>
    <xf numFmtId="0" fontId="50" fillId="0" borderId="0" xfId="0" applyFont="1" applyFill="1" applyBorder="1"/>
    <xf numFmtId="49" fontId="46" fillId="0" borderId="45" xfId="0" applyNumberFormat="1" applyFont="1" applyFill="1" applyBorder="1" applyAlignment="1">
      <alignment horizontal="center" vertical="center"/>
    </xf>
    <xf numFmtId="0" fontId="17" fillId="0" borderId="45" xfId="82" applyFont="1" applyFill="1" applyBorder="1" applyAlignment="1">
      <alignment horizontal="center" vertical="center"/>
    </xf>
    <xf numFmtId="0" fontId="29" fillId="26" borderId="71" xfId="80" applyFont="1" applyFill="1" applyBorder="1"/>
    <xf numFmtId="0" fontId="29" fillId="26" borderId="70" xfId="80" applyFont="1" applyFill="1" applyBorder="1"/>
    <xf numFmtId="0" fontId="34" fillId="26" borderId="70" xfId="78" applyFont="1" applyFill="1" applyBorder="1"/>
    <xf numFmtId="0" fontId="29" fillId="26" borderId="70" xfId="0" applyFont="1" applyFill="1" applyBorder="1" applyAlignment="1">
      <alignment vertical="center"/>
    </xf>
    <xf numFmtId="49" fontId="29" fillId="26" borderId="70" xfId="60" applyNumberFormat="1" applyFont="1" applyFill="1" applyBorder="1" applyAlignment="1">
      <alignment vertical="center"/>
    </xf>
    <xf numFmtId="0" fontId="3" fillId="27" borderId="70" xfId="81" applyFill="1" applyBorder="1"/>
    <xf numFmtId="0" fontId="29" fillId="0" borderId="70" xfId="0" applyFont="1" applyFill="1" applyBorder="1" applyAlignment="1">
      <alignment horizontal="center" vertical="center"/>
    </xf>
    <xf numFmtId="0" fontId="29" fillId="0" borderId="70" xfId="0" applyFont="1" applyFill="1" applyBorder="1" applyAlignment="1">
      <alignment vertical="center" wrapText="1"/>
    </xf>
    <xf numFmtId="0" fontId="29" fillId="25" borderId="70" xfId="67" applyFont="1" applyFill="1" applyBorder="1" applyAlignment="1">
      <alignment horizontal="left" vertical="center"/>
    </xf>
    <xf numFmtId="0" fontId="29" fillId="0" borderId="70" xfId="0" applyFont="1" applyFill="1" applyBorder="1" applyAlignment="1">
      <alignment horizontal="center" vertical="center" wrapText="1"/>
    </xf>
    <xf numFmtId="0" fontId="29" fillId="25" borderId="70" xfId="0" applyFont="1" applyFill="1" applyBorder="1" applyAlignment="1">
      <alignment horizontal="center" vertical="center"/>
    </xf>
    <xf numFmtId="0" fontId="29" fillId="25" borderId="70" xfId="67" applyFont="1" applyFill="1" applyBorder="1" applyAlignment="1">
      <alignment horizontal="center" wrapText="1"/>
    </xf>
    <xf numFmtId="49" fontId="29" fillId="25" borderId="70" xfId="0" applyNumberFormat="1" applyFont="1" applyFill="1" applyBorder="1" applyAlignment="1">
      <alignment horizontal="center" vertical="center"/>
    </xf>
    <xf numFmtId="0" fontId="32" fillId="25" borderId="70" xfId="67" applyFont="1" applyFill="1" applyBorder="1"/>
    <xf numFmtId="0" fontId="29" fillId="25" borderId="70" xfId="67" applyFont="1" applyFill="1" applyBorder="1" applyAlignment="1">
      <alignment vertical="center"/>
    </xf>
    <xf numFmtId="49" fontId="29" fillId="25" borderId="70" xfId="60" applyNumberFormat="1" applyFont="1" applyFill="1" applyBorder="1" applyAlignment="1">
      <alignment horizontal="center" vertical="center" wrapText="1"/>
    </xf>
    <xf numFmtId="0" fontId="29" fillId="25" borderId="70" xfId="67" applyFont="1" applyFill="1" applyBorder="1" applyAlignment="1">
      <alignment horizontal="center" vertical="center"/>
    </xf>
    <xf numFmtId="0" fontId="29" fillId="25" borderId="70" xfId="67" applyFont="1" applyFill="1" applyBorder="1" applyAlignment="1">
      <alignment horizontal="center"/>
    </xf>
    <xf numFmtId="0" fontId="29" fillId="25" borderId="70" xfId="67" applyFont="1" applyFill="1" applyBorder="1" applyAlignment="1">
      <alignment horizontal="right" vertical="center" indent="1"/>
    </xf>
    <xf numFmtId="0" fontId="29" fillId="25" borderId="44" xfId="0" applyFont="1" applyFill="1" applyBorder="1" applyAlignment="1">
      <alignment horizontal="center"/>
    </xf>
    <xf numFmtId="0" fontId="32" fillId="25" borderId="70" xfId="67" applyFont="1" applyFill="1" applyBorder="1" applyAlignment="1">
      <alignment horizontal="center"/>
    </xf>
    <xf numFmtId="49" fontId="29" fillId="25" borderId="70" xfId="60" applyNumberFormat="1" applyFont="1" applyFill="1" applyBorder="1" applyAlignment="1">
      <alignment horizontal="left" vertical="center" wrapText="1"/>
    </xf>
    <xf numFmtId="0" fontId="32" fillId="25" borderId="70" xfId="0" applyFont="1" applyFill="1" applyBorder="1" applyAlignment="1">
      <alignment horizontal="center" vertical="center"/>
    </xf>
    <xf numFmtId="0" fontId="32" fillId="0" borderId="70" xfId="85" applyFont="1" applyFill="1" applyBorder="1" applyAlignment="1">
      <alignment horizontal="center" vertical="center"/>
    </xf>
    <xf numFmtId="0" fontId="32" fillId="0" borderId="70" xfId="67" applyFont="1" applyFill="1" applyBorder="1" applyAlignment="1">
      <alignment horizontal="center" wrapText="1"/>
    </xf>
    <xf numFmtId="49" fontId="32" fillId="0" borderId="70" xfId="85" applyNumberFormat="1" applyFont="1" applyFill="1" applyBorder="1" applyAlignment="1">
      <alignment horizontal="center" vertical="center"/>
    </xf>
    <xf numFmtId="0" fontId="32" fillId="0" borderId="70" xfId="67" applyFont="1" applyFill="1" applyBorder="1" applyAlignment="1">
      <alignment vertical="center"/>
    </xf>
    <xf numFmtId="49" fontId="32" fillId="0" borderId="70" xfId="60" applyNumberFormat="1" applyFont="1" applyFill="1" applyBorder="1" applyAlignment="1">
      <alignment horizontal="center" vertical="center" wrapText="1"/>
    </xf>
    <xf numFmtId="0" fontId="32" fillId="0" borderId="70" xfId="67" applyFont="1" applyFill="1" applyBorder="1" applyAlignment="1">
      <alignment horizontal="center" vertical="center"/>
    </xf>
    <xf numFmtId="0" fontId="32" fillId="0" borderId="70" xfId="67" applyFont="1" applyFill="1" applyBorder="1" applyAlignment="1">
      <alignment horizontal="right" vertical="center" indent="1"/>
    </xf>
    <xf numFmtId="0" fontId="32" fillId="0" borderId="44" xfId="85" applyFont="1" applyFill="1" applyBorder="1" applyAlignment="1">
      <alignment horizontal="center"/>
    </xf>
    <xf numFmtId="0" fontId="0" fillId="0" borderId="0" xfId="0" applyFont="1" applyFill="1" applyBorder="1" applyAlignment="1"/>
    <xf numFmtId="49" fontId="29" fillId="0" borderId="70" xfId="60" applyNumberFormat="1" applyFont="1" applyFill="1" applyBorder="1" applyAlignment="1">
      <alignment horizontal="center" vertical="center" wrapText="1"/>
    </xf>
    <xf numFmtId="0" fontId="29" fillId="0" borderId="70" xfId="60" applyNumberFormat="1" applyFont="1" applyFill="1" applyBorder="1" applyAlignment="1">
      <alignment horizontal="center" vertical="center" wrapText="1"/>
    </xf>
    <xf numFmtId="49" fontId="0" fillId="26" borderId="73" xfId="60" applyNumberFormat="1" applyFont="1" applyFill="1" applyBorder="1" applyAlignment="1">
      <alignment vertical="center" wrapText="1"/>
    </xf>
    <xf numFmtId="0" fontId="34" fillId="26" borderId="73" xfId="78" applyFont="1" applyFill="1" applyBorder="1"/>
    <xf numFmtId="0" fontId="0" fillId="0" borderId="70" xfId="0" applyBorder="1"/>
    <xf numFmtId="0" fontId="29" fillId="0" borderId="70" xfId="0" applyFont="1" applyFill="1" applyBorder="1"/>
    <xf numFmtId="0" fontId="0" fillId="0" borderId="70" xfId="0" applyFont="1" applyBorder="1" applyAlignment="1">
      <alignment horizontal="left"/>
    </xf>
    <xf numFmtId="0" fontId="0" fillId="0" borderId="0" xfId="0" applyFill="1"/>
    <xf numFmtId="0" fontId="29" fillId="0" borderId="0" xfId="0" applyFont="1" applyFill="1"/>
    <xf numFmtId="0" fontId="0" fillId="26" borderId="70" xfId="0" applyFont="1" applyFill="1" applyBorder="1" applyAlignment="1">
      <alignment vertical="center" wrapText="1"/>
    </xf>
    <xf numFmtId="0" fontId="0" fillId="26" borderId="44" xfId="0" applyFont="1" applyFill="1" applyBorder="1"/>
    <xf numFmtId="49" fontId="32" fillId="0" borderId="0" xfId="0" applyNumberFormat="1" applyFont="1" applyFill="1" applyBorder="1" applyAlignment="1">
      <alignment vertical="center"/>
    </xf>
    <xf numFmtId="49" fontId="29" fillId="0" borderId="0" xfId="60" applyNumberFormat="1" applyFont="1" applyFill="1" applyBorder="1" applyAlignment="1">
      <alignment horizontal="center" vertical="center" wrapText="1"/>
    </xf>
    <xf numFmtId="0" fontId="29" fillId="0" borderId="0" xfId="60" applyNumberFormat="1" applyFont="1" applyFill="1" applyBorder="1" applyAlignment="1">
      <alignment horizontal="center" vertical="center" wrapText="1"/>
    </xf>
    <xf numFmtId="0" fontId="0" fillId="0" borderId="0" xfId="0" applyNumberFormat="1" applyFont="1" applyFill="1" applyBorder="1" applyAlignment="1">
      <alignment horizontal="center" vertical="center"/>
    </xf>
    <xf numFmtId="2" fontId="0" fillId="0" borderId="0" xfId="0" applyNumberFormat="1" applyFont="1" applyFill="1" applyBorder="1" applyAlignment="1">
      <alignment vertical="center"/>
    </xf>
    <xf numFmtId="49" fontId="54" fillId="0" borderId="0" xfId="0" applyNumberFormat="1" applyFont="1" applyFill="1" applyBorder="1" applyAlignment="1">
      <alignment horizontal="center" vertical="center"/>
    </xf>
    <xf numFmtId="0" fontId="0" fillId="0" borderId="22" xfId="0" applyNumberFormat="1" applyFont="1" applyFill="1" applyBorder="1" applyAlignment="1">
      <alignment horizontal="center" vertical="center"/>
    </xf>
    <xf numFmtId="0" fontId="29" fillId="26" borderId="44" xfId="0" applyFont="1" applyFill="1" applyBorder="1"/>
    <xf numFmtId="0" fontId="29" fillId="26" borderId="74" xfId="0" applyFont="1" applyFill="1" applyBorder="1"/>
    <xf numFmtId="0" fontId="29" fillId="25" borderId="70" xfId="67" applyFont="1" applyFill="1" applyBorder="1" applyAlignment="1">
      <alignment horizontal="left" vertical="center" wrapText="1"/>
    </xf>
    <xf numFmtId="0" fontId="0" fillId="0" borderId="70" xfId="0" applyFont="1" applyFill="1" applyBorder="1" applyAlignment="1">
      <alignment horizontal="center" vertical="center"/>
    </xf>
    <xf numFmtId="49" fontId="0" fillId="0" borderId="70" xfId="0" applyNumberFormat="1" applyFont="1" applyFill="1" applyBorder="1" applyAlignment="1">
      <alignment horizontal="center" vertical="center" wrapText="1"/>
    </xf>
    <xf numFmtId="0" fontId="0" fillId="0" borderId="70" xfId="0" applyFont="1" applyFill="1" applyBorder="1" applyAlignment="1">
      <alignment wrapText="1"/>
    </xf>
    <xf numFmtId="0" fontId="0" fillId="0" borderId="70" xfId="0" applyFont="1" applyFill="1" applyBorder="1" applyAlignment="1">
      <alignment horizontal="center" wrapText="1"/>
    </xf>
    <xf numFmtId="49" fontId="0" fillId="0" borderId="11" xfId="0" applyNumberFormat="1" applyFont="1" applyFill="1" applyBorder="1" applyAlignment="1">
      <alignment horizontal="center" vertical="center" wrapText="1"/>
    </xf>
    <xf numFmtId="1" fontId="0" fillId="0" borderId="11" xfId="0" applyNumberFormat="1" applyFont="1" applyFill="1" applyBorder="1" applyAlignment="1">
      <alignment horizontal="center" vertical="center" wrapText="1"/>
    </xf>
    <xf numFmtId="0" fontId="0" fillId="0" borderId="11" xfId="0" applyNumberFormat="1" applyFont="1" applyFill="1" applyBorder="1" applyAlignment="1">
      <alignment horizontal="center" vertical="center" wrapText="1"/>
    </xf>
    <xf numFmtId="1" fontId="0" fillId="0" borderId="70" xfId="0" applyNumberFormat="1" applyFont="1" applyFill="1" applyBorder="1" applyAlignment="1">
      <alignment horizontal="center" vertical="center" wrapText="1"/>
    </xf>
    <xf numFmtId="0" fontId="0" fillId="0" borderId="70" xfId="0" applyFont="1" applyBorder="1" applyAlignment="1">
      <alignment horizontal="center" vertical="center" wrapText="1"/>
    </xf>
    <xf numFmtId="0" fontId="0" fillId="0" borderId="70" xfId="0" applyFont="1" applyFill="1" applyBorder="1" applyAlignment="1">
      <alignment horizontal="center" vertical="center" wrapText="1"/>
    </xf>
    <xf numFmtId="0" fontId="0" fillId="0" borderId="0" xfId="0" applyFont="1" applyFill="1" applyAlignment="1">
      <alignment horizontal="center" vertical="center"/>
    </xf>
    <xf numFmtId="0" fontId="0" fillId="26" borderId="70" xfId="0" applyFont="1" applyFill="1" applyBorder="1" applyAlignment="1">
      <alignment horizontal="center" vertical="center"/>
    </xf>
    <xf numFmtId="0" fontId="4" fillId="26" borderId="70" xfId="0" applyFont="1" applyFill="1" applyBorder="1" applyAlignment="1">
      <alignment horizontal="center" vertical="center"/>
    </xf>
    <xf numFmtId="0" fontId="0" fillId="0" borderId="0" xfId="0" applyFont="1" applyAlignment="1">
      <alignment horizontal="left"/>
    </xf>
    <xf numFmtId="49" fontId="29" fillId="0" borderId="70" xfId="0" applyNumberFormat="1" applyFont="1" applyFill="1" applyBorder="1" applyAlignment="1">
      <alignment horizontal="center" vertical="center" wrapText="1"/>
    </xf>
    <xf numFmtId="49" fontId="29" fillId="0" borderId="70" xfId="0" applyNumberFormat="1" applyFont="1" applyFill="1" applyBorder="1" applyAlignment="1">
      <alignment horizontal="center" vertical="center"/>
    </xf>
    <xf numFmtId="0" fontId="29" fillId="0" borderId="70" xfId="0" applyFont="1" applyFill="1" applyBorder="1" applyAlignment="1">
      <alignment vertical="center"/>
    </xf>
    <xf numFmtId="49" fontId="29" fillId="0" borderId="70" xfId="60" applyNumberFormat="1" applyFont="1" applyFill="1" applyBorder="1" applyAlignment="1">
      <alignment vertical="center" wrapText="1"/>
    </xf>
    <xf numFmtId="49" fontId="29" fillId="0" borderId="70" xfId="60" applyNumberFormat="1" applyFont="1" applyFill="1" applyBorder="1" applyAlignment="1">
      <alignment horizontal="center" vertical="center"/>
    </xf>
    <xf numFmtId="9" fontId="29" fillId="0" borderId="70" xfId="60" applyNumberFormat="1" applyFont="1" applyFill="1" applyBorder="1" applyAlignment="1">
      <alignment horizontal="center" vertical="center" wrapText="1"/>
    </xf>
    <xf numFmtId="0" fontId="29" fillId="0" borderId="70" xfId="0" applyFont="1" applyBorder="1" applyAlignment="1">
      <alignment wrapText="1"/>
    </xf>
    <xf numFmtId="49" fontId="29" fillId="0" borderId="75" xfId="62" applyNumberFormat="1" applyFont="1" applyFill="1" applyBorder="1" applyAlignment="1">
      <alignment vertical="center" wrapText="1"/>
    </xf>
    <xf numFmtId="49" fontId="29" fillId="0" borderId="76" xfId="62" applyNumberFormat="1" applyFont="1" applyFill="1" applyBorder="1" applyAlignment="1">
      <alignment vertical="center" wrapText="1"/>
    </xf>
    <xf numFmtId="49" fontId="29" fillId="0" borderId="70" xfId="60" applyNumberFormat="1" applyFont="1" applyFill="1" applyBorder="1" applyAlignment="1">
      <alignment vertical="center"/>
    </xf>
    <xf numFmtId="49" fontId="29" fillId="0" borderId="77" xfId="62" applyNumberFormat="1" applyFont="1" applyFill="1" applyBorder="1" applyAlignment="1">
      <alignment vertical="center" wrapText="1"/>
    </xf>
    <xf numFmtId="49" fontId="29" fillId="0" borderId="78" xfId="62" applyNumberFormat="1" applyFont="1" applyFill="1" applyBorder="1" applyAlignment="1">
      <alignment vertical="center" wrapText="1"/>
    </xf>
    <xf numFmtId="49" fontId="29" fillId="0" borderId="79" xfId="62" applyNumberFormat="1" applyFont="1" applyFill="1" applyBorder="1" applyAlignment="1">
      <alignment vertical="center" wrapText="1"/>
    </xf>
    <xf numFmtId="49" fontId="29" fillId="0" borderId="80" xfId="62" applyNumberFormat="1" applyFont="1" applyFill="1" applyBorder="1" applyAlignment="1">
      <alignment vertical="center" wrapText="1"/>
    </xf>
    <xf numFmtId="49" fontId="29" fillId="0" borderId="81" xfId="62" applyNumberFormat="1" applyFont="1" applyFill="1" applyBorder="1" applyAlignment="1">
      <alignment vertical="center" wrapText="1"/>
    </xf>
    <xf numFmtId="49" fontId="29" fillId="0" borderId="70" xfId="0" applyNumberFormat="1" applyFont="1" applyFill="1" applyBorder="1" applyAlignment="1">
      <alignment horizontal="left" vertical="center"/>
    </xf>
    <xf numFmtId="0" fontId="29" fillId="0" borderId="70" xfId="0" applyFont="1" applyFill="1" applyBorder="1" applyAlignment="1">
      <alignment horizontal="left" vertical="center"/>
    </xf>
    <xf numFmtId="49" fontId="29" fillId="0" borderId="71" xfId="60" applyNumberFormat="1" applyFont="1" applyFill="1" applyBorder="1" applyAlignment="1">
      <alignment horizontal="center" vertical="center" wrapText="1"/>
    </xf>
    <xf numFmtId="9" fontId="29" fillId="0" borderId="70" xfId="0" applyNumberFormat="1" applyFont="1" applyFill="1" applyBorder="1" applyAlignment="1">
      <alignment horizontal="center" vertical="center"/>
    </xf>
    <xf numFmtId="9" fontId="29" fillId="0" borderId="70" xfId="0" applyNumberFormat="1" applyFont="1" applyBorder="1" applyAlignment="1">
      <alignment horizontal="center" vertical="center"/>
    </xf>
    <xf numFmtId="9" fontId="29" fillId="0" borderId="0" xfId="0" applyNumberFormat="1" applyFont="1" applyAlignment="1">
      <alignment horizontal="center" vertical="center"/>
    </xf>
    <xf numFmtId="49" fontId="29" fillId="0" borderId="82" xfId="62" applyNumberFormat="1" applyFont="1" applyFill="1" applyBorder="1" applyAlignment="1">
      <alignment vertical="center" wrapText="1"/>
    </xf>
    <xf numFmtId="49" fontId="29" fillId="0" borderId="83" xfId="62" applyNumberFormat="1" applyFont="1" applyFill="1" applyBorder="1" applyAlignment="1">
      <alignment vertical="center" wrapText="1"/>
    </xf>
    <xf numFmtId="49" fontId="29" fillId="0" borderId="70" xfId="62" applyNumberFormat="1" applyFont="1" applyFill="1" applyBorder="1" applyAlignment="1">
      <alignment vertical="center" wrapText="1"/>
    </xf>
    <xf numFmtId="49" fontId="29" fillId="0" borderId="84" xfId="62" applyNumberFormat="1" applyFont="1" applyFill="1" applyBorder="1" applyAlignment="1">
      <alignment vertical="center" wrapText="1"/>
    </xf>
    <xf numFmtId="49" fontId="29" fillId="26" borderId="70" xfId="0" applyNumberFormat="1" applyFont="1" applyFill="1" applyBorder="1" applyAlignment="1">
      <alignment horizontal="center" vertical="center"/>
    </xf>
    <xf numFmtId="49" fontId="28" fillId="27" borderId="50" xfId="60" applyNumberFormat="1" applyFont="1" applyFill="1" applyBorder="1" applyAlignment="1">
      <alignment horizontal="center" vertical="center" wrapText="1"/>
    </xf>
    <xf numFmtId="49" fontId="29" fillId="25" borderId="65" xfId="62" applyNumberFormat="1" applyFont="1" applyFill="1" applyBorder="1" applyAlignment="1">
      <alignment vertical="center"/>
    </xf>
    <xf numFmtId="49" fontId="29" fillId="25" borderId="70" xfId="62" applyNumberFormat="1" applyFont="1" applyFill="1" applyBorder="1" applyAlignment="1">
      <alignment vertical="center"/>
    </xf>
    <xf numFmtId="49" fontId="29" fillId="25" borderId="44" xfId="62" applyNumberFormat="1" applyFont="1" applyFill="1" applyBorder="1" applyAlignment="1">
      <alignment vertical="center"/>
    </xf>
    <xf numFmtId="0" fontId="29" fillId="25" borderId="44" xfId="0" applyFont="1" applyFill="1" applyBorder="1" applyAlignment="1"/>
    <xf numFmtId="49" fontId="29" fillId="0" borderId="0" xfId="58" applyNumberFormat="1" applyFont="1" applyFill="1" applyBorder="1" applyAlignment="1">
      <alignment horizontal="left" vertical="top"/>
    </xf>
    <xf numFmtId="49" fontId="29" fillId="0" borderId="0" xfId="60" applyNumberFormat="1" applyFont="1" applyFill="1" applyBorder="1" applyAlignment="1">
      <alignment horizontal="left" vertical="center"/>
    </xf>
    <xf numFmtId="49" fontId="29" fillId="0" borderId="71" xfId="60" applyNumberFormat="1" applyFont="1" applyFill="1" applyBorder="1" applyAlignment="1">
      <alignment horizontal="left" vertical="center"/>
    </xf>
    <xf numFmtId="49" fontId="29" fillId="0" borderId="0" xfId="62" applyNumberFormat="1" applyFont="1" applyFill="1" applyBorder="1" applyAlignment="1">
      <alignment horizontal="center" vertical="center"/>
    </xf>
    <xf numFmtId="0" fontId="29" fillId="0" borderId="65" xfId="0" applyFont="1" applyFill="1" applyBorder="1" applyAlignment="1"/>
    <xf numFmtId="0" fontId="29" fillId="0" borderId="44" xfId="0" applyFont="1" applyFill="1" applyBorder="1" applyAlignment="1"/>
    <xf numFmtId="0" fontId="29" fillId="0" borderId="44" xfId="0" applyFont="1" applyFill="1" applyBorder="1" applyAlignment="1">
      <alignment vertical="center"/>
    </xf>
    <xf numFmtId="0" fontId="29" fillId="0" borderId="44" xfId="0" applyFont="1" applyBorder="1"/>
    <xf numFmtId="0" fontId="0" fillId="0" borderId="70" xfId="0" applyFont="1" applyFill="1" applyBorder="1" applyAlignment="1">
      <alignment vertical="center" wrapText="1"/>
    </xf>
    <xf numFmtId="0" fontId="29" fillId="0" borderId="0" xfId="0" applyFont="1" applyFill="1" applyAlignment="1">
      <alignment wrapText="1"/>
    </xf>
    <xf numFmtId="49" fontId="29" fillId="0" borderId="87" xfId="61" applyNumberFormat="1" applyFont="1" applyFill="1" applyBorder="1" applyAlignment="1">
      <alignment horizontal="center" vertical="center" wrapText="1"/>
    </xf>
    <xf numFmtId="49" fontId="0" fillId="0" borderId="19" xfId="0" applyNumberFormat="1" applyFont="1" applyFill="1" applyBorder="1" applyAlignment="1">
      <alignment horizontal="center" vertical="center"/>
    </xf>
    <xf numFmtId="49" fontId="29" fillId="0" borderId="19" xfId="62" applyNumberFormat="1" applyFont="1" applyFill="1" applyBorder="1" applyAlignment="1">
      <alignment horizontal="center" vertical="center" wrapText="1" shrinkToFit="1"/>
    </xf>
    <xf numFmtId="49" fontId="29" fillId="0" borderId="19" xfId="59" applyNumberFormat="1" applyFont="1" applyFill="1" applyBorder="1" applyAlignment="1">
      <alignment horizontal="center" vertical="center" wrapText="1"/>
    </xf>
    <xf numFmtId="49" fontId="29" fillId="0" borderId="19" xfId="61" applyNumberFormat="1" applyFont="1" applyFill="1" applyBorder="1" applyAlignment="1">
      <alignment horizontal="center" vertical="center" wrapText="1"/>
    </xf>
    <xf numFmtId="49" fontId="29" fillId="25" borderId="19" xfId="62" applyNumberFormat="1" applyFont="1" applyFill="1" applyBorder="1" applyAlignment="1">
      <alignment horizontal="center" vertical="center" wrapText="1"/>
    </xf>
    <xf numFmtId="9" fontId="29" fillId="25" borderId="12" xfId="86" applyFont="1" applyFill="1" applyBorder="1" applyAlignment="1">
      <alignment horizontal="center" vertical="center" wrapText="1"/>
    </xf>
    <xf numFmtId="49" fontId="0" fillId="0" borderId="19" xfId="62" applyNumberFormat="1" applyFont="1" applyFill="1" applyBorder="1" applyAlignment="1">
      <alignment horizontal="center" vertical="center" wrapText="1" shrinkToFit="1"/>
    </xf>
    <xf numFmtId="0" fontId="29" fillId="0" borderId="70" xfId="57" applyFont="1" applyFill="1" applyBorder="1" applyAlignment="1">
      <alignment horizontal="center"/>
    </xf>
    <xf numFmtId="0" fontId="29" fillId="0" borderId="70" xfId="57" applyFont="1" applyFill="1" applyBorder="1" applyAlignment="1">
      <alignment horizontal="center" wrapText="1"/>
    </xf>
    <xf numFmtId="0" fontId="29" fillId="0" borderId="70" xfId="0" applyFont="1" applyFill="1" applyBorder="1" applyAlignment="1">
      <alignment horizontal="center" wrapText="1"/>
    </xf>
    <xf numFmtId="0" fontId="29" fillId="0" borderId="0" xfId="57" applyFont="1" applyFill="1"/>
    <xf numFmtId="0" fontId="29" fillId="0" borderId="0" xfId="57" applyFont="1" applyFill="1" applyAlignment="1">
      <alignment horizontal="center"/>
    </xf>
    <xf numFmtId="0" fontId="29" fillId="0" borderId="0" xfId="57" applyFont="1" applyFill="1" applyAlignment="1">
      <alignment horizontal="center" wrapText="1"/>
    </xf>
    <xf numFmtId="0" fontId="29" fillId="0" borderId="0" xfId="67" applyFont="1" applyFill="1" applyBorder="1" applyAlignment="1">
      <alignment horizontal="center" vertical="center"/>
    </xf>
    <xf numFmtId="0" fontId="29" fillId="0" borderId="0" xfId="67" applyFont="1" applyFill="1" applyBorder="1" applyAlignment="1">
      <alignment horizontal="center"/>
    </xf>
    <xf numFmtId="0" fontId="29" fillId="0" borderId="0" xfId="67" applyFont="1" applyFill="1" applyBorder="1" applyAlignment="1">
      <alignment horizontal="right" vertical="center" indent="1"/>
    </xf>
    <xf numFmtId="0" fontId="29" fillId="0" borderId="0" xfId="0" applyFont="1" applyFill="1" applyBorder="1" applyAlignment="1">
      <alignment horizontal="center" vertical="center"/>
    </xf>
    <xf numFmtId="0" fontId="32" fillId="0" borderId="0" xfId="67" applyFont="1" applyFill="1" applyBorder="1" applyAlignment="1">
      <alignment vertical="center"/>
    </xf>
    <xf numFmtId="49" fontId="32" fillId="0" borderId="0" xfId="60" applyNumberFormat="1" applyFont="1" applyFill="1" applyBorder="1" applyAlignment="1">
      <alignment horizontal="center" vertical="center" wrapText="1"/>
    </xf>
    <xf numFmtId="0" fontId="32" fillId="0" borderId="0" xfId="67" applyFont="1" applyFill="1" applyBorder="1" applyAlignment="1">
      <alignment horizontal="center" vertical="center"/>
    </xf>
    <xf numFmtId="0" fontId="32" fillId="0" borderId="0" xfId="67" applyFont="1" applyFill="1" applyBorder="1" applyAlignment="1">
      <alignment horizontal="right" vertical="center" indent="1"/>
    </xf>
    <xf numFmtId="0" fontId="32" fillId="0" borderId="0" xfId="85" applyFont="1" applyFill="1" applyBorder="1" applyAlignment="1">
      <alignment horizontal="center"/>
    </xf>
    <xf numFmtId="0" fontId="29" fillId="0" borderId="0" xfId="67" applyFont="1" applyFill="1" applyBorder="1" applyAlignment="1">
      <alignment vertical="center"/>
    </xf>
    <xf numFmtId="0" fontId="29" fillId="0" borderId="0" xfId="0" applyFont="1" applyFill="1" applyBorder="1" applyAlignment="1">
      <alignment horizontal="center"/>
    </xf>
    <xf numFmtId="0" fontId="29" fillId="0" borderId="0" xfId="67" applyFont="1" applyFill="1" applyBorder="1" applyAlignment="1">
      <alignment horizontal="left" vertical="center"/>
    </xf>
    <xf numFmtId="49" fontId="29" fillId="0" borderId="0" xfId="60" applyNumberFormat="1" applyFont="1" applyFill="1" applyBorder="1" applyAlignment="1">
      <alignment horizontal="left" vertical="center" wrapText="1"/>
    </xf>
    <xf numFmtId="0" fontId="29" fillId="0" borderId="70" xfId="57" applyFont="1" applyBorder="1" applyAlignment="1">
      <alignment horizontal="center" vertical="center" wrapText="1"/>
    </xf>
    <xf numFmtId="0" fontId="29" fillId="0" borderId="70" xfId="57" applyFont="1" applyBorder="1" applyAlignment="1">
      <alignment horizontal="center" wrapText="1"/>
    </xf>
    <xf numFmtId="0" fontId="29" fillId="0" borderId="0" xfId="57" applyFont="1" applyAlignment="1">
      <alignment horizontal="center"/>
    </xf>
    <xf numFmtId="0" fontId="0" fillId="26" borderId="44" xfId="0" applyFill="1" applyBorder="1"/>
    <xf numFmtId="0" fontId="0" fillId="25" borderId="70" xfId="0" applyFont="1" applyFill="1" applyBorder="1" applyAlignment="1">
      <alignment horizontal="center" vertical="center"/>
    </xf>
    <xf numFmtId="0" fontId="0" fillId="0" borderId="70" xfId="0" applyFill="1" applyBorder="1" applyAlignment="1">
      <alignment horizontal="center" vertical="center" wrapText="1"/>
    </xf>
    <xf numFmtId="0" fontId="0" fillId="25" borderId="70" xfId="0" applyFill="1" applyBorder="1" applyAlignment="1">
      <alignment horizontal="center" vertical="center"/>
    </xf>
    <xf numFmtId="0" fontId="0" fillId="25" borderId="70" xfId="0" applyFill="1" applyBorder="1" applyAlignment="1">
      <alignment horizontal="center" vertical="center" wrapText="1"/>
    </xf>
    <xf numFmtId="0" fontId="29" fillId="25" borderId="70" xfId="0" applyFont="1" applyFill="1" applyBorder="1" applyAlignment="1">
      <alignment horizontal="center" vertical="center" wrapText="1"/>
    </xf>
    <xf numFmtId="0" fontId="0" fillId="25" borderId="70" xfId="0" applyFont="1" applyFill="1" applyBorder="1" applyAlignment="1">
      <alignment horizontal="center" vertical="center" wrapText="1"/>
    </xf>
    <xf numFmtId="0" fontId="34" fillId="0" borderId="70" xfId="57" applyFont="1" applyFill="1" applyBorder="1" applyAlignment="1">
      <alignment wrapText="1"/>
    </xf>
    <xf numFmtId="0" fontId="34" fillId="0" borderId="0" xfId="57" applyFont="1" applyAlignment="1">
      <alignment horizontal="center"/>
    </xf>
    <xf numFmtId="0" fontId="34" fillId="0" borderId="70" xfId="57" applyFont="1" applyFill="1" applyBorder="1"/>
    <xf numFmtId="0" fontId="34" fillId="0" borderId="70" xfId="57" applyFont="1" applyBorder="1"/>
    <xf numFmtId="0" fontId="34" fillId="0" borderId="0" xfId="57" applyFont="1" applyFill="1"/>
    <xf numFmtId="0" fontId="46" fillId="0" borderId="45" xfId="0" applyFont="1" applyFill="1" applyBorder="1" applyAlignment="1">
      <alignment horizontal="center" vertical="center" wrapText="1"/>
    </xf>
    <xf numFmtId="0" fontId="28" fillId="0" borderId="45" xfId="0" applyFont="1" applyFill="1" applyBorder="1" applyAlignment="1">
      <alignment horizontal="left" vertical="center" wrapText="1"/>
    </xf>
    <xf numFmtId="0" fontId="47" fillId="0" borderId="45" xfId="0" applyFont="1" applyFill="1" applyBorder="1"/>
    <xf numFmtId="0" fontId="48" fillId="0" borderId="45" xfId="0" applyFont="1" applyFill="1" applyBorder="1" applyAlignment="1">
      <alignment horizontal="center" vertical="center" wrapText="1"/>
    </xf>
    <xf numFmtId="49" fontId="48" fillId="0" borderId="45" xfId="60" applyNumberFormat="1" applyFont="1" applyFill="1" applyBorder="1" applyAlignment="1">
      <alignment horizontal="center" vertical="center" wrapText="1"/>
    </xf>
    <xf numFmtId="49" fontId="46" fillId="0" borderId="45" xfId="0" applyNumberFormat="1" applyFont="1" applyFill="1" applyBorder="1" applyAlignment="1">
      <alignment horizontal="center" vertical="center" wrapText="1"/>
    </xf>
    <xf numFmtId="0" fontId="46" fillId="0" borderId="50" xfId="0" applyFont="1" applyFill="1" applyBorder="1" applyAlignment="1">
      <alignment horizontal="center" vertical="center" wrapText="1"/>
    </xf>
    <xf numFmtId="0" fontId="32" fillId="0" borderId="0" xfId="85" applyFont="1" applyFill="1" applyBorder="1" applyAlignment="1">
      <alignment horizontal="center" vertical="center"/>
    </xf>
    <xf numFmtId="0" fontId="32" fillId="0" borderId="0" xfId="67" applyFont="1" applyFill="1" applyBorder="1" applyAlignment="1">
      <alignment horizontal="center" wrapText="1"/>
    </xf>
    <xf numFmtId="49" fontId="32" fillId="0" borderId="0" xfId="85" applyNumberFormat="1" applyFont="1" applyFill="1" applyBorder="1" applyAlignment="1">
      <alignment horizontal="center" vertical="center"/>
    </xf>
    <xf numFmtId="0" fontId="32" fillId="0" borderId="0" xfId="0" applyFont="1" applyFill="1" applyBorder="1" applyAlignment="1">
      <alignment horizontal="center" vertical="center"/>
    </xf>
    <xf numFmtId="49" fontId="29" fillId="0" borderId="0" xfId="0" applyNumberFormat="1" applyFont="1" applyFill="1" applyBorder="1" applyAlignment="1">
      <alignment horizontal="center" vertical="center"/>
    </xf>
    <xf numFmtId="0" fontId="32" fillId="0" borderId="0" xfId="67" applyFont="1" applyFill="1" applyBorder="1"/>
    <xf numFmtId="0" fontId="43" fillId="0" borderId="87" xfId="0" applyFont="1" applyBorder="1" applyAlignment="1">
      <alignment horizontal="center" vertical="center" wrapText="1"/>
    </xf>
    <xf numFmtId="0" fontId="43" fillId="0" borderId="19" xfId="0" applyFont="1" applyBorder="1" applyAlignment="1">
      <alignment horizontal="center" vertical="center" wrapText="1"/>
    </xf>
    <xf numFmtId="0" fontId="43" fillId="0" borderId="23" xfId="0" applyFont="1" applyBorder="1" applyAlignment="1">
      <alignment horizontal="center" vertical="center" wrapText="1"/>
    </xf>
    <xf numFmtId="0" fontId="43" fillId="0" borderId="64" xfId="0" applyFont="1" applyBorder="1" applyAlignment="1">
      <alignment horizontal="center" vertical="center" wrapText="1"/>
    </xf>
    <xf numFmtId="0" fontId="43" fillId="0" borderId="11" xfId="0" applyFont="1" applyBorder="1" applyAlignment="1">
      <alignment horizontal="center" vertical="center" wrapText="1"/>
    </xf>
    <xf numFmtId="0" fontId="35" fillId="0" borderId="11" xfId="0" applyFont="1" applyBorder="1" applyAlignment="1">
      <alignment horizontal="center" vertical="center" wrapText="1"/>
    </xf>
    <xf numFmtId="0" fontId="43" fillId="0" borderId="65" xfId="0" applyFont="1" applyBorder="1" applyAlignment="1">
      <alignment horizontal="center" vertical="center" wrapText="1"/>
    </xf>
    <xf numFmtId="0" fontId="42" fillId="0" borderId="13" xfId="0" applyFont="1" applyFill="1" applyBorder="1" applyAlignment="1">
      <alignment horizontal="center" vertical="center" wrapText="1" shrinkToFit="1"/>
    </xf>
    <xf numFmtId="0" fontId="0" fillId="0" borderId="11" xfId="0" applyFont="1" applyBorder="1" applyAlignment="1" applyProtection="1">
      <alignment horizontal="center"/>
    </xf>
    <xf numFmtId="0" fontId="0" fillId="0" borderId="11" xfId="0" applyFont="1" applyBorder="1" applyAlignment="1">
      <alignment horizontal="center"/>
    </xf>
    <xf numFmtId="0" fontId="34" fillId="0" borderId="70" xfId="0" applyFont="1" applyBorder="1"/>
    <xf numFmtId="49" fontId="29" fillId="25" borderId="70" xfId="59" applyNumberFormat="1" applyFont="1" applyFill="1" applyBorder="1" applyAlignment="1">
      <alignment horizontal="left" vertical="center"/>
    </xf>
    <xf numFmtId="0" fontId="0" fillId="25" borderId="70" xfId="0" applyFont="1" applyFill="1" applyBorder="1" applyAlignment="1">
      <alignment horizontal="left" vertical="center"/>
    </xf>
    <xf numFmtId="0" fontId="0" fillId="0" borderId="70" xfId="0" applyFont="1" applyBorder="1" applyAlignment="1" applyProtection="1">
      <alignment horizontal="center"/>
    </xf>
    <xf numFmtId="0" fontId="28" fillId="0" borderId="0" xfId="0" applyFont="1" applyFill="1" applyBorder="1" applyAlignment="1">
      <alignment horizontal="center" vertical="center" textRotation="90"/>
    </xf>
    <xf numFmtId="0" fontId="0" fillId="0" borderId="0" xfId="0" applyFont="1" applyFill="1" applyBorder="1" applyAlignment="1">
      <alignment horizontal="center"/>
    </xf>
    <xf numFmtId="0" fontId="28" fillId="0" borderId="0" xfId="0" applyFont="1" applyFill="1" applyBorder="1" applyAlignment="1">
      <alignment horizontal="center" vertical="center"/>
    </xf>
    <xf numFmtId="49" fontId="28" fillId="0" borderId="0" xfId="0" applyNumberFormat="1" applyFont="1" applyFill="1" applyBorder="1" applyAlignment="1">
      <alignment horizontal="center" vertical="center" wrapText="1"/>
    </xf>
    <xf numFmtId="0" fontId="0" fillId="0" borderId="0" xfId="0" applyFont="1" applyFill="1" applyBorder="1" applyAlignment="1">
      <alignment horizontal="center" vertical="center" wrapText="1"/>
    </xf>
    <xf numFmtId="49" fontId="56" fillId="0" borderId="0" xfId="0" applyNumberFormat="1" applyFont="1" applyFill="1" applyBorder="1" applyAlignment="1">
      <alignment vertical="center"/>
    </xf>
    <xf numFmtId="49" fontId="28" fillId="0" borderId="0" xfId="0" applyNumberFormat="1" applyFont="1" applyFill="1" applyBorder="1" applyAlignment="1">
      <alignment horizontal="center" vertical="center"/>
    </xf>
    <xf numFmtId="0" fontId="28" fillId="0" borderId="18" xfId="0" applyFont="1" applyFill="1" applyBorder="1" applyAlignment="1">
      <alignment horizontal="left" vertical="center"/>
    </xf>
    <xf numFmtId="0" fontId="28" fillId="0" borderId="89" xfId="0" applyFont="1" applyFill="1" applyBorder="1" applyAlignment="1">
      <alignment horizontal="left" vertical="center"/>
    </xf>
    <xf numFmtId="49" fontId="28" fillId="0" borderId="91" xfId="0" applyNumberFormat="1" applyFont="1" applyFill="1" applyBorder="1" applyAlignment="1">
      <alignment vertical="center"/>
    </xf>
    <xf numFmtId="0" fontId="28" fillId="0" borderId="14" xfId="0" applyFont="1" applyFill="1" applyBorder="1" applyAlignment="1">
      <alignment horizontal="center" vertical="center" wrapText="1"/>
    </xf>
    <xf numFmtId="0" fontId="28" fillId="25" borderId="12" xfId="0" applyFont="1" applyFill="1" applyBorder="1" applyAlignment="1">
      <alignment horizontal="center" vertical="center" wrapText="1"/>
    </xf>
    <xf numFmtId="0" fontId="28" fillId="25" borderId="35" xfId="0" applyFont="1" applyFill="1" applyBorder="1" applyAlignment="1">
      <alignment horizontal="center" vertical="center" wrapText="1"/>
    </xf>
    <xf numFmtId="0" fontId="0" fillId="0" borderId="70" xfId="0" applyBorder="1" applyAlignment="1">
      <alignment horizontal="center" vertical="center"/>
    </xf>
    <xf numFmtId="0" fontId="0" fillId="0" borderId="11" xfId="0" applyFont="1" applyBorder="1" applyAlignment="1">
      <alignment horizontal="center" vertical="center"/>
    </xf>
    <xf numFmtId="0" fontId="0" fillId="0" borderId="11" xfId="0" applyFill="1" applyBorder="1" applyAlignment="1">
      <alignment horizontal="center" vertical="center"/>
    </xf>
    <xf numFmtId="0" fontId="0" fillId="25" borderId="11" xfId="0" applyFill="1" applyBorder="1" applyAlignment="1">
      <alignment horizontal="center" vertical="center" wrapText="1"/>
    </xf>
    <xf numFmtId="0" fontId="0" fillId="25" borderId="11" xfId="0" applyFont="1" applyFill="1" applyBorder="1" applyAlignment="1">
      <alignment horizontal="center" vertical="center" wrapText="1"/>
    </xf>
    <xf numFmtId="0" fontId="0" fillId="0" borderId="11" xfId="0" applyFill="1" applyBorder="1" applyAlignment="1">
      <alignment horizontal="center" vertical="center" wrapText="1"/>
    </xf>
    <xf numFmtId="0" fontId="0" fillId="0" borderId="11" xfId="0" applyBorder="1" applyAlignment="1">
      <alignment horizontal="center" vertical="center"/>
    </xf>
    <xf numFmtId="0" fontId="0" fillId="0" borderId="11" xfId="0" applyFont="1" applyBorder="1" applyAlignment="1">
      <alignment horizontal="center" vertical="center" wrapText="1"/>
    </xf>
    <xf numFmtId="0" fontId="0" fillId="0" borderId="70" xfId="0" applyFill="1" applyBorder="1" applyAlignment="1">
      <alignment horizontal="center" wrapText="1"/>
    </xf>
    <xf numFmtId="0" fontId="0" fillId="0" borderId="11" xfId="0" applyBorder="1" applyAlignment="1">
      <alignment horizontal="center" vertical="center" wrapText="1"/>
    </xf>
    <xf numFmtId="0" fontId="0" fillId="0" borderId="70" xfId="0" applyFill="1" applyBorder="1" applyAlignment="1">
      <alignment horizontal="center" vertical="center"/>
    </xf>
    <xf numFmtId="0" fontId="0" fillId="0" borderId="70" xfId="0" applyBorder="1" applyAlignment="1">
      <alignment horizontal="center" vertical="center" wrapText="1"/>
    </xf>
    <xf numFmtId="0" fontId="0" fillId="0" borderId="11" xfId="0" applyFont="1" applyFill="1" applyBorder="1" applyAlignment="1">
      <alignment horizontal="center" vertical="center" wrapText="1"/>
    </xf>
    <xf numFmtId="0" fontId="0" fillId="0" borderId="70" xfId="0" applyBorder="1" applyAlignment="1">
      <alignment horizontal="center"/>
    </xf>
    <xf numFmtId="0" fontId="0" fillId="0" borderId="70" xfId="0" applyBorder="1" applyAlignment="1">
      <alignment horizontal="center" wrapText="1"/>
    </xf>
    <xf numFmtId="0" fontId="0" fillId="25" borderId="11" xfId="0" applyFont="1" applyFill="1" applyBorder="1" applyAlignment="1">
      <alignment horizontal="center"/>
    </xf>
    <xf numFmtId="0" fontId="0" fillId="0" borderId="11" xfId="0" applyFont="1" applyFill="1" applyBorder="1" applyAlignment="1">
      <alignment horizontal="center"/>
    </xf>
    <xf numFmtId="0" fontId="0" fillId="25" borderId="11" xfId="0" applyFont="1" applyFill="1" applyBorder="1" applyAlignment="1">
      <alignment vertical="center" wrapText="1"/>
    </xf>
    <xf numFmtId="0" fontId="0" fillId="25" borderId="70" xfId="0" applyFont="1" applyFill="1" applyBorder="1" applyAlignment="1">
      <alignment horizontal="center"/>
    </xf>
    <xf numFmtId="0" fontId="0" fillId="25" borderId="70" xfId="0" applyFont="1" applyFill="1" applyBorder="1" applyAlignment="1">
      <alignment vertical="center" wrapText="1"/>
    </xf>
    <xf numFmtId="0" fontId="28" fillId="26" borderId="45" xfId="0" applyFont="1" applyFill="1" applyBorder="1" applyAlignment="1">
      <alignment vertical="center" wrapText="1"/>
    </xf>
    <xf numFmtId="0" fontId="0" fillId="0" borderId="93" xfId="0" applyFont="1" applyBorder="1" applyAlignment="1"/>
    <xf numFmtId="0" fontId="0" fillId="0" borderId="40" xfId="0" applyFont="1" applyBorder="1" applyAlignment="1"/>
    <xf numFmtId="0" fontId="0" fillId="25" borderId="70" xfId="0" applyFont="1" applyFill="1" applyBorder="1" applyAlignment="1">
      <alignment horizontal="left"/>
    </xf>
    <xf numFmtId="0" fontId="28" fillId="0" borderId="70" xfId="0" applyFont="1" applyFill="1" applyBorder="1" applyAlignment="1">
      <alignment vertical="top" wrapText="1"/>
    </xf>
    <xf numFmtId="0" fontId="0" fillId="25" borderId="70" xfId="0" applyFont="1" applyFill="1" applyBorder="1" applyAlignment="1"/>
    <xf numFmtId="0" fontId="0" fillId="0" borderId="25" xfId="0" applyFont="1" applyBorder="1" applyAlignment="1"/>
    <xf numFmtId="0" fontId="0" fillId="26" borderId="11" xfId="0" applyFont="1" applyFill="1" applyBorder="1" applyAlignment="1" applyProtection="1">
      <alignment horizontal="center"/>
    </xf>
    <xf numFmtId="0" fontId="0" fillId="0" borderId="0" xfId="0" applyFont="1" applyBorder="1" applyAlignment="1">
      <alignment wrapText="1"/>
    </xf>
    <xf numFmtId="49" fontId="28" fillId="0" borderId="0" xfId="0" applyNumberFormat="1" applyFont="1" applyAlignment="1">
      <alignment vertical="top"/>
    </xf>
    <xf numFmtId="0" fontId="0" fillId="0" borderId="70" xfId="0" applyFont="1" applyFill="1" applyBorder="1" applyAlignment="1">
      <alignment vertical="top" wrapText="1"/>
    </xf>
    <xf numFmtId="0" fontId="59" fillId="0" borderId="70" xfId="84" applyFont="1" applyBorder="1" applyAlignment="1">
      <alignment vertical="top"/>
    </xf>
    <xf numFmtId="0" fontId="53" fillId="0" borderId="70" xfId="84" applyBorder="1" applyAlignment="1">
      <alignment vertical="top" wrapText="1"/>
    </xf>
    <xf numFmtId="0" fontId="0" fillId="0" borderId="70" xfId="0" applyFill="1" applyBorder="1" applyAlignment="1">
      <alignment vertical="top" wrapText="1"/>
    </xf>
    <xf numFmtId="0" fontId="0" fillId="0" borderId="70" xfId="0" applyNumberFormat="1" applyFont="1" applyFill="1" applyBorder="1" applyAlignment="1">
      <alignment vertical="top" wrapText="1"/>
    </xf>
    <xf numFmtId="0" fontId="0" fillId="0" borderId="71" xfId="0" applyFont="1" applyFill="1" applyBorder="1" applyAlignment="1">
      <alignment vertical="top" wrapText="1"/>
    </xf>
    <xf numFmtId="49" fontId="40" fillId="26" borderId="25" xfId="0" applyNumberFormat="1" applyFont="1" applyFill="1" applyBorder="1" applyAlignment="1">
      <alignment horizontal="center" vertical="center" wrapText="1"/>
    </xf>
    <xf numFmtId="0" fontId="34" fillId="0" borderId="44" xfId="0" applyFont="1" applyBorder="1" applyAlignment="1">
      <alignment wrapText="1"/>
    </xf>
    <xf numFmtId="0" fontId="41" fillId="0" borderId="0" xfId="0" applyFont="1" applyFill="1" applyBorder="1" applyAlignment="1">
      <alignment horizontal="center" vertical="center" wrapText="1" shrinkToFit="1"/>
    </xf>
    <xf numFmtId="0" fontId="34" fillId="0" borderId="0" xfId="0" applyFont="1" applyBorder="1" applyAlignment="1">
      <alignment wrapText="1"/>
    </xf>
    <xf numFmtId="0" fontId="28" fillId="0" borderId="72" xfId="67" applyFont="1" applyFill="1" applyBorder="1" applyAlignment="1">
      <alignment horizontal="center" vertical="center" wrapText="1" shrinkToFit="1"/>
    </xf>
    <xf numFmtId="0" fontId="28" fillId="0" borderId="0" xfId="67" applyFont="1" applyFill="1" applyBorder="1" applyAlignment="1">
      <alignment horizontal="center" vertical="center" wrapText="1" shrinkToFit="1"/>
    </xf>
    <xf numFmtId="0" fontId="46" fillId="0" borderId="0" xfId="0" applyFont="1" applyFill="1" applyBorder="1" applyAlignment="1">
      <alignment horizontal="center" vertical="center" wrapText="1"/>
    </xf>
    <xf numFmtId="0" fontId="43" fillId="26" borderId="94" xfId="0" applyFont="1" applyFill="1" applyBorder="1" applyAlignment="1">
      <alignment horizontal="center" vertical="center" wrapText="1"/>
    </xf>
    <xf numFmtId="0" fontId="0" fillId="26" borderId="70" xfId="0" applyFont="1" applyFill="1" applyBorder="1" applyAlignment="1" applyProtection="1">
      <alignment horizontal="center"/>
    </xf>
    <xf numFmtId="0" fontId="0" fillId="27" borderId="70" xfId="0" applyFont="1" applyFill="1" applyBorder="1" applyAlignment="1">
      <alignment vertical="center" wrapText="1"/>
    </xf>
    <xf numFmtId="0" fontId="0" fillId="26" borderId="70" xfId="0" applyFont="1" applyFill="1" applyBorder="1" applyAlignment="1">
      <alignment wrapText="1"/>
    </xf>
    <xf numFmtId="0" fontId="0" fillId="0" borderId="0" xfId="0" applyBorder="1" applyAlignment="1"/>
    <xf numFmtId="0" fontId="45" fillId="26" borderId="60" xfId="81" applyFont="1" applyFill="1" applyBorder="1" applyAlignment="1">
      <alignment vertical="center" wrapText="1"/>
    </xf>
    <xf numFmtId="0" fontId="45" fillId="26" borderId="60" xfId="81" applyFont="1" applyFill="1" applyBorder="1" applyAlignment="1">
      <alignment horizontal="center" vertical="center" wrapText="1"/>
    </xf>
    <xf numFmtId="0" fontId="0" fillId="0" borderId="0" xfId="0" applyAlignment="1">
      <alignment horizontal="right"/>
    </xf>
    <xf numFmtId="0" fontId="28" fillId="26" borderId="50" xfId="0" applyFont="1" applyFill="1" applyBorder="1" applyAlignment="1">
      <alignment horizontal="right" vertical="center" wrapText="1"/>
    </xf>
    <xf numFmtId="0" fontId="0" fillId="0" borderId="0" xfId="0" applyFill="1" applyBorder="1" applyAlignment="1">
      <alignment horizontal="right"/>
    </xf>
    <xf numFmtId="0" fontId="3" fillId="26" borderId="95" xfId="81" applyFill="1" applyBorder="1"/>
    <xf numFmtId="0" fontId="0" fillId="0" borderId="0" xfId="81" applyFont="1" applyAlignment="1">
      <alignment wrapText="1"/>
    </xf>
    <xf numFmtId="0" fontId="45" fillId="26" borderId="95" xfId="81" applyFont="1" applyFill="1" applyBorder="1" applyAlignment="1">
      <alignment horizontal="center" vertical="center" wrapText="1"/>
    </xf>
    <xf numFmtId="0" fontId="45" fillId="26" borderId="95" xfId="81" applyFont="1" applyFill="1" applyBorder="1"/>
    <xf numFmtId="0" fontId="45" fillId="26" borderId="95" xfId="81" applyFont="1" applyFill="1" applyBorder="1" applyAlignment="1">
      <alignment wrapText="1"/>
    </xf>
    <xf numFmtId="3" fontId="45" fillId="26" borderId="95" xfId="81" applyNumberFormat="1" applyFont="1" applyFill="1" applyBorder="1"/>
    <xf numFmtId="0" fontId="29" fillId="0" borderId="95" xfId="57" applyFont="1" applyFill="1" applyBorder="1" applyAlignment="1">
      <alignment horizontal="center" wrapText="1"/>
    </xf>
    <xf numFmtId="0" fontId="29" fillId="0" borderId="95" xfId="57" applyFont="1" applyFill="1" applyBorder="1" applyAlignment="1">
      <alignment horizontal="center"/>
    </xf>
    <xf numFmtId="0" fontId="0" fillId="0" borderId="54" xfId="0" applyFont="1" applyBorder="1" applyAlignment="1">
      <alignment horizontal="center" vertical="center" wrapText="1"/>
    </xf>
    <xf numFmtId="0" fontId="0" fillId="26" borderId="60" xfId="0" applyFont="1" applyFill="1" applyBorder="1" applyAlignment="1">
      <alignment horizontal="center" vertical="center"/>
    </xf>
    <xf numFmtId="0" fontId="4" fillId="26" borderId="60" xfId="0" applyFont="1" applyFill="1" applyBorder="1" applyAlignment="1">
      <alignment horizontal="center" vertical="center"/>
    </xf>
    <xf numFmtId="49" fontId="28" fillId="26" borderId="57" xfId="0" applyNumberFormat="1" applyFont="1" applyFill="1" applyBorder="1" applyAlignment="1">
      <alignment horizontal="center" vertical="center" wrapText="1"/>
    </xf>
    <xf numFmtId="49" fontId="28" fillId="26" borderId="31" xfId="0" applyNumberFormat="1" applyFont="1" applyFill="1" applyBorder="1" applyAlignment="1">
      <alignment horizontal="center" vertical="center" wrapText="1"/>
    </xf>
    <xf numFmtId="49" fontId="28" fillId="26" borderId="54" xfId="0" applyNumberFormat="1" applyFont="1" applyFill="1" applyBorder="1" applyAlignment="1">
      <alignment horizontal="center" vertical="center" wrapText="1"/>
    </xf>
    <xf numFmtId="49" fontId="28" fillId="27" borderId="57" xfId="0" applyNumberFormat="1" applyFont="1" applyFill="1" applyBorder="1" applyAlignment="1">
      <alignment horizontal="center" vertical="center" wrapText="1"/>
    </xf>
    <xf numFmtId="49" fontId="17" fillId="26" borderId="57" xfId="0" applyNumberFormat="1" applyFont="1" applyFill="1" applyBorder="1" applyAlignment="1">
      <alignment horizontal="center" vertical="center" wrapText="1"/>
    </xf>
    <xf numFmtId="0" fontId="0" fillId="26" borderId="70" xfId="0" applyFont="1" applyFill="1" applyBorder="1" applyAlignment="1">
      <alignment horizontal="center" vertical="center" wrapText="1"/>
    </xf>
    <xf numFmtId="0" fontId="0" fillId="0" borderId="0" xfId="0" applyFont="1" applyAlignment="1">
      <alignment horizontal="center" vertical="center" wrapText="1"/>
    </xf>
    <xf numFmtId="0" fontId="0" fillId="26" borderId="55" xfId="0" applyFont="1" applyFill="1" applyBorder="1" applyAlignment="1">
      <alignment horizontal="center" vertical="center" wrapText="1"/>
    </xf>
    <xf numFmtId="0" fontId="4" fillId="26" borderId="60" xfId="0" applyFont="1" applyFill="1" applyBorder="1" applyAlignment="1">
      <alignment horizontal="center" vertical="center" wrapText="1"/>
    </xf>
    <xf numFmtId="0" fontId="4" fillId="26" borderId="70" xfId="0" applyFont="1" applyFill="1" applyBorder="1" applyAlignment="1">
      <alignment horizontal="center" vertical="center" wrapText="1"/>
    </xf>
    <xf numFmtId="0" fontId="34" fillId="26" borderId="70" xfId="0" applyFont="1" applyFill="1" applyBorder="1" applyAlignment="1">
      <alignment horizontal="center" vertical="center"/>
    </xf>
    <xf numFmtId="0" fontId="4" fillId="26" borderId="95" xfId="0" applyFont="1" applyFill="1" applyBorder="1" applyAlignment="1">
      <alignment horizontal="center" vertical="center" wrapText="1"/>
    </xf>
    <xf numFmtId="0" fontId="4" fillId="26" borderId="60" xfId="0" applyNumberFormat="1" applyFont="1" applyFill="1" applyBorder="1" applyAlignment="1">
      <alignment horizontal="center" vertical="center" wrapText="1"/>
    </xf>
    <xf numFmtId="0" fontId="0" fillId="27" borderId="70" xfId="0" applyFill="1" applyBorder="1" applyAlignment="1">
      <alignment horizontal="center" vertical="center"/>
    </xf>
    <xf numFmtId="0" fontId="0" fillId="26" borderId="70" xfId="0" applyFill="1" applyBorder="1" applyAlignment="1">
      <alignment horizontal="center" vertical="center"/>
    </xf>
    <xf numFmtId="0" fontId="0" fillId="0" borderId="0" xfId="0" applyAlignment="1">
      <alignment horizontal="center" vertical="center"/>
    </xf>
    <xf numFmtId="0" fontId="0" fillId="0" borderId="0" xfId="0" applyBorder="1" applyAlignment="1">
      <alignment horizontal="center" vertical="center"/>
    </xf>
    <xf numFmtId="0" fontId="0" fillId="0" borderId="49" xfId="0" applyBorder="1" applyAlignment="1">
      <alignment horizontal="center" vertical="center"/>
    </xf>
    <xf numFmtId="0" fontId="36" fillId="0" borderId="70" xfId="0" applyFont="1" applyFill="1" applyBorder="1" applyAlignment="1">
      <alignment horizontal="center" vertical="center" wrapText="1"/>
    </xf>
    <xf numFmtId="0" fontId="36" fillId="0" borderId="0" xfId="0" applyFont="1" applyFill="1" applyBorder="1"/>
    <xf numFmtId="0" fontId="36" fillId="0" borderId="0" xfId="0" applyFont="1"/>
    <xf numFmtId="0" fontId="0" fillId="26" borderId="70" xfId="0" applyFill="1" applyBorder="1" applyAlignment="1">
      <alignment horizontal="center" vertical="center" wrapText="1"/>
    </xf>
    <xf numFmtId="0" fontId="0" fillId="0" borderId="0" xfId="0" applyAlignment="1">
      <alignment horizontal="center" vertical="center" wrapText="1"/>
    </xf>
    <xf numFmtId="0" fontId="0" fillId="0" borderId="0" xfId="0" applyFill="1" applyBorder="1" applyAlignment="1">
      <alignment horizontal="center" vertical="center" wrapText="1"/>
    </xf>
    <xf numFmtId="1" fontId="0" fillId="27" borderId="70" xfId="83" applyNumberFormat="1" applyFont="1" applyFill="1" applyBorder="1" applyAlignment="1">
      <alignment horizontal="center"/>
    </xf>
    <xf numFmtId="0" fontId="29" fillId="26" borderId="95" xfId="0" applyFont="1" applyFill="1" applyBorder="1" applyAlignment="1">
      <alignment wrapText="1"/>
    </xf>
    <xf numFmtId="0" fontId="29" fillId="26" borderId="95" xfId="0" applyFont="1" applyFill="1" applyBorder="1"/>
    <xf numFmtId="0" fontId="34" fillId="26" borderId="95" xfId="78" applyFont="1" applyFill="1" applyBorder="1" applyAlignment="1">
      <alignment wrapText="1"/>
    </xf>
    <xf numFmtId="0" fontId="36" fillId="0" borderId="0" xfId="0" applyFont="1" applyBorder="1" applyAlignment="1"/>
    <xf numFmtId="0" fontId="0" fillId="26" borderId="11" xfId="80" applyFont="1" applyFill="1" applyBorder="1"/>
    <xf numFmtId="0" fontId="0" fillId="26" borderId="71" xfId="80" applyFont="1" applyFill="1" applyBorder="1"/>
    <xf numFmtId="0" fontId="0" fillId="26" borderId="70" xfId="80" applyFont="1" applyFill="1" applyBorder="1"/>
    <xf numFmtId="49" fontId="0" fillId="26" borderId="70" xfId="60" applyNumberFormat="1" applyFont="1" applyFill="1" applyBorder="1" applyAlignment="1">
      <alignment vertical="center" wrapText="1"/>
    </xf>
    <xf numFmtId="0" fontId="34" fillId="0" borderId="0" xfId="79" applyFont="1" applyFill="1" applyBorder="1" applyAlignment="1">
      <alignment wrapText="1"/>
    </xf>
    <xf numFmtId="0" fontId="29" fillId="0" borderId="0" xfId="0" applyFont="1" applyBorder="1" applyAlignment="1">
      <alignment wrapText="1"/>
    </xf>
    <xf numFmtId="0" fontId="29" fillId="25" borderId="70" xfId="67" applyFont="1" applyFill="1" applyBorder="1" applyAlignment="1">
      <alignment horizontal="center" vertical="center" wrapText="1"/>
    </xf>
    <xf numFmtId="0" fontId="32" fillId="0" borderId="70" xfId="67" applyFont="1" applyFill="1" applyBorder="1" applyAlignment="1">
      <alignment horizontal="center" vertical="center" wrapText="1"/>
    </xf>
    <xf numFmtId="49" fontId="28" fillId="29" borderId="95" xfId="60" applyNumberFormat="1" applyFont="1" applyFill="1" applyBorder="1" applyAlignment="1">
      <alignment horizontal="center" vertical="center" wrapText="1"/>
    </xf>
    <xf numFmtId="49" fontId="28" fillId="26" borderId="95" xfId="60" applyNumberFormat="1" applyFont="1" applyFill="1" applyBorder="1" applyAlignment="1">
      <alignment horizontal="center" vertical="center" wrapText="1"/>
    </xf>
    <xf numFmtId="0" fontId="47" fillId="0" borderId="24" xfId="0" applyFont="1" applyFill="1" applyBorder="1" applyAlignment="1"/>
    <xf numFmtId="0" fontId="47" fillId="0" borderId="0" xfId="0" applyFont="1" applyFill="1" applyBorder="1" applyAlignment="1"/>
    <xf numFmtId="0" fontId="47" fillId="0" borderId="34" xfId="0" applyFont="1" applyFill="1" applyBorder="1"/>
    <xf numFmtId="49" fontId="0" fillId="26" borderId="60" xfId="0" applyNumberFormat="1" applyFont="1" applyFill="1" applyBorder="1" applyAlignment="1">
      <alignment horizontal="center" vertical="center" wrapText="1"/>
    </xf>
    <xf numFmtId="49" fontId="45" fillId="26" borderId="60" xfId="60" applyNumberFormat="1" applyFont="1" applyFill="1" applyBorder="1" applyAlignment="1">
      <alignment horizontal="center" vertical="center"/>
    </xf>
    <xf numFmtId="49" fontId="0" fillId="26" borderId="60" xfId="60" applyNumberFormat="1" applyFont="1" applyFill="1" applyBorder="1" applyAlignment="1">
      <alignment horizontal="center" vertical="center"/>
    </xf>
    <xf numFmtId="49" fontId="0" fillId="26" borderId="60" xfId="60" applyNumberFormat="1" applyFont="1" applyFill="1" applyBorder="1" applyAlignment="1">
      <alignment horizontal="center" vertical="center" wrapText="1"/>
    </xf>
    <xf numFmtId="49" fontId="4" fillId="26" borderId="60" xfId="60" applyNumberFormat="1" applyFont="1" applyFill="1" applyBorder="1" applyAlignment="1">
      <alignment horizontal="center" vertical="center" wrapText="1"/>
    </xf>
    <xf numFmtId="49" fontId="4" fillId="26" borderId="95" xfId="60" applyNumberFormat="1" applyFont="1" applyFill="1" applyBorder="1" applyAlignment="1">
      <alignment horizontal="center" vertical="center" wrapText="1"/>
    </xf>
    <xf numFmtId="0" fontId="0" fillId="26" borderId="95" xfId="0" applyFont="1" applyFill="1" applyBorder="1" applyAlignment="1">
      <alignment horizontal="center"/>
    </xf>
    <xf numFmtId="0" fontId="0" fillId="26" borderId="60" xfId="0" applyFont="1" applyFill="1" applyBorder="1" applyAlignment="1">
      <alignment horizontal="left"/>
    </xf>
    <xf numFmtId="0" fontId="0" fillId="30" borderId="95" xfId="0" applyFont="1" applyFill="1" applyBorder="1" applyAlignment="1">
      <alignment horizontal="center"/>
    </xf>
    <xf numFmtId="0" fontId="0" fillId="30" borderId="95" xfId="0" applyFont="1" applyFill="1" applyBorder="1"/>
    <xf numFmtId="0" fontId="0" fillId="30" borderId="95" xfId="0" applyFont="1" applyFill="1" applyBorder="1" applyAlignment="1">
      <alignment vertical="center" wrapText="1"/>
    </xf>
    <xf numFmtId="0" fontId="28" fillId="28" borderId="60" xfId="0" applyFont="1" applyFill="1" applyBorder="1" applyAlignment="1">
      <alignment vertical="top" wrapText="1"/>
    </xf>
    <xf numFmtId="0" fontId="0" fillId="26" borderId="95" xfId="0" applyFont="1" applyFill="1" applyBorder="1" applyAlignment="1">
      <alignment vertical="center" wrapText="1"/>
    </xf>
    <xf numFmtId="0" fontId="0" fillId="26" borderId="95" xfId="0" applyFill="1" applyBorder="1" applyAlignment="1">
      <alignment horizontal="right"/>
    </xf>
    <xf numFmtId="0" fontId="0" fillId="26" borderId="95" xfId="0" applyFill="1" applyBorder="1"/>
    <xf numFmtId="0" fontId="0" fillId="26" borderId="95" xfId="0" applyFill="1" applyBorder="1" applyAlignment="1">
      <alignment horizontal="center"/>
    </xf>
    <xf numFmtId="0" fontId="29" fillId="26" borderId="95" xfId="67" applyFont="1" applyFill="1" applyBorder="1" applyAlignment="1">
      <alignment horizontal="right" vertical="center"/>
    </xf>
    <xf numFmtId="0" fontId="29" fillId="26" borderId="64" xfId="0" applyFont="1" applyFill="1" applyBorder="1" applyAlignment="1">
      <alignment horizontal="center"/>
    </xf>
    <xf numFmtId="0" fontId="29" fillId="26" borderId="11" xfId="0" applyFont="1" applyFill="1" applyBorder="1" applyAlignment="1">
      <alignment horizontal="center"/>
    </xf>
    <xf numFmtId="0" fontId="0" fillId="26" borderId="70" xfId="0" applyFont="1" applyFill="1" applyBorder="1" applyAlignment="1">
      <alignment horizontal="center"/>
    </xf>
    <xf numFmtId="0" fontId="0" fillId="26" borderId="95" xfId="0" applyNumberFormat="1" applyFont="1" applyFill="1" applyBorder="1" applyAlignment="1">
      <alignment horizontal="center"/>
    </xf>
    <xf numFmtId="9" fontId="0" fillId="26" borderId="95" xfId="0" applyNumberFormat="1" applyFont="1" applyFill="1" applyBorder="1" applyAlignment="1">
      <alignment horizontal="center" vertical="center"/>
    </xf>
    <xf numFmtId="0" fontId="0" fillId="0" borderId="71" xfId="0" applyFont="1" applyFill="1" applyBorder="1" applyAlignment="1">
      <alignment horizontal="center" vertical="center" wrapText="1"/>
    </xf>
    <xf numFmtId="14" fontId="0" fillId="0" borderId="0" xfId="0" applyNumberFormat="1" applyFont="1" applyFill="1" applyBorder="1" applyAlignment="1">
      <alignment horizontal="center" vertical="center"/>
    </xf>
    <xf numFmtId="0" fontId="0" fillId="26" borderId="70" xfId="0" applyFill="1" applyBorder="1" applyAlignment="1">
      <alignment wrapText="1"/>
    </xf>
    <xf numFmtId="49" fontId="28" fillId="26" borderId="50" xfId="60" applyNumberFormat="1" applyFont="1" applyFill="1" applyBorder="1" applyAlignment="1">
      <alignment horizontal="center" vertical="center" wrapText="1"/>
    </xf>
    <xf numFmtId="0" fontId="28" fillId="25" borderId="45" xfId="0" applyFont="1" applyFill="1" applyBorder="1" applyAlignment="1">
      <alignment horizontal="center" vertical="center" wrapText="1"/>
    </xf>
    <xf numFmtId="0" fontId="28" fillId="26" borderId="50" xfId="0" applyFont="1" applyFill="1" applyBorder="1" applyAlignment="1">
      <alignment horizontal="center" vertical="center" wrapText="1"/>
    </xf>
    <xf numFmtId="0" fontId="28" fillId="0" borderId="45" xfId="0" applyFont="1" applyFill="1" applyBorder="1" applyAlignment="1">
      <alignment horizontal="center" vertical="center"/>
    </xf>
    <xf numFmtId="0" fontId="29" fillId="0" borderId="60" xfId="0" applyFont="1" applyBorder="1" applyAlignment="1" applyProtection="1">
      <alignment horizontal="center"/>
    </xf>
    <xf numFmtId="49" fontId="29" fillId="25" borderId="60" xfId="62" applyNumberFormat="1" applyFont="1" applyFill="1" applyBorder="1" applyAlignment="1">
      <alignment vertical="center"/>
    </xf>
    <xf numFmtId="0" fontId="29" fillId="26" borderId="60" xfId="62" applyNumberFormat="1" applyFont="1" applyFill="1" applyBorder="1" applyAlignment="1">
      <alignment horizontal="left" vertical="center"/>
    </xf>
    <xf numFmtId="0" fontId="29" fillId="25" borderId="60" xfId="62" applyFont="1" applyFill="1" applyBorder="1" applyAlignment="1">
      <alignment horizontal="center" vertical="center"/>
    </xf>
    <xf numFmtId="0" fontId="29" fillId="25" borderId="60" xfId="62" applyFont="1" applyFill="1" applyBorder="1" applyAlignment="1">
      <alignment horizontal="left" vertical="center"/>
    </xf>
    <xf numFmtId="49" fontId="29" fillId="0" borderId="60" xfId="60" applyNumberFormat="1" applyFont="1" applyFill="1" applyBorder="1" applyAlignment="1">
      <alignment horizontal="left" vertical="center"/>
    </xf>
    <xf numFmtId="49" fontId="29" fillId="25" borderId="60" xfId="62" applyNumberFormat="1" applyFont="1" applyFill="1" applyBorder="1" applyAlignment="1">
      <alignment horizontal="left" vertical="center"/>
    </xf>
    <xf numFmtId="0" fontId="0" fillId="26" borderId="95" xfId="62" applyNumberFormat="1" applyFont="1" applyFill="1" applyBorder="1" applyAlignment="1">
      <alignment horizontal="center" vertical="center"/>
    </xf>
    <xf numFmtId="9" fontId="0" fillId="26" borderId="95" xfId="62" applyNumberFormat="1" applyFont="1" applyFill="1" applyBorder="1" applyAlignment="1">
      <alignment horizontal="center" vertical="center"/>
    </xf>
    <xf numFmtId="9" fontId="29" fillId="26" borderId="95" xfId="83" applyFont="1" applyFill="1" applyBorder="1" applyAlignment="1">
      <alignment horizontal="center" vertical="center"/>
    </xf>
    <xf numFmtId="2" fontId="0" fillId="27" borderId="95" xfId="62" applyNumberFormat="1" applyFont="1" applyFill="1" applyBorder="1" applyAlignment="1">
      <alignment horizontal="center" vertical="center"/>
    </xf>
    <xf numFmtId="49" fontId="29" fillId="25" borderId="95" xfId="62" applyNumberFormat="1" applyFont="1" applyFill="1" applyBorder="1" applyAlignment="1">
      <alignment vertical="center"/>
    </xf>
    <xf numFmtId="0" fontId="32" fillId="26" borderId="95" xfId="67" applyFont="1" applyFill="1" applyBorder="1" applyAlignment="1">
      <alignment horizontal="left"/>
    </xf>
    <xf numFmtId="0" fontId="29" fillId="26" borderId="95" xfId="62" applyNumberFormat="1" applyFont="1" applyFill="1" applyBorder="1" applyAlignment="1">
      <alignment horizontal="center" vertical="center"/>
    </xf>
    <xf numFmtId="49" fontId="29" fillId="26" borderId="95" xfId="60" applyNumberFormat="1" applyFont="1" applyFill="1" applyBorder="1" applyAlignment="1">
      <alignment horizontal="left" vertical="center" wrapText="1"/>
    </xf>
    <xf numFmtId="0" fontId="29" fillId="25" borderId="95" xfId="0" applyFont="1" applyFill="1" applyBorder="1" applyAlignment="1"/>
    <xf numFmtId="0" fontId="32" fillId="26" borderId="95" xfId="0" applyFont="1" applyFill="1" applyBorder="1" applyAlignment="1">
      <alignment horizontal="left" vertical="center"/>
    </xf>
    <xf numFmtId="0" fontId="29" fillId="26" borderId="95" xfId="0" applyFont="1" applyFill="1" applyBorder="1" applyAlignment="1">
      <alignment horizontal="left"/>
    </xf>
    <xf numFmtId="49" fontId="29" fillId="25" borderId="60" xfId="62" applyNumberFormat="1" applyFont="1" applyFill="1" applyBorder="1" applyAlignment="1">
      <alignment horizontal="center" vertical="center"/>
    </xf>
    <xf numFmtId="0" fontId="0" fillId="26" borderId="95" xfId="0" applyFont="1" applyFill="1" applyBorder="1"/>
    <xf numFmtId="49" fontId="29" fillId="25" borderId="95" xfId="62" applyNumberFormat="1" applyFont="1" applyFill="1" applyBorder="1" applyAlignment="1">
      <alignment horizontal="left" vertical="center"/>
    </xf>
    <xf numFmtId="0" fontId="29" fillId="26" borderId="95" xfId="0" applyFont="1" applyFill="1" applyBorder="1" applyAlignment="1">
      <alignment horizontal="center"/>
    </xf>
    <xf numFmtId="0" fontId="0" fillId="0" borderId="95" xfId="0" applyFont="1" applyFill="1" applyBorder="1" applyAlignment="1">
      <alignment vertical="center"/>
    </xf>
    <xf numFmtId="49" fontId="29" fillId="0" borderId="95" xfId="62" applyNumberFormat="1" applyFont="1" applyFill="1" applyBorder="1" applyAlignment="1">
      <alignment vertical="center" wrapText="1"/>
    </xf>
    <xf numFmtId="0" fontId="0" fillId="0" borderId="95" xfId="0" applyFont="1" applyFill="1" applyBorder="1" applyAlignment="1">
      <alignment horizontal="left" vertical="center"/>
    </xf>
    <xf numFmtId="49" fontId="55" fillId="0" borderId="95" xfId="62" applyNumberFormat="1" applyFont="1" applyFill="1" applyBorder="1" applyAlignment="1">
      <alignment vertical="center" wrapText="1"/>
    </xf>
    <xf numFmtId="0" fontId="55" fillId="0" borderId="95" xfId="62" applyNumberFormat="1" applyFont="1" applyFill="1" applyBorder="1" applyAlignment="1">
      <alignment horizontal="center" vertical="center"/>
    </xf>
    <xf numFmtId="0" fontId="0" fillId="0" borderId="95" xfId="0" applyFont="1" applyFill="1" applyBorder="1" applyAlignment="1">
      <alignment vertical="center" wrapText="1"/>
    </xf>
    <xf numFmtId="49" fontId="29" fillId="26" borderId="95" xfId="60" applyNumberFormat="1" applyFont="1" applyFill="1" applyBorder="1" applyAlignment="1">
      <alignment horizontal="center" vertical="center" wrapText="1"/>
    </xf>
    <xf numFmtId="0" fontId="29" fillId="0" borderId="95" xfId="0" applyFont="1" applyFill="1" applyBorder="1" applyAlignment="1">
      <alignment vertical="center" wrapText="1"/>
    </xf>
    <xf numFmtId="0" fontId="29" fillId="26" borderId="95" xfId="0" applyFont="1" applyFill="1" applyBorder="1" applyAlignment="1"/>
    <xf numFmtId="0" fontId="55" fillId="0" borderId="95" xfId="0" applyFont="1" applyFill="1" applyBorder="1" applyAlignment="1">
      <alignment horizontal="center" vertical="center"/>
    </xf>
    <xf numFmtId="49" fontId="29" fillId="0" borderId="95" xfId="59" applyNumberFormat="1" applyFont="1" applyFill="1" applyBorder="1" applyAlignment="1">
      <alignment horizontal="left" vertical="center"/>
    </xf>
    <xf numFmtId="0" fontId="29" fillId="26" borderId="95" xfId="0" applyFont="1" applyFill="1" applyBorder="1" applyAlignment="1">
      <alignment horizontal="center" vertical="center"/>
    </xf>
    <xf numFmtId="49" fontId="32" fillId="26" borderId="95" xfId="60" applyNumberFormat="1" applyFont="1" applyFill="1" applyBorder="1" applyAlignment="1">
      <alignment horizontal="center" vertical="center" wrapText="1"/>
    </xf>
    <xf numFmtId="49" fontId="0" fillId="0" borderId="95" xfId="62" applyNumberFormat="1" applyFont="1" applyFill="1" applyBorder="1" applyAlignment="1">
      <alignment vertical="center" wrapText="1"/>
    </xf>
    <xf numFmtId="0" fontId="29" fillId="0" borderId="0" xfId="0" applyFont="1" applyFill="1" applyAlignment="1"/>
    <xf numFmtId="0" fontId="0" fillId="0" borderId="60" xfId="0" applyFont="1" applyBorder="1"/>
    <xf numFmtId="0" fontId="29" fillId="26" borderId="60" xfId="62" applyNumberFormat="1" applyFont="1" applyFill="1" applyBorder="1" applyAlignment="1">
      <alignment horizontal="center" vertical="center"/>
    </xf>
    <xf numFmtId="1" fontId="0" fillId="27" borderId="95" xfId="62" applyNumberFormat="1" applyFont="1" applyFill="1" applyBorder="1" applyAlignment="1">
      <alignment horizontal="center" vertical="center"/>
    </xf>
    <xf numFmtId="0" fontId="0" fillId="26" borderId="60" xfId="62" applyNumberFormat="1" applyFont="1" applyFill="1" applyBorder="1" applyAlignment="1">
      <alignment horizontal="center" vertical="center"/>
    </xf>
    <xf numFmtId="0" fontId="0" fillId="0" borderId="95" xfId="0" applyFont="1" applyBorder="1"/>
    <xf numFmtId="49" fontId="36" fillId="0" borderId="0" xfId="60" applyNumberFormat="1" applyFont="1" applyFill="1" applyBorder="1" applyAlignment="1">
      <alignment horizontal="center" vertical="center" wrapText="1"/>
    </xf>
    <xf numFmtId="0" fontId="36" fillId="0" borderId="0" xfId="0" quotePrefix="1" applyFont="1" applyFill="1" applyBorder="1"/>
    <xf numFmtId="0" fontId="0" fillId="26" borderId="0" xfId="0" applyFill="1" applyAlignment="1">
      <alignment horizontal="center" vertical="center" wrapText="1"/>
    </xf>
    <xf numFmtId="0" fontId="0" fillId="26" borderId="95" xfId="0" applyFont="1" applyFill="1" applyBorder="1" applyAlignment="1">
      <alignment horizontal="center" vertical="center" wrapText="1"/>
    </xf>
    <xf numFmtId="0" fontId="0" fillId="26" borderId="60" xfId="0" applyNumberFormat="1" applyFont="1" applyFill="1" applyBorder="1" applyAlignment="1">
      <alignment horizontal="center" vertical="center" wrapText="1"/>
    </xf>
    <xf numFmtId="0" fontId="61" fillId="26" borderId="0" xfId="0" applyFont="1" applyFill="1" applyAlignment="1">
      <alignment wrapText="1"/>
    </xf>
    <xf numFmtId="0" fontId="34" fillId="26" borderId="70" xfId="0" applyFont="1" applyFill="1" applyBorder="1" applyAlignment="1">
      <alignment horizontal="center" vertical="center" wrapText="1"/>
    </xf>
    <xf numFmtId="0" fontId="28" fillId="0" borderId="16" xfId="0" applyFont="1" applyFill="1" applyBorder="1" applyAlignment="1">
      <alignment horizontal="center" vertical="center"/>
    </xf>
    <xf numFmtId="0" fontId="0" fillId="0" borderId="67" xfId="0" applyFont="1" applyBorder="1"/>
    <xf numFmtId="0" fontId="28" fillId="0" borderId="54" xfId="0" applyFont="1" applyFill="1" applyBorder="1" applyAlignment="1">
      <alignment horizontal="center" vertical="center" wrapText="1"/>
    </xf>
    <xf numFmtId="0" fontId="28" fillId="0" borderId="96" xfId="0" applyFont="1" applyFill="1" applyBorder="1" applyAlignment="1">
      <alignment horizontal="center" vertical="center" textRotation="90"/>
    </xf>
    <xf numFmtId="0" fontId="28" fillId="0" borderId="97" xfId="0" applyFont="1" applyFill="1" applyBorder="1" applyAlignment="1">
      <alignment horizontal="center" vertical="center" textRotation="90"/>
    </xf>
    <xf numFmtId="0" fontId="28" fillId="0" borderId="99" xfId="0" applyFont="1" applyFill="1" applyBorder="1" applyAlignment="1">
      <alignment horizontal="center" vertical="center" textRotation="90"/>
    </xf>
    <xf numFmtId="0" fontId="0" fillId="0" borderId="100" xfId="0" applyFont="1" applyBorder="1"/>
    <xf numFmtId="49" fontId="40" fillId="26" borderId="101" xfId="0" applyNumberFormat="1" applyFont="1" applyFill="1" applyBorder="1" applyAlignment="1">
      <alignment horizontal="center" vertical="center" wrapText="1"/>
    </xf>
    <xf numFmtId="0" fontId="0" fillId="26" borderId="60" xfId="0" applyFont="1" applyFill="1" applyBorder="1" applyAlignment="1">
      <alignment vertical="center" wrapText="1"/>
    </xf>
    <xf numFmtId="0" fontId="0" fillId="27" borderId="60" xfId="0" applyFont="1" applyFill="1" applyBorder="1" applyAlignment="1">
      <alignment vertical="center" wrapText="1"/>
    </xf>
    <xf numFmtId="0" fontId="28" fillId="26" borderId="12" xfId="0" applyFont="1" applyFill="1" applyBorder="1" applyAlignment="1">
      <alignment horizontal="center" vertical="center" wrapText="1"/>
    </xf>
    <xf numFmtId="0" fontId="28" fillId="27" borderId="12" xfId="0" applyFont="1" applyFill="1" applyBorder="1" applyAlignment="1">
      <alignment horizontal="center" vertical="center" wrapText="1"/>
    </xf>
    <xf numFmtId="0" fontId="28" fillId="26" borderId="35" xfId="0" applyFont="1" applyFill="1" applyBorder="1" applyAlignment="1">
      <alignment horizontal="center" vertical="center" wrapText="1"/>
    </xf>
    <xf numFmtId="0" fontId="0" fillId="0" borderId="0" xfId="0" applyAlignment="1">
      <alignment wrapText="1"/>
    </xf>
    <xf numFmtId="0" fontId="37" fillId="0" borderId="18" xfId="0" applyFont="1" applyBorder="1" applyAlignment="1">
      <alignment wrapText="1"/>
    </xf>
    <xf numFmtId="0" fontId="37" fillId="0" borderId="89" xfId="0" applyFont="1" applyFill="1" applyBorder="1" applyAlignment="1">
      <alignment horizontal="left" vertical="center" wrapText="1"/>
    </xf>
    <xf numFmtId="0" fontId="0" fillId="26" borderId="60" xfId="0" applyFill="1" applyBorder="1" applyAlignment="1">
      <alignment vertical="center" wrapText="1"/>
    </xf>
    <xf numFmtId="0" fontId="0" fillId="26" borderId="44" xfId="0" applyFont="1" applyFill="1" applyBorder="1" applyAlignment="1">
      <alignment wrapText="1"/>
    </xf>
    <xf numFmtId="0" fontId="0" fillId="0" borderId="0" xfId="0" applyFont="1" applyAlignment="1">
      <alignment wrapText="1"/>
    </xf>
    <xf numFmtId="0" fontId="0" fillId="0" borderId="15" xfId="0" applyFont="1" applyBorder="1" applyAlignment="1">
      <alignment horizontal="right" wrapText="1"/>
    </xf>
    <xf numFmtId="0" fontId="0" fillId="26" borderId="91" xfId="0" applyFont="1" applyFill="1" applyBorder="1" applyAlignment="1">
      <alignment wrapText="1"/>
    </xf>
    <xf numFmtId="0" fontId="29" fillId="0" borderId="0" xfId="0" applyFont="1" applyAlignment="1">
      <alignment horizontal="center"/>
    </xf>
    <xf numFmtId="0" fontId="0" fillId="0" borderId="18" xfId="0" applyBorder="1" applyAlignment="1">
      <alignment horizontal="center"/>
    </xf>
    <xf numFmtId="9" fontId="29" fillId="26" borderId="70" xfId="0" applyNumberFormat="1" applyFont="1" applyFill="1" applyBorder="1" applyAlignment="1">
      <alignment horizontal="center"/>
    </xf>
    <xf numFmtId="0" fontId="0" fillId="0" borderId="70" xfId="57" applyFont="1" applyFill="1" applyBorder="1" applyAlignment="1">
      <alignment horizontal="center" wrapText="1"/>
    </xf>
    <xf numFmtId="0" fontId="36" fillId="30" borderId="95" xfId="0" applyFont="1" applyFill="1" applyBorder="1" applyAlignment="1">
      <alignment horizontal="center"/>
    </xf>
    <xf numFmtId="0" fontId="0" fillId="0" borderId="90" xfId="0" applyFont="1" applyFill="1" applyBorder="1" applyAlignment="1">
      <alignment horizontal="center" vertical="center" wrapText="1"/>
    </xf>
    <xf numFmtId="0" fontId="29" fillId="26" borderId="0" xfId="0" applyFont="1" applyFill="1" applyBorder="1"/>
    <xf numFmtId="0" fontId="0" fillId="0" borderId="29" xfId="0" applyFont="1" applyBorder="1" applyAlignment="1"/>
    <xf numFmtId="0" fontId="28" fillId="25" borderId="45" xfId="0" applyFont="1" applyFill="1" applyBorder="1" applyAlignment="1">
      <alignment horizontal="center" vertical="center" wrapText="1"/>
    </xf>
    <xf numFmtId="49" fontId="28" fillId="26" borderId="50" xfId="60" applyNumberFormat="1" applyFont="1" applyFill="1" applyBorder="1" applyAlignment="1">
      <alignment horizontal="center" vertical="center" wrapText="1"/>
    </xf>
    <xf numFmtId="0" fontId="28" fillId="0" borderId="0" xfId="0" applyFont="1" applyFill="1" applyBorder="1" applyAlignment="1">
      <alignment horizontal="left" vertical="center"/>
    </xf>
    <xf numFmtId="0" fontId="28" fillId="0" borderId="45" xfId="0" applyFont="1" applyFill="1" applyBorder="1" applyAlignment="1">
      <alignment horizontal="center" vertical="center"/>
    </xf>
    <xf numFmtId="14" fontId="0" fillId="26" borderId="102" xfId="0" applyNumberFormat="1" applyFont="1" applyFill="1" applyBorder="1" applyAlignment="1">
      <alignment horizontal="center" vertical="center" wrapText="1"/>
    </xf>
    <xf numFmtId="14" fontId="0" fillId="0" borderId="0" xfId="0" applyNumberFormat="1" applyFont="1" applyFill="1" applyBorder="1" applyAlignment="1">
      <alignment horizontal="center"/>
    </xf>
    <xf numFmtId="14" fontId="0" fillId="0" borderId="18" xfId="0" applyNumberFormat="1" applyBorder="1" applyAlignment="1">
      <alignment horizontal="center"/>
    </xf>
    <xf numFmtId="14" fontId="28" fillId="0" borderId="16" xfId="0" applyNumberFormat="1" applyFont="1" applyFill="1" applyBorder="1" applyAlignment="1">
      <alignment horizontal="center" vertical="center"/>
    </xf>
    <xf numFmtId="14" fontId="0" fillId="26" borderId="11" xfId="0" applyNumberFormat="1" applyFont="1" applyFill="1" applyBorder="1" applyAlignment="1">
      <alignment horizontal="center" vertical="center" wrapText="1"/>
    </xf>
    <xf numFmtId="14" fontId="0" fillId="26" borderId="70" xfId="0" applyNumberFormat="1" applyFont="1" applyFill="1" applyBorder="1" applyAlignment="1">
      <alignment horizontal="center" vertical="center" wrapText="1"/>
    </xf>
    <xf numFmtId="17" fontId="0" fillId="26" borderId="70" xfId="0" applyNumberFormat="1" applyFont="1" applyFill="1" applyBorder="1" applyAlignment="1">
      <alignment horizontal="center" vertical="center" wrapText="1"/>
    </xf>
    <xf numFmtId="0" fontId="2" fillId="26" borderId="70" xfId="81" applyFont="1" applyFill="1" applyBorder="1"/>
    <xf numFmtId="0" fontId="2" fillId="0" borderId="0" xfId="81" applyFont="1"/>
    <xf numFmtId="0" fontId="2" fillId="26" borderId="70" xfId="81" applyFont="1" applyFill="1" applyBorder="1" applyAlignment="1">
      <alignment wrapText="1"/>
    </xf>
    <xf numFmtId="0" fontId="45" fillId="0" borderId="34" xfId="0" applyFont="1" applyBorder="1" applyAlignment="1">
      <alignment horizontal="right"/>
    </xf>
    <xf numFmtId="0" fontId="45" fillId="26" borderId="33" xfId="0" applyFont="1" applyFill="1" applyBorder="1"/>
    <xf numFmtId="0" fontId="62" fillId="26" borderId="45" xfId="82" applyFont="1" applyFill="1" applyBorder="1" applyAlignment="1">
      <alignment horizontal="center" vertical="center" wrapText="1"/>
    </xf>
    <xf numFmtId="0" fontId="0" fillId="26" borderId="103" xfId="0" applyFont="1" applyFill="1" applyBorder="1"/>
    <xf numFmtId="0" fontId="0" fillId="0" borderId="104" xfId="0" applyFont="1" applyFill="1" applyBorder="1"/>
    <xf numFmtId="0" fontId="28" fillId="26" borderId="66" xfId="0" applyNumberFormat="1" applyFont="1" applyFill="1" applyBorder="1" applyAlignment="1">
      <alignment horizontal="center" vertical="center" wrapText="1"/>
    </xf>
    <xf numFmtId="49" fontId="28" fillId="0" borderId="85" xfId="67" applyNumberFormat="1" applyFont="1" applyFill="1" applyBorder="1" applyAlignment="1">
      <alignment horizontal="right" vertical="center"/>
    </xf>
    <xf numFmtId="0" fontId="0" fillId="0" borderId="18" xfId="0" applyFont="1" applyBorder="1"/>
    <xf numFmtId="0" fontId="0" fillId="0" borderId="0" xfId="0" applyFont="1" applyFill="1" applyBorder="1" applyAlignment="1">
      <alignment horizontal="center" vertical="center"/>
    </xf>
    <xf numFmtId="0" fontId="29" fillId="0" borderId="0" xfId="85" applyFont="1" applyFill="1" applyBorder="1" applyAlignment="1">
      <alignment horizontal="center"/>
    </xf>
    <xf numFmtId="0" fontId="0" fillId="26" borderId="102" xfId="0" applyFont="1" applyFill="1" applyBorder="1" applyAlignment="1">
      <alignment horizontal="center"/>
    </xf>
    <xf numFmtId="0" fontId="29" fillId="26" borderId="95" xfId="80" applyFont="1" applyFill="1" applyBorder="1" applyAlignment="1">
      <alignment wrapText="1"/>
    </xf>
    <xf numFmtId="49" fontId="28" fillId="26" borderId="50" xfId="60" applyNumberFormat="1" applyFont="1" applyFill="1" applyBorder="1" applyAlignment="1">
      <alignment horizontal="center" vertical="center" wrapText="1"/>
    </xf>
    <xf numFmtId="0" fontId="1" fillId="26" borderId="70" xfId="81" applyFont="1" applyFill="1" applyBorder="1" applyAlignment="1">
      <alignment wrapText="1"/>
    </xf>
    <xf numFmtId="0" fontId="61" fillId="26" borderId="0" xfId="0" applyFont="1" applyFill="1" applyAlignment="1">
      <alignment horizontal="center" vertical="center" wrapText="1"/>
    </xf>
    <xf numFmtId="0" fontId="53" fillId="0" borderId="0" xfId="84"/>
    <xf numFmtId="0" fontId="45" fillId="0" borderId="0" xfId="81" applyFont="1" applyFill="1" applyBorder="1" applyAlignment="1">
      <alignment wrapText="1"/>
    </xf>
    <xf numFmtId="0" fontId="45" fillId="26" borderId="105" xfId="81" applyFont="1" applyFill="1" applyBorder="1" applyAlignment="1">
      <alignment horizontal="center" vertical="center" wrapText="1"/>
    </xf>
    <xf numFmtId="0" fontId="45" fillId="26" borderId="60" xfId="81" applyFont="1" applyFill="1" applyBorder="1" applyAlignment="1">
      <alignment wrapText="1"/>
    </xf>
    <xf numFmtId="0" fontId="45" fillId="26" borderId="105" xfId="81" applyFont="1" applyFill="1" applyBorder="1" applyAlignment="1">
      <alignment wrapText="1"/>
    </xf>
    <xf numFmtId="0" fontId="63" fillId="26" borderId="0" xfId="0" applyFont="1" applyFill="1" applyAlignment="1">
      <alignment wrapText="1"/>
    </xf>
    <xf numFmtId="0" fontId="0" fillId="26" borderId="95" xfId="0" applyFill="1" applyBorder="1" applyAlignment="1">
      <alignment wrapText="1"/>
    </xf>
    <xf numFmtId="0" fontId="0" fillId="26" borderId="95" xfId="0" applyFont="1" applyFill="1" applyBorder="1" applyAlignment="1">
      <alignment horizontal="center" wrapText="1"/>
    </xf>
    <xf numFmtId="0" fontId="0" fillId="26" borderId="105" xfId="62" applyNumberFormat="1" applyFont="1" applyFill="1" applyBorder="1" applyAlignment="1">
      <alignment horizontal="center" vertical="center"/>
    </xf>
    <xf numFmtId="0" fontId="29" fillId="26" borderId="105" xfId="62" applyNumberFormat="1" applyFont="1" applyFill="1" applyBorder="1" applyAlignment="1">
      <alignment horizontal="center" vertical="center"/>
    </xf>
    <xf numFmtId="0" fontId="29" fillId="26" borderId="105" xfId="0" applyFont="1" applyFill="1" applyBorder="1"/>
    <xf numFmtId="0" fontId="0" fillId="26" borderId="105" xfId="0" applyFont="1" applyFill="1" applyBorder="1"/>
    <xf numFmtId="0" fontId="63" fillId="26" borderId="0" xfId="0" applyFont="1" applyFill="1" applyAlignment="1">
      <alignment vertical="center" wrapText="1"/>
    </xf>
    <xf numFmtId="0" fontId="0" fillId="0" borderId="54" xfId="0" applyFont="1" applyBorder="1" applyAlignment="1">
      <alignment horizontal="center" vertical="center" wrapText="1"/>
    </xf>
    <xf numFmtId="0" fontId="36" fillId="26" borderId="60" xfId="0" applyFont="1" applyFill="1" applyBorder="1" applyAlignment="1">
      <alignment horizontal="left"/>
    </xf>
    <xf numFmtId="0" fontId="64" fillId="0" borderId="0" xfId="0" applyFont="1"/>
    <xf numFmtId="0" fontId="0" fillId="26" borderId="0" xfId="0" applyFont="1" applyFill="1" applyAlignment="1">
      <alignment vertical="center" wrapText="1"/>
    </xf>
    <xf numFmtId="0" fontId="47" fillId="26" borderId="50" xfId="0" applyFont="1" applyFill="1" applyBorder="1"/>
    <xf numFmtId="0" fontId="28" fillId="0" borderId="20" xfId="0" applyFont="1" applyFill="1" applyBorder="1" applyAlignment="1">
      <alignment horizontal="left" vertical="center" wrapText="1"/>
    </xf>
    <xf numFmtId="0" fontId="0" fillId="0" borderId="15" xfId="0" applyFill="1" applyBorder="1"/>
    <xf numFmtId="0" fontId="65" fillId="0" borderId="0" xfId="0" applyFont="1"/>
    <xf numFmtId="0" fontId="65" fillId="27" borderId="105" xfId="0" applyFont="1" applyFill="1" applyBorder="1"/>
    <xf numFmtId="0" fontId="0" fillId="26" borderId="95" xfId="62" applyNumberFormat="1" applyFont="1" applyFill="1" applyBorder="1" applyAlignment="1">
      <alignment vertical="center"/>
    </xf>
    <xf numFmtId="0" fontId="0" fillId="26" borderId="95" xfId="0" applyFont="1" applyFill="1" applyBorder="1" applyAlignment="1"/>
    <xf numFmtId="14" fontId="0" fillId="26" borderId="0" xfId="0" applyNumberFormat="1" applyFont="1" applyFill="1" applyBorder="1" applyAlignment="1">
      <alignment horizontal="center"/>
    </xf>
    <xf numFmtId="17" fontId="0" fillId="26" borderId="0" xfId="0" applyNumberFormat="1" applyFont="1" applyFill="1" applyBorder="1" applyAlignment="1">
      <alignment horizontal="center"/>
    </xf>
    <xf numFmtId="14" fontId="28" fillId="26" borderId="50" xfId="0" applyNumberFormat="1" applyFont="1" applyFill="1" applyBorder="1" applyAlignment="1">
      <alignment horizontal="center" vertical="center" wrapText="1"/>
    </xf>
    <xf numFmtId="14" fontId="0" fillId="26" borderId="105" xfId="0" applyNumberFormat="1" applyFont="1" applyFill="1" applyBorder="1" applyAlignment="1">
      <alignment horizontal="center"/>
    </xf>
    <xf numFmtId="49" fontId="4" fillId="26" borderId="105" xfId="60" applyNumberFormat="1" applyFont="1" applyFill="1" applyBorder="1" applyAlignment="1">
      <alignment horizontal="center" vertical="center" wrapText="1"/>
    </xf>
    <xf numFmtId="0" fontId="28" fillId="0" borderId="18" xfId="0" applyFont="1" applyFill="1" applyBorder="1" applyAlignment="1">
      <alignment horizontal="center" vertical="center" wrapText="1"/>
    </xf>
    <xf numFmtId="0" fontId="0" fillId="0" borderId="96" xfId="0" applyFont="1" applyFill="1" applyBorder="1" applyAlignment="1">
      <alignment horizontal="center" vertical="center"/>
    </xf>
    <xf numFmtId="0" fontId="28" fillId="0" borderId="16" xfId="0" applyFont="1" applyFill="1" applyBorder="1" applyAlignment="1">
      <alignment horizontal="center" vertical="center"/>
    </xf>
    <xf numFmtId="0" fontId="0" fillId="0" borderId="13" xfId="0" applyFont="1" applyBorder="1" applyAlignment="1"/>
    <xf numFmtId="0" fontId="28" fillId="0" borderId="18" xfId="0" applyFont="1" applyFill="1" applyBorder="1" applyAlignment="1">
      <alignment horizontal="center" vertical="center"/>
    </xf>
    <xf numFmtId="0" fontId="0" fillId="0" borderId="20" xfId="0" applyFont="1" applyBorder="1" applyAlignment="1"/>
    <xf numFmtId="49" fontId="28" fillId="0" borderId="31" xfId="0" applyNumberFormat="1" applyFont="1" applyFill="1" applyBorder="1" applyAlignment="1">
      <alignment horizontal="center" vertical="center" wrapText="1"/>
    </xf>
    <xf numFmtId="0" fontId="0" fillId="0" borderId="32" xfId="0" applyFont="1" applyBorder="1" applyAlignment="1">
      <alignment horizontal="center" vertical="center" wrapText="1"/>
    </xf>
    <xf numFmtId="0" fontId="0" fillId="0" borderId="54" xfId="0" applyFont="1" applyBorder="1" applyAlignment="1">
      <alignment horizontal="center" vertical="center" wrapText="1"/>
    </xf>
    <xf numFmtId="49" fontId="28" fillId="0" borderId="20" xfId="0" applyNumberFormat="1" applyFont="1" applyFill="1" applyBorder="1" applyAlignment="1">
      <alignment horizontal="center" vertical="center" wrapText="1"/>
    </xf>
    <xf numFmtId="0" fontId="0" fillId="0" borderId="97" xfId="0" applyFont="1" applyBorder="1" applyAlignment="1">
      <alignment horizontal="center" vertical="center"/>
    </xf>
    <xf numFmtId="0" fontId="28" fillId="0" borderId="20" xfId="0" applyFont="1" applyFill="1" applyBorder="1" applyAlignment="1">
      <alignment horizontal="center" vertical="center"/>
    </xf>
    <xf numFmtId="0" fontId="28" fillId="0" borderId="20" xfId="0" applyFont="1" applyFill="1" applyBorder="1" applyAlignment="1">
      <alignment horizontal="center" vertical="center" wrapText="1"/>
    </xf>
    <xf numFmtId="0" fontId="0" fillId="0" borderId="97" xfId="0" applyFont="1" applyBorder="1" applyAlignment="1">
      <alignment horizontal="center" vertical="center" wrapText="1"/>
    </xf>
    <xf numFmtId="49" fontId="28" fillId="0" borderId="43" xfId="0" applyNumberFormat="1" applyFont="1" applyFill="1" applyBorder="1" applyAlignment="1">
      <alignment horizontal="center" vertical="center" wrapText="1"/>
    </xf>
    <xf numFmtId="0" fontId="0" fillId="0" borderId="98" xfId="0" applyFont="1" applyBorder="1" applyAlignment="1">
      <alignment horizontal="center" vertical="center" wrapText="1"/>
    </xf>
    <xf numFmtId="0" fontId="28" fillId="0" borderId="15" xfId="0" applyFont="1" applyFill="1" applyBorder="1" applyAlignment="1">
      <alignment horizontal="center" vertical="center" wrapText="1"/>
    </xf>
    <xf numFmtId="49" fontId="28" fillId="0" borderId="18" xfId="0" applyNumberFormat="1" applyFont="1" applyFill="1" applyBorder="1" applyAlignment="1">
      <alignment horizontal="center" vertical="center" wrapText="1"/>
    </xf>
    <xf numFmtId="49" fontId="28" fillId="0" borderId="15" xfId="0" applyNumberFormat="1" applyFont="1" applyFill="1" applyBorder="1" applyAlignment="1">
      <alignment horizontal="center" vertical="center" wrapText="1"/>
    </xf>
    <xf numFmtId="0" fontId="0" fillId="0" borderId="51" xfId="0" applyFont="1" applyBorder="1" applyAlignment="1"/>
    <xf numFmtId="0" fontId="0" fillId="0" borderId="53" xfId="0" applyFont="1" applyBorder="1" applyAlignment="1"/>
    <xf numFmtId="0" fontId="0" fillId="0" borderId="66" xfId="0" applyFont="1" applyBorder="1" applyAlignment="1"/>
    <xf numFmtId="0" fontId="0" fillId="0" borderId="28" xfId="0" applyFont="1" applyBorder="1" applyAlignment="1"/>
    <xf numFmtId="0" fontId="0" fillId="0" borderId="29" xfId="0" applyFont="1" applyBorder="1" applyAlignment="1"/>
    <xf numFmtId="0" fontId="0" fillId="0" borderId="30" xfId="0" applyFont="1" applyBorder="1" applyAlignment="1"/>
    <xf numFmtId="0" fontId="28" fillId="27" borderId="57" xfId="80" applyFont="1" applyFill="1" applyBorder="1" applyAlignment="1">
      <alignment horizontal="center" vertical="center" wrapText="1"/>
    </xf>
    <xf numFmtId="0" fontId="29" fillId="27" borderId="59" xfId="0" applyFont="1" applyFill="1" applyBorder="1" applyAlignment="1">
      <alignment horizontal="center" vertical="center" wrapText="1"/>
    </xf>
    <xf numFmtId="0" fontId="28" fillId="26" borderId="57" xfId="80" applyFont="1" applyFill="1" applyBorder="1" applyAlignment="1">
      <alignment horizontal="center" vertical="center" wrapText="1"/>
    </xf>
    <xf numFmtId="0" fontId="29" fillId="26" borderId="59" xfId="0" applyFont="1" applyFill="1" applyBorder="1" applyAlignment="1">
      <alignment horizontal="center" vertical="center" wrapText="1"/>
    </xf>
    <xf numFmtId="0" fontId="28" fillId="26" borderId="57" xfId="80" applyFont="1" applyFill="1" applyBorder="1" applyAlignment="1">
      <alignment vertical="center" wrapText="1"/>
    </xf>
    <xf numFmtId="0" fontId="29" fillId="26" borderId="59" xfId="0" applyFont="1" applyFill="1" applyBorder="1" applyAlignment="1">
      <alignment vertical="center" wrapText="1"/>
    </xf>
    <xf numFmtId="0" fontId="28" fillId="26" borderId="57" xfId="78" applyFont="1" applyFill="1" applyBorder="1" applyAlignment="1">
      <alignment horizontal="center" vertical="center"/>
    </xf>
    <xf numFmtId="0" fontId="29" fillId="26" borderId="59" xfId="0" applyFont="1" applyFill="1" applyBorder="1" applyAlignment="1">
      <alignment horizontal="center" vertical="center"/>
    </xf>
    <xf numFmtId="0" fontId="41" fillId="0" borderId="57" xfId="78" applyFont="1" applyFill="1" applyBorder="1" applyAlignment="1">
      <alignment horizontal="center" vertical="center" wrapText="1"/>
    </xf>
    <xf numFmtId="0" fontId="41" fillId="0" borderId="59" xfId="78" applyFont="1" applyFill="1" applyBorder="1" applyAlignment="1">
      <alignment horizontal="center" vertical="center" wrapText="1"/>
    </xf>
    <xf numFmtId="0" fontId="41" fillId="0" borderId="57" xfId="78" applyFont="1" applyFill="1" applyBorder="1" applyAlignment="1">
      <alignment horizontal="center" vertical="center"/>
    </xf>
    <xf numFmtId="0" fontId="41" fillId="0" borderId="59" xfId="78" applyFont="1" applyFill="1" applyBorder="1" applyAlignment="1">
      <alignment horizontal="center" vertical="center"/>
    </xf>
    <xf numFmtId="0" fontId="29" fillId="0" borderId="59" xfId="0" applyFont="1" applyBorder="1" applyAlignment="1">
      <alignment horizontal="center" vertical="center"/>
    </xf>
    <xf numFmtId="0" fontId="28" fillId="26" borderId="57" xfId="80" applyFont="1" applyFill="1" applyBorder="1" applyAlignment="1">
      <alignment horizontal="center" vertical="center"/>
    </xf>
    <xf numFmtId="0" fontId="41" fillId="0" borderId="57" xfId="79" applyFont="1" applyFill="1" applyBorder="1" applyAlignment="1">
      <alignment horizontal="center" vertical="center" wrapText="1"/>
    </xf>
    <xf numFmtId="0" fontId="29" fillId="0" borderId="59" xfId="0" applyFont="1" applyBorder="1" applyAlignment="1"/>
    <xf numFmtId="0" fontId="29" fillId="0" borderId="59" xfId="0" applyFont="1" applyBorder="1" applyAlignment="1">
      <alignment wrapText="1"/>
    </xf>
    <xf numFmtId="0" fontId="41" fillId="0" borderId="57" xfId="79" applyFont="1" applyFill="1" applyBorder="1" applyAlignment="1">
      <alignment horizontal="center" vertical="center"/>
    </xf>
    <xf numFmtId="0" fontId="28" fillId="26" borderId="41" xfId="0" applyFont="1" applyFill="1" applyBorder="1" applyAlignment="1">
      <alignment horizontal="center" vertical="center" wrapText="1"/>
    </xf>
    <xf numFmtId="0" fontId="28" fillId="26" borderId="63" xfId="0" applyFont="1" applyFill="1" applyBorder="1" applyAlignment="1">
      <alignment horizontal="center" vertical="center" wrapText="1"/>
    </xf>
    <xf numFmtId="0" fontId="28" fillId="26" borderId="37" xfId="0" applyFont="1" applyFill="1" applyBorder="1" applyAlignment="1">
      <alignment horizontal="center" vertical="center" wrapText="1"/>
    </xf>
    <xf numFmtId="0" fontId="28" fillId="0" borderId="50" xfId="0" applyFont="1" applyFill="1" applyBorder="1" applyAlignment="1">
      <alignment horizontal="center" vertical="center" wrapText="1"/>
    </xf>
    <xf numFmtId="0" fontId="28" fillId="25" borderId="47" xfId="0" applyFont="1" applyFill="1" applyBorder="1" applyAlignment="1">
      <alignment horizontal="center" vertical="center" wrapText="1"/>
    </xf>
    <xf numFmtId="49" fontId="28" fillId="25" borderId="47" xfId="0" applyNumberFormat="1" applyFont="1" applyFill="1" applyBorder="1" applyAlignment="1">
      <alignment horizontal="center" vertical="center" wrapText="1"/>
    </xf>
    <xf numFmtId="49" fontId="28" fillId="25" borderId="45" xfId="0" applyNumberFormat="1" applyFont="1" applyFill="1" applyBorder="1" applyAlignment="1">
      <alignment horizontal="center" vertical="center" wrapText="1"/>
    </xf>
    <xf numFmtId="0" fontId="28" fillId="25" borderId="45" xfId="0" applyFont="1" applyFill="1" applyBorder="1" applyAlignment="1">
      <alignment horizontal="center" vertical="center" wrapText="1"/>
    </xf>
    <xf numFmtId="0" fontId="28" fillId="25" borderId="45" xfId="0" applyFont="1" applyFill="1" applyBorder="1" applyAlignment="1">
      <alignment horizontal="center" vertical="center"/>
    </xf>
    <xf numFmtId="0" fontId="28" fillId="25" borderId="50" xfId="79" applyFont="1" applyFill="1" applyBorder="1" applyAlignment="1">
      <alignment horizontal="center" vertical="center" wrapText="1"/>
    </xf>
    <xf numFmtId="0" fontId="28" fillId="25" borderId="47" xfId="79" applyFont="1" applyFill="1" applyBorder="1" applyAlignment="1">
      <alignment horizontal="center" vertical="center" wrapText="1"/>
    </xf>
    <xf numFmtId="49" fontId="28" fillId="25" borderId="50" xfId="60" applyNumberFormat="1" applyFont="1" applyFill="1" applyBorder="1" applyAlignment="1">
      <alignment horizontal="center" vertical="center" wrapText="1"/>
    </xf>
    <xf numFmtId="49" fontId="28" fillId="25" borderId="47" xfId="60" applyNumberFormat="1" applyFont="1" applyFill="1" applyBorder="1" applyAlignment="1">
      <alignment horizontal="center" vertical="center" wrapText="1"/>
    </xf>
    <xf numFmtId="49" fontId="28" fillId="25" borderId="50" xfId="0" applyNumberFormat="1" applyFont="1" applyFill="1" applyBorder="1" applyAlignment="1">
      <alignment horizontal="center" vertical="center" wrapText="1"/>
    </xf>
    <xf numFmtId="0" fontId="28" fillId="26" borderId="50" xfId="0" applyFont="1" applyFill="1" applyBorder="1" applyAlignment="1">
      <alignment horizontal="center" vertical="center" wrapText="1"/>
    </xf>
    <xf numFmtId="0" fontId="28" fillId="26" borderId="47" xfId="0" applyFont="1" applyFill="1" applyBorder="1" applyAlignment="1">
      <alignment horizontal="center" vertical="center" wrapText="1"/>
    </xf>
    <xf numFmtId="49" fontId="28" fillId="26" borderId="50" xfId="60" applyNumberFormat="1" applyFont="1" applyFill="1" applyBorder="1" applyAlignment="1">
      <alignment horizontal="center" vertical="center" wrapText="1"/>
    </xf>
    <xf numFmtId="49" fontId="28" fillId="26" borderId="47" xfId="60" applyNumberFormat="1" applyFont="1" applyFill="1" applyBorder="1" applyAlignment="1">
      <alignment horizontal="center" vertical="center" wrapText="1"/>
    </xf>
    <xf numFmtId="49" fontId="17" fillId="26" borderId="50" xfId="60" applyNumberFormat="1" applyFont="1" applyFill="1" applyBorder="1" applyAlignment="1">
      <alignment horizontal="center" vertical="center" wrapText="1"/>
    </xf>
    <xf numFmtId="49" fontId="17" fillId="26" borderId="47" xfId="60" applyNumberFormat="1" applyFont="1" applyFill="1" applyBorder="1" applyAlignment="1">
      <alignment horizontal="center" vertical="center" wrapText="1"/>
    </xf>
    <xf numFmtId="1" fontId="0" fillId="0" borderId="52" xfId="0" applyNumberFormat="1" applyFont="1" applyFill="1" applyBorder="1" applyAlignment="1">
      <alignment horizontal="center" vertical="center" wrapText="1"/>
    </xf>
    <xf numFmtId="1" fontId="0" fillId="0" borderId="71" xfId="0" applyNumberFormat="1" applyFont="1" applyFill="1" applyBorder="1" applyAlignment="1">
      <alignment horizontal="center" vertical="center" wrapText="1"/>
    </xf>
    <xf numFmtId="1" fontId="0" fillId="0" borderId="11" xfId="0" applyNumberFormat="1" applyFont="1" applyFill="1" applyBorder="1" applyAlignment="1">
      <alignment horizontal="center" vertical="center" wrapText="1"/>
    </xf>
    <xf numFmtId="49" fontId="0" fillId="0" borderId="52" xfId="0" applyNumberFormat="1" applyFont="1" applyFill="1" applyBorder="1" applyAlignment="1">
      <alignment horizontal="center" vertical="center" wrapText="1"/>
    </xf>
    <xf numFmtId="49" fontId="0" fillId="0" borderId="71" xfId="0" applyNumberFormat="1" applyFont="1" applyFill="1" applyBorder="1" applyAlignment="1">
      <alignment horizontal="center" vertical="center" wrapText="1"/>
    </xf>
    <xf numFmtId="49" fontId="0" fillId="0" borderId="11" xfId="0" applyNumberFormat="1" applyFont="1" applyFill="1" applyBorder="1" applyAlignment="1">
      <alignment horizontal="center" vertical="center" wrapText="1"/>
    </xf>
    <xf numFmtId="0" fontId="0" fillId="0" borderId="52" xfId="0" applyNumberFormat="1" applyFont="1" applyFill="1" applyBorder="1" applyAlignment="1">
      <alignment horizontal="center" vertical="center" wrapText="1"/>
    </xf>
    <xf numFmtId="0" fontId="0" fillId="0" borderId="71" xfId="0" applyNumberFormat="1" applyFont="1" applyFill="1" applyBorder="1" applyAlignment="1">
      <alignment horizontal="center" vertical="center" wrapText="1"/>
    </xf>
    <xf numFmtId="0" fontId="0" fillId="0" borderId="11" xfId="0" applyNumberFormat="1" applyFont="1" applyFill="1" applyBorder="1" applyAlignment="1">
      <alignment horizontal="center" vertical="center" wrapText="1"/>
    </xf>
    <xf numFmtId="49" fontId="0" fillId="0" borderId="52" xfId="0" applyNumberFormat="1" applyFont="1" applyFill="1" applyBorder="1" applyAlignment="1">
      <alignment horizontal="center" vertical="center"/>
    </xf>
    <xf numFmtId="49" fontId="0" fillId="0" borderId="71" xfId="0" applyNumberFormat="1" applyFont="1" applyFill="1" applyBorder="1" applyAlignment="1">
      <alignment horizontal="center" vertical="center"/>
    </xf>
    <xf numFmtId="49" fontId="0" fillId="0" borderId="11" xfId="0" applyNumberFormat="1" applyFont="1" applyFill="1" applyBorder="1" applyAlignment="1">
      <alignment horizontal="center" vertical="center"/>
    </xf>
    <xf numFmtId="0" fontId="0" fillId="0" borderId="52" xfId="0" applyNumberFormat="1" applyFont="1" applyFill="1" applyBorder="1" applyAlignment="1">
      <alignment horizontal="center" vertical="center"/>
    </xf>
    <xf numFmtId="0" fontId="0" fillId="0" borderId="52" xfId="0" applyFont="1" applyFill="1" applyBorder="1" applyAlignment="1">
      <alignment horizontal="center"/>
    </xf>
    <xf numFmtId="0" fontId="0" fillId="0" borderId="71" xfId="0" applyFont="1" applyFill="1" applyBorder="1" applyAlignment="1">
      <alignment horizontal="center"/>
    </xf>
    <xf numFmtId="0" fontId="0" fillId="0" borderId="11" xfId="0" applyFont="1" applyFill="1" applyBorder="1" applyAlignment="1">
      <alignment horizontal="center"/>
    </xf>
    <xf numFmtId="0" fontId="28" fillId="0" borderId="0" xfId="0" applyFont="1" applyFill="1" applyBorder="1" applyAlignment="1">
      <alignment horizontal="left" vertical="center"/>
    </xf>
    <xf numFmtId="0" fontId="56" fillId="0" borderId="0" xfId="0" applyFont="1" applyFill="1" applyBorder="1" applyAlignment="1">
      <alignment horizontal="left" vertical="center" wrapText="1"/>
    </xf>
    <xf numFmtId="0" fontId="28" fillId="0" borderId="0" xfId="0" applyFont="1" applyFill="1" applyBorder="1" applyAlignment="1">
      <alignment horizontal="left" vertical="center" wrapText="1"/>
    </xf>
    <xf numFmtId="0" fontId="28" fillId="0" borderId="29" xfId="0" applyFont="1" applyFill="1" applyBorder="1" applyAlignment="1">
      <alignment horizontal="left" vertical="center"/>
    </xf>
    <xf numFmtId="0" fontId="0" fillId="0" borderId="52" xfId="0" applyFont="1" applyFill="1" applyBorder="1" applyAlignment="1">
      <alignment horizontal="center" vertical="center" wrapText="1"/>
    </xf>
    <xf numFmtId="0" fontId="0" fillId="0" borderId="71" xfId="0" applyFont="1" applyFill="1" applyBorder="1" applyAlignment="1">
      <alignment horizontal="center" vertical="center" wrapText="1"/>
    </xf>
    <xf numFmtId="0" fontId="0" fillId="0" borderId="11" xfId="0" applyFont="1" applyFill="1" applyBorder="1" applyAlignment="1">
      <alignment horizontal="center" vertical="center" wrapText="1"/>
    </xf>
    <xf numFmtId="0" fontId="45" fillId="26" borderId="46" xfId="81" applyFont="1" applyFill="1" applyBorder="1" applyAlignment="1">
      <alignment horizontal="center"/>
    </xf>
    <xf numFmtId="0" fontId="45" fillId="26" borderId="56" xfId="81" applyFont="1" applyFill="1" applyBorder="1" applyAlignment="1">
      <alignment horizontal="center"/>
    </xf>
    <xf numFmtId="0" fontId="45" fillId="26" borderId="48" xfId="81" applyFont="1" applyFill="1" applyBorder="1" applyAlignment="1">
      <alignment horizontal="center"/>
    </xf>
    <xf numFmtId="0" fontId="45" fillId="26" borderId="38" xfId="81" applyFont="1" applyFill="1" applyBorder="1" applyAlignment="1">
      <alignment horizontal="center"/>
    </xf>
    <xf numFmtId="0" fontId="45" fillId="26" borderId="39" xfId="81" applyFont="1" applyFill="1" applyBorder="1" applyAlignment="1">
      <alignment horizontal="center"/>
    </xf>
    <xf numFmtId="0" fontId="0" fillId="0" borderId="85" xfId="0" applyBorder="1" applyAlignment="1"/>
    <xf numFmtId="0" fontId="0" fillId="0" borderId="104" xfId="0" applyBorder="1" applyAlignment="1"/>
    <xf numFmtId="0" fontId="0" fillId="0" borderId="25" xfId="0" applyBorder="1" applyAlignment="1"/>
    <xf numFmtId="0" fontId="0" fillId="0" borderId="0" xfId="0" applyBorder="1" applyAlignment="1"/>
    <xf numFmtId="0" fontId="28" fillId="0" borderId="18" xfId="0" applyFont="1" applyFill="1" applyBorder="1" applyAlignment="1">
      <alignment horizontal="left" vertical="center"/>
    </xf>
    <xf numFmtId="0" fontId="0" fillId="0" borderId="20" xfId="0" applyBorder="1" applyAlignment="1">
      <alignment horizontal="left" vertical="center"/>
    </xf>
    <xf numFmtId="0" fontId="28" fillId="0" borderId="16" xfId="0" applyFont="1" applyFill="1" applyBorder="1" applyAlignment="1">
      <alignment horizontal="left" vertical="center"/>
    </xf>
    <xf numFmtId="0" fontId="0" fillId="0" borderId="33" xfId="0" applyBorder="1" applyAlignment="1">
      <alignment vertical="center"/>
    </xf>
    <xf numFmtId="0" fontId="0" fillId="0" borderId="18" xfId="0" applyFont="1" applyFill="1" applyBorder="1" applyAlignment="1">
      <alignment horizontal="center"/>
    </xf>
    <xf numFmtId="0" fontId="0" fillId="0" borderId="20" xfId="0" applyFont="1" applyFill="1" applyBorder="1" applyAlignment="1">
      <alignment horizontal="center"/>
    </xf>
    <xf numFmtId="0" fontId="0" fillId="0" borderId="20" xfId="0" applyBorder="1" applyAlignment="1">
      <alignment horizontal="center" vertical="center"/>
    </xf>
    <xf numFmtId="0" fontId="47" fillId="0" borderId="45" xfId="0" applyFont="1" applyFill="1" applyBorder="1" applyAlignment="1">
      <alignment horizontal="center"/>
    </xf>
    <xf numFmtId="0" fontId="28" fillId="0" borderId="45" xfId="0" applyFont="1" applyFill="1" applyBorder="1" applyAlignment="1">
      <alignment horizontal="center" vertical="center"/>
    </xf>
    <xf numFmtId="0" fontId="46" fillId="0" borderId="45" xfId="0" applyFont="1" applyFill="1" applyBorder="1" applyAlignment="1">
      <alignment horizontal="center" vertical="center"/>
    </xf>
    <xf numFmtId="0" fontId="47" fillId="0" borderId="45" xfId="0" applyFont="1" applyFill="1" applyBorder="1" applyAlignment="1">
      <alignment horizontal="center" vertical="center"/>
    </xf>
    <xf numFmtId="0" fontId="41" fillId="0" borderId="85" xfId="0" applyFont="1" applyFill="1" applyBorder="1" applyAlignment="1">
      <alignment horizontal="center" vertical="center" wrapText="1" shrinkToFit="1"/>
    </xf>
    <xf numFmtId="0" fontId="41" fillId="0" borderId="65" xfId="0" applyFont="1" applyFill="1" applyBorder="1" applyAlignment="1">
      <alignment horizontal="center" vertical="center" wrapText="1" shrinkToFit="1"/>
    </xf>
    <xf numFmtId="0" fontId="28" fillId="26" borderId="25" xfId="0" applyFont="1" applyFill="1" applyBorder="1" applyAlignment="1">
      <alignment horizontal="center" vertical="center" wrapText="1"/>
    </xf>
    <xf numFmtId="0" fontId="46" fillId="26" borderId="65" xfId="0" applyFont="1" applyFill="1" applyBorder="1" applyAlignment="1">
      <alignment horizontal="center" vertical="center" wrapText="1"/>
    </xf>
    <xf numFmtId="0" fontId="34" fillId="0" borderId="18" xfId="0" applyFont="1" applyFill="1" applyBorder="1" applyAlignment="1">
      <alignment wrapText="1"/>
    </xf>
    <xf numFmtId="0" fontId="34" fillId="0" borderId="36" xfId="0" applyFont="1" applyFill="1" applyBorder="1" applyAlignment="1">
      <alignment wrapText="1"/>
    </xf>
    <xf numFmtId="0" fontId="0" fillId="0" borderId="20" xfId="0" applyBorder="1" applyAlignment="1">
      <alignment wrapText="1"/>
    </xf>
    <xf numFmtId="0" fontId="0" fillId="0" borderId="92" xfId="0" applyBorder="1" applyAlignment="1">
      <alignment wrapText="1"/>
    </xf>
    <xf numFmtId="0" fontId="0" fillId="0" borderId="86" xfId="0" applyBorder="1" applyAlignment="1">
      <alignment wrapText="1"/>
    </xf>
    <xf numFmtId="0" fontId="0" fillId="0" borderId="70" xfId="0" applyBorder="1" applyAlignment="1">
      <alignment wrapText="1"/>
    </xf>
    <xf numFmtId="0" fontId="42" fillId="0" borderId="20" xfId="0" applyFont="1" applyFill="1" applyBorder="1" applyAlignment="1">
      <alignment horizontal="center" vertical="center" wrapText="1" shrinkToFit="1"/>
    </xf>
    <xf numFmtId="0" fontId="42" fillId="0" borderId="15" xfId="0" applyFont="1" applyFill="1" applyBorder="1" applyAlignment="1">
      <alignment horizontal="center" vertical="center" wrapText="1" shrinkToFit="1"/>
    </xf>
    <xf numFmtId="0" fontId="42" fillId="0" borderId="13" xfId="0" applyFont="1" applyFill="1" applyBorder="1" applyAlignment="1">
      <alignment horizontal="center" vertical="center" wrapText="1" shrinkToFit="1"/>
    </xf>
    <xf numFmtId="0" fontId="42" fillId="0" borderId="41" xfId="0" applyFont="1" applyFill="1" applyBorder="1" applyAlignment="1">
      <alignment horizontal="center" vertical="center" wrapText="1" shrinkToFit="1"/>
    </xf>
    <xf numFmtId="49" fontId="28" fillId="0" borderId="85" xfId="0" applyNumberFormat="1" applyFont="1" applyFill="1" applyBorder="1" applyAlignment="1">
      <alignment vertical="center"/>
    </xf>
    <xf numFmtId="0" fontId="0" fillId="0" borderId="88" xfId="0" applyBorder="1" applyAlignment="1"/>
  </cellXfs>
  <cellStyles count="87">
    <cellStyle name="20% - Akzent1" xfId="1"/>
    <cellStyle name="20% - Akzent2" xfId="2"/>
    <cellStyle name="20% - Akzent3" xfId="3"/>
    <cellStyle name="20% - Akzent4" xfId="4"/>
    <cellStyle name="20% - Akzent5" xfId="5"/>
    <cellStyle name="20% - Akzent6" xfId="6"/>
    <cellStyle name="20% - Énfasis1" xfId="7"/>
    <cellStyle name="20% - Énfasis2" xfId="8"/>
    <cellStyle name="20% - Énfasis3" xfId="9"/>
    <cellStyle name="20% - Énfasis4" xfId="10"/>
    <cellStyle name="20% - Énfasis5" xfId="11"/>
    <cellStyle name="20% - Énfasis6" xfId="12"/>
    <cellStyle name="40% - Akzent1" xfId="13"/>
    <cellStyle name="40% - Akzent2" xfId="14"/>
    <cellStyle name="40% - Akzent3" xfId="15"/>
    <cellStyle name="40% - Akzent4" xfId="16"/>
    <cellStyle name="40% - Akzent5" xfId="17"/>
    <cellStyle name="40% - Akzent6" xfId="18"/>
    <cellStyle name="40% - Énfasis1" xfId="19"/>
    <cellStyle name="40% - Énfasis2" xfId="20"/>
    <cellStyle name="40% - Énfasis3" xfId="21"/>
    <cellStyle name="40% - Énfasis4" xfId="22"/>
    <cellStyle name="40% - Énfasis5" xfId="23"/>
    <cellStyle name="40% - Énfasis6" xfId="24"/>
    <cellStyle name="60% - Akzent1" xfId="25"/>
    <cellStyle name="60% - Akzent2" xfId="26"/>
    <cellStyle name="60% - Akzent3" xfId="27"/>
    <cellStyle name="60% - Akzent4" xfId="28"/>
    <cellStyle name="60% - Akzent5" xfId="29"/>
    <cellStyle name="60% - Akzent6" xfId="30"/>
    <cellStyle name="60% - Énfasis1" xfId="31"/>
    <cellStyle name="60% - Énfasis2" xfId="32"/>
    <cellStyle name="60% - Énfasis3" xfId="33"/>
    <cellStyle name="60% - Énfasis4" xfId="34"/>
    <cellStyle name="60% - Énfasis5" xfId="35"/>
    <cellStyle name="60% - Énfasis6" xfId="36"/>
    <cellStyle name="Ausgabe" xfId="37"/>
    <cellStyle name="Berechnung" xfId="38"/>
    <cellStyle name="Buena" xfId="39"/>
    <cellStyle name="Cálculo" xfId="40"/>
    <cellStyle name="Celda de comprobación" xfId="41"/>
    <cellStyle name="Celda vinculada" xfId="42"/>
    <cellStyle name="Eingabe" xfId="43"/>
    <cellStyle name="Encabezado 4" xfId="44"/>
    <cellStyle name="Énfasis1" xfId="45"/>
    <cellStyle name="Énfasis2" xfId="46"/>
    <cellStyle name="Énfasis3" xfId="47"/>
    <cellStyle name="Énfasis4" xfId="48"/>
    <cellStyle name="Énfasis5" xfId="49"/>
    <cellStyle name="Énfasis6" xfId="50"/>
    <cellStyle name="Entrada" xfId="51"/>
    <cellStyle name="Ergebnis" xfId="52"/>
    <cellStyle name="Erklärender Text" xfId="53"/>
    <cellStyle name="Hyperlink" xfId="84" builtinId="8"/>
    <cellStyle name="Incorrecto" xfId="54"/>
    <cellStyle name="Normal" xfId="0" builtinId="0"/>
    <cellStyle name="Normal 10" xfId="85"/>
    <cellStyle name="Normal 2" xfId="55"/>
    <cellStyle name="Normal 2 2" xfId="56"/>
    <cellStyle name="Normal 21" xfId="82"/>
    <cellStyle name="Normal 3" xfId="57"/>
    <cellStyle name="Normal 4" xfId="81"/>
    <cellStyle name="Normale 2" xfId="58"/>
    <cellStyle name="Normale 2 2" xfId="59"/>
    <cellStyle name="Normale 2_DCF_Guidelines_Standard-Tables_Version-2009 2" xfId="60"/>
    <cellStyle name="Normale 3" xfId="61"/>
    <cellStyle name="Normale 3 2" xfId="62"/>
    <cellStyle name="Normale 4" xfId="63"/>
    <cellStyle name="Normale_ITA Revised tables AR 2011_15 August 2012" xfId="77"/>
    <cellStyle name="Notas" xfId="64"/>
    <cellStyle name="Notiz" xfId="65"/>
    <cellStyle name="Percent" xfId="83" builtinId="5"/>
    <cellStyle name="Percent 2 2" xfId="86"/>
    <cellStyle name="Salida" xfId="66"/>
    <cellStyle name="Standard 2" xfId="67"/>
    <cellStyle name="Standard 2 2" xfId="68"/>
    <cellStyle name="Standard 2 2 2" xfId="79"/>
    <cellStyle name="Standard 2 2 2 2" xfId="80"/>
    <cellStyle name="Standard 2 3" xfId="78"/>
    <cellStyle name="Texto de advertencia" xfId="69"/>
    <cellStyle name="Texto explicativo" xfId="70"/>
    <cellStyle name="Título" xfId="71"/>
    <cellStyle name="Título 1" xfId="72"/>
    <cellStyle name="Título 2" xfId="73"/>
    <cellStyle name="Título 3" xfId="74"/>
    <cellStyle name="Überschrift" xfId="75"/>
    <cellStyle name="Warnender Text" xfId="76"/>
  </cellStyles>
  <dxfs count="1">
    <dxf>
      <fill>
        <patternFill>
          <bgColor theme="0" tint="-0.24994659260841701"/>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666666"/>
      <rgbColor rgb="00800080"/>
      <rgbColor rgb="00008080"/>
      <rgbColor rgb="00C0C0C0"/>
      <rgbColor rgb="00808080"/>
      <rgbColor rgb="00E6E6E6"/>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E6E6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ngeliki\Desktop\NWP-INALE\RCM_MED\ToR1_Med&amp;BS%20Table_2016%20RCMMEDBS-LP%20Data%20Cal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dification"/>
      <sheetName val="Med&amp;BS_Ranking of metiers"/>
      <sheetName val="Format description"/>
      <sheetName val="Drop-down list"/>
    </sheetNames>
    <sheetDataSet>
      <sheetData sheetId="0">
        <row r="18">
          <cell r="A18" t="str">
            <v>DRB_MOL_0_0_0</v>
          </cell>
        </row>
        <row r="51">
          <cell r="A51" t="str">
            <v>GSA1</v>
          </cell>
        </row>
        <row r="52">
          <cell r="A52" t="str">
            <v>GSA2</v>
          </cell>
        </row>
        <row r="53">
          <cell r="A53" t="str">
            <v>GSA3</v>
          </cell>
        </row>
        <row r="54">
          <cell r="A54" t="str">
            <v>GSA4</v>
          </cell>
        </row>
        <row r="55">
          <cell r="A55" t="str">
            <v>GSA5</v>
          </cell>
        </row>
        <row r="56">
          <cell r="A56" t="str">
            <v>GSA6</v>
          </cell>
        </row>
        <row r="57">
          <cell r="A57" t="str">
            <v>GSA7</v>
          </cell>
        </row>
        <row r="58">
          <cell r="A58" t="str">
            <v>GSA8</v>
          </cell>
        </row>
        <row r="59">
          <cell r="A59" t="str">
            <v>GSA9</v>
          </cell>
        </row>
        <row r="60">
          <cell r="A60" t="str">
            <v>GSA10</v>
          </cell>
        </row>
        <row r="61">
          <cell r="A61" t="str">
            <v>GSA11.1</v>
          </cell>
        </row>
        <row r="62">
          <cell r="A62" t="str">
            <v>GSA11.2</v>
          </cell>
        </row>
        <row r="63">
          <cell r="A63" t="str">
            <v>GSA12</v>
          </cell>
        </row>
        <row r="64">
          <cell r="A64" t="str">
            <v>GSA13</v>
          </cell>
        </row>
        <row r="65">
          <cell r="A65" t="str">
            <v>GSA14</v>
          </cell>
        </row>
        <row r="66">
          <cell r="A66" t="str">
            <v>GSA15</v>
          </cell>
        </row>
        <row r="67">
          <cell r="A67" t="str">
            <v>GSA16</v>
          </cell>
        </row>
        <row r="68">
          <cell r="A68" t="str">
            <v>GSA17</v>
          </cell>
        </row>
        <row r="69">
          <cell r="A69" t="str">
            <v>GSA18</v>
          </cell>
        </row>
        <row r="70">
          <cell r="A70" t="str">
            <v>GSA19</v>
          </cell>
        </row>
        <row r="71">
          <cell r="A71" t="str">
            <v>GSA20</v>
          </cell>
        </row>
        <row r="72">
          <cell r="A72" t="str">
            <v>GSA21</v>
          </cell>
        </row>
        <row r="73">
          <cell r="A73" t="str">
            <v>GSA22</v>
          </cell>
        </row>
        <row r="74">
          <cell r="A74" t="str">
            <v>GSA23</v>
          </cell>
        </row>
        <row r="75">
          <cell r="A75" t="str">
            <v>GSA24</v>
          </cell>
        </row>
        <row r="76">
          <cell r="A76" t="str">
            <v>GSA25</v>
          </cell>
        </row>
        <row r="77">
          <cell r="A77" t="str">
            <v>GSA26</v>
          </cell>
        </row>
        <row r="78">
          <cell r="A78" t="str">
            <v>GSA27</v>
          </cell>
        </row>
        <row r="79">
          <cell r="A79" t="str">
            <v>GSA28</v>
          </cell>
        </row>
        <row r="80">
          <cell r="A80" t="str">
            <v>GSA29</v>
          </cell>
        </row>
        <row r="81">
          <cell r="A81" t="str">
            <v>GSA30</v>
          </cell>
        </row>
      </sheetData>
      <sheetData sheetId="1"/>
      <sheetData sheetId="2"/>
      <sheetData sheetId="3" refreshError="1"/>
    </sheetDataSet>
  </externalBook>
</externalLink>
</file>

<file path=xl/theme/theme1.xml><?xml version="1.0" encoding="utf-8"?>
<a:theme xmlns:a="http://schemas.openxmlformats.org/drawingml/2006/main" name="Office-Desig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hyperlink" Target="mailto:leonie.odowd@marine.ie" TargetMode="External"/><Relationship Id="rId2" Type="http://schemas.openxmlformats.org/officeDocument/2006/relationships/hyperlink" Target="mailto:leonie.odowd@marine.ie" TargetMode="External"/><Relationship Id="rId1" Type="http://schemas.openxmlformats.org/officeDocument/2006/relationships/hyperlink" Target="mailto:leonie.odowd@marine.ie" TargetMode="External"/><Relationship Id="rId5" Type="http://schemas.openxmlformats.org/officeDocument/2006/relationships/printerSettings" Target="../printerSettings/printerSettings22.bin"/><Relationship Id="rId4" Type="http://schemas.openxmlformats.org/officeDocument/2006/relationships/hyperlink" Target="mailto:leonie.odowd@marine.ie"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W249"/>
  <sheetViews>
    <sheetView topLeftCell="E1" zoomScale="90" zoomScaleNormal="90" workbookViewId="0">
      <pane ySplit="4" topLeftCell="A5" activePane="bottomLeft" state="frozen"/>
      <selection activeCell="B1" sqref="B1"/>
      <selection pane="bottomLeft" activeCell="N26" sqref="N26"/>
    </sheetView>
  </sheetViews>
  <sheetFormatPr defaultColWidth="8.85546875" defaultRowHeight="12.75" x14ac:dyDescent="0.2"/>
  <cols>
    <col min="1" max="1" width="8.7109375" customWidth="1"/>
    <col min="2" max="2" width="13" customWidth="1"/>
    <col min="3" max="3" width="31.7109375" customWidth="1"/>
    <col min="4" max="4" width="44.140625" customWidth="1"/>
    <col min="5" max="5" width="15.28515625" customWidth="1"/>
    <col min="6" max="6" width="8.7109375" customWidth="1"/>
    <col min="7" max="7" width="16.85546875" customWidth="1"/>
    <col min="8" max="8" width="14.5703125" style="14" customWidth="1"/>
    <col min="9" max="9" width="11" customWidth="1"/>
    <col min="10" max="10" width="18.42578125" customWidth="1"/>
    <col min="11" max="11" width="9.7109375" customWidth="1"/>
    <col min="12" max="12" width="66.85546875" style="13" customWidth="1"/>
    <col min="13" max="13" width="64.28515625" bestFit="1" customWidth="1"/>
    <col min="15" max="15" width="57" customWidth="1"/>
    <col min="25" max="25" width="52.7109375" customWidth="1"/>
  </cols>
  <sheetData>
    <row r="1" spans="1:23" ht="13.5" thickBot="1" x14ac:dyDescent="0.25">
      <c r="A1" s="11" t="s">
        <v>46</v>
      </c>
      <c r="B1" s="1"/>
      <c r="C1" s="1"/>
      <c r="D1" s="1"/>
      <c r="E1" s="1"/>
      <c r="F1" s="1"/>
      <c r="G1" s="1"/>
      <c r="H1" s="12"/>
      <c r="I1" s="1"/>
      <c r="J1" s="1"/>
      <c r="K1" s="1"/>
    </row>
    <row r="2" spans="1:23" ht="15" customHeight="1" x14ac:dyDescent="0.2">
      <c r="A2" s="73"/>
      <c r="B2" s="74"/>
      <c r="C2" s="74"/>
      <c r="D2" s="74"/>
      <c r="E2" s="74"/>
      <c r="F2" s="74"/>
      <c r="G2" s="74"/>
      <c r="H2" s="74"/>
      <c r="I2" s="74"/>
      <c r="J2" s="75"/>
      <c r="K2" s="75"/>
      <c r="L2" s="87" t="s">
        <v>56</v>
      </c>
      <c r="M2" s="88" t="s">
        <v>50</v>
      </c>
    </row>
    <row r="3" spans="1:23" ht="13.5" customHeight="1" thickBot="1" x14ac:dyDescent="0.25">
      <c r="A3" s="74"/>
      <c r="B3" s="74"/>
      <c r="C3" s="74"/>
      <c r="D3" s="74"/>
      <c r="E3" s="74"/>
      <c r="F3" s="74"/>
      <c r="G3" s="74"/>
      <c r="H3" s="74"/>
      <c r="I3" s="74"/>
      <c r="J3" s="76"/>
      <c r="K3" s="76"/>
      <c r="L3" s="89" t="s">
        <v>55</v>
      </c>
      <c r="M3" s="150">
        <v>2019</v>
      </c>
      <c r="W3">
        <v>2019</v>
      </c>
    </row>
    <row r="4" spans="1:23" s="4" customFormat="1" ht="73.150000000000006" customHeight="1" thickBot="1" x14ac:dyDescent="0.25">
      <c r="A4" s="151" t="s">
        <v>0</v>
      </c>
      <c r="B4" s="16" t="s">
        <v>58</v>
      </c>
      <c r="C4" s="17" t="s">
        <v>8</v>
      </c>
      <c r="D4" s="18" t="s">
        <v>1</v>
      </c>
      <c r="E4" s="18" t="s">
        <v>5</v>
      </c>
      <c r="F4" s="17" t="s">
        <v>18</v>
      </c>
      <c r="G4" s="17" t="s">
        <v>37</v>
      </c>
      <c r="H4" s="18" t="s">
        <v>26</v>
      </c>
      <c r="I4" s="18" t="s">
        <v>25</v>
      </c>
      <c r="J4" s="18" t="s">
        <v>57</v>
      </c>
      <c r="K4" s="18" t="s">
        <v>27</v>
      </c>
      <c r="L4" s="152" t="s">
        <v>4</v>
      </c>
      <c r="M4" s="614" t="s">
        <v>54</v>
      </c>
    </row>
    <row r="5" spans="1:23" s="4" customFormat="1" ht="73.150000000000006" customHeight="1" x14ac:dyDescent="0.2">
      <c r="A5" s="188" t="s">
        <v>277</v>
      </c>
      <c r="B5" s="189" t="s">
        <v>319</v>
      </c>
      <c r="C5" s="190" t="s">
        <v>76</v>
      </c>
      <c r="D5" s="191" t="s">
        <v>320</v>
      </c>
      <c r="E5" s="189" t="s">
        <v>74</v>
      </c>
      <c r="F5" s="191" t="s">
        <v>321</v>
      </c>
      <c r="G5" s="189" t="s">
        <v>77</v>
      </c>
      <c r="H5" s="192" t="s">
        <v>322</v>
      </c>
      <c r="I5" s="192"/>
      <c r="J5" s="192" t="s">
        <v>322</v>
      </c>
      <c r="K5" s="189" t="s">
        <v>6</v>
      </c>
      <c r="L5" s="193" t="s">
        <v>1709</v>
      </c>
      <c r="M5" s="459"/>
    </row>
    <row r="6" spans="1:23" x14ac:dyDescent="0.2">
      <c r="A6" s="188" t="s">
        <v>277</v>
      </c>
      <c r="B6" s="189" t="s">
        <v>319</v>
      </c>
      <c r="C6" s="190" t="s">
        <v>323</v>
      </c>
      <c r="D6" s="191" t="s">
        <v>320</v>
      </c>
      <c r="E6" s="189" t="s">
        <v>74</v>
      </c>
      <c r="F6" s="191" t="s">
        <v>321</v>
      </c>
      <c r="G6" s="189" t="s">
        <v>77</v>
      </c>
      <c r="H6" s="192" t="s">
        <v>322</v>
      </c>
      <c r="I6" s="192" t="s">
        <v>322</v>
      </c>
      <c r="J6" s="192"/>
      <c r="K6" s="189" t="s">
        <v>6</v>
      </c>
      <c r="L6" s="194"/>
      <c r="M6" s="202" t="s">
        <v>1712</v>
      </c>
      <c r="N6" s="227"/>
      <c r="O6" s="227"/>
      <c r="P6" s="227"/>
      <c r="Q6" s="227"/>
    </row>
    <row r="7" spans="1:23" x14ac:dyDescent="0.2">
      <c r="A7" s="188" t="s">
        <v>277</v>
      </c>
      <c r="B7" s="189" t="s">
        <v>319</v>
      </c>
      <c r="C7" s="190" t="s">
        <v>324</v>
      </c>
      <c r="D7" s="191" t="s">
        <v>320</v>
      </c>
      <c r="E7" s="189" t="s">
        <v>74</v>
      </c>
      <c r="F7" s="191" t="s">
        <v>325</v>
      </c>
      <c r="G7" s="189" t="s">
        <v>77</v>
      </c>
      <c r="H7" s="192">
        <v>1900</v>
      </c>
      <c r="I7" s="192">
        <v>9</v>
      </c>
      <c r="J7" s="192"/>
      <c r="K7" s="189" t="s">
        <v>6</v>
      </c>
      <c r="L7" s="200" t="s">
        <v>326</v>
      </c>
      <c r="M7" s="202" t="s">
        <v>1947</v>
      </c>
      <c r="N7" s="227"/>
      <c r="O7" s="227"/>
      <c r="P7" s="227"/>
      <c r="Q7" s="227"/>
    </row>
    <row r="8" spans="1:23" x14ac:dyDescent="0.2">
      <c r="A8" s="188" t="s">
        <v>277</v>
      </c>
      <c r="B8" s="189" t="s">
        <v>319</v>
      </c>
      <c r="C8" s="190" t="s">
        <v>75</v>
      </c>
      <c r="D8" s="191" t="s">
        <v>320</v>
      </c>
      <c r="E8" s="189" t="s">
        <v>74</v>
      </c>
      <c r="F8" s="191" t="s">
        <v>321</v>
      </c>
      <c r="G8" s="189" t="s">
        <v>77</v>
      </c>
      <c r="H8" s="192" t="s">
        <v>327</v>
      </c>
      <c r="I8" s="192">
        <v>1</v>
      </c>
      <c r="J8" s="192"/>
      <c r="K8" s="189" t="s">
        <v>6</v>
      </c>
      <c r="L8" s="200"/>
      <c r="M8" s="202" t="s">
        <v>1712</v>
      </c>
      <c r="N8" s="227"/>
      <c r="O8" s="227"/>
      <c r="P8" s="227"/>
      <c r="Q8" s="227"/>
    </row>
    <row r="9" spans="1:23" x14ac:dyDescent="0.2">
      <c r="A9" s="188" t="s">
        <v>277</v>
      </c>
      <c r="B9" s="189" t="s">
        <v>319</v>
      </c>
      <c r="C9" s="190" t="s">
        <v>328</v>
      </c>
      <c r="D9" s="191" t="s">
        <v>320</v>
      </c>
      <c r="E9" s="189" t="s">
        <v>74</v>
      </c>
      <c r="F9" s="191" t="s">
        <v>321</v>
      </c>
      <c r="G9" s="189" t="s">
        <v>77</v>
      </c>
      <c r="H9" s="192" t="s">
        <v>322</v>
      </c>
      <c r="I9" s="192" t="s">
        <v>322</v>
      </c>
      <c r="J9" s="192"/>
      <c r="K9" s="189" t="s">
        <v>6</v>
      </c>
      <c r="L9" s="200"/>
      <c r="M9" s="202" t="s">
        <v>1712</v>
      </c>
      <c r="N9" s="227"/>
      <c r="O9" s="227"/>
      <c r="P9" s="227"/>
      <c r="Q9" s="227"/>
    </row>
    <row r="10" spans="1:23" x14ac:dyDescent="0.2">
      <c r="A10" s="188" t="s">
        <v>277</v>
      </c>
      <c r="B10" s="189" t="s">
        <v>319</v>
      </c>
      <c r="C10" s="190" t="s">
        <v>329</v>
      </c>
      <c r="D10" s="191" t="s">
        <v>320</v>
      </c>
      <c r="E10" s="189" t="s">
        <v>74</v>
      </c>
      <c r="F10" s="191" t="s">
        <v>321</v>
      </c>
      <c r="G10" s="189" t="s">
        <v>77</v>
      </c>
      <c r="H10" s="192" t="s">
        <v>327</v>
      </c>
      <c r="I10" s="192" t="s">
        <v>322</v>
      </c>
      <c r="J10" s="192"/>
      <c r="K10" s="189" t="s">
        <v>6</v>
      </c>
      <c r="L10" s="200"/>
      <c r="M10" s="202" t="s">
        <v>1712</v>
      </c>
      <c r="N10" s="227"/>
      <c r="O10" s="227"/>
      <c r="P10" s="227"/>
      <c r="Q10" s="227"/>
    </row>
    <row r="11" spans="1:23" x14ac:dyDescent="0.2">
      <c r="A11" s="188" t="s">
        <v>277</v>
      </c>
      <c r="B11" s="189" t="s">
        <v>319</v>
      </c>
      <c r="C11" s="190" t="s">
        <v>330</v>
      </c>
      <c r="D11" s="191" t="s">
        <v>320</v>
      </c>
      <c r="E11" s="189" t="s">
        <v>74</v>
      </c>
      <c r="F11" s="191" t="s">
        <v>331</v>
      </c>
      <c r="G11" s="189" t="s">
        <v>332</v>
      </c>
      <c r="H11" s="192" t="s">
        <v>327</v>
      </c>
      <c r="I11" s="192" t="s">
        <v>332</v>
      </c>
      <c r="J11" s="192" t="s">
        <v>332</v>
      </c>
      <c r="K11" s="189" t="s">
        <v>332</v>
      </c>
      <c r="L11" s="200" t="s">
        <v>333</v>
      </c>
      <c r="M11" s="202" t="s">
        <v>1712</v>
      </c>
      <c r="N11" s="227"/>
      <c r="O11" s="227"/>
      <c r="P11" s="227"/>
      <c r="Q11" s="227"/>
    </row>
    <row r="12" spans="1:23" x14ac:dyDescent="0.2">
      <c r="A12" s="188" t="s">
        <v>277</v>
      </c>
      <c r="B12" s="189" t="s">
        <v>319</v>
      </c>
      <c r="C12" s="190" t="s">
        <v>334</v>
      </c>
      <c r="D12" s="191" t="s">
        <v>320</v>
      </c>
      <c r="E12" s="189" t="s">
        <v>74</v>
      </c>
      <c r="F12" s="191" t="s">
        <v>321</v>
      </c>
      <c r="G12" s="189" t="s">
        <v>77</v>
      </c>
      <c r="H12" s="192" t="s">
        <v>322</v>
      </c>
      <c r="I12" s="192" t="s">
        <v>322</v>
      </c>
      <c r="J12" s="192"/>
      <c r="K12" s="189" t="s">
        <v>6</v>
      </c>
      <c r="L12" s="200"/>
      <c r="M12" s="202" t="s">
        <v>1712</v>
      </c>
      <c r="N12" s="227"/>
      <c r="O12" s="227"/>
      <c r="P12" s="227"/>
      <c r="Q12" s="227"/>
    </row>
    <row r="13" spans="1:23" x14ac:dyDescent="0.2">
      <c r="A13" s="188" t="s">
        <v>277</v>
      </c>
      <c r="B13" s="189" t="s">
        <v>319</v>
      </c>
      <c r="C13" s="190" t="s">
        <v>335</v>
      </c>
      <c r="D13" s="191" t="s">
        <v>320</v>
      </c>
      <c r="E13" s="189" t="s">
        <v>74</v>
      </c>
      <c r="F13" s="191" t="s">
        <v>321</v>
      </c>
      <c r="G13" s="189" t="s">
        <v>77</v>
      </c>
      <c r="H13" s="192" t="s">
        <v>322</v>
      </c>
      <c r="I13" s="192" t="s">
        <v>322</v>
      </c>
      <c r="J13" s="192"/>
      <c r="K13" s="189" t="s">
        <v>6</v>
      </c>
      <c r="L13" s="200"/>
      <c r="M13" s="202" t="s">
        <v>1948</v>
      </c>
      <c r="N13" s="227"/>
      <c r="O13" s="227"/>
      <c r="P13" s="227"/>
      <c r="Q13" s="227"/>
    </row>
    <row r="14" spans="1:23" x14ac:dyDescent="0.2">
      <c r="A14" s="188" t="s">
        <v>277</v>
      </c>
      <c r="B14" s="189" t="s">
        <v>319</v>
      </c>
      <c r="C14" s="190" t="s">
        <v>336</v>
      </c>
      <c r="D14" s="191" t="s">
        <v>320</v>
      </c>
      <c r="E14" s="189" t="s">
        <v>74</v>
      </c>
      <c r="F14" s="191" t="s">
        <v>321</v>
      </c>
      <c r="G14" s="189" t="s">
        <v>77</v>
      </c>
      <c r="H14" s="192" t="s">
        <v>322</v>
      </c>
      <c r="I14" s="192"/>
      <c r="J14" s="192" t="s">
        <v>322</v>
      </c>
      <c r="K14" s="189" t="s">
        <v>6</v>
      </c>
      <c r="L14" s="200"/>
      <c r="M14" s="202" t="s">
        <v>1712</v>
      </c>
      <c r="N14" s="227"/>
      <c r="O14" s="227"/>
      <c r="P14" s="227"/>
      <c r="Q14" s="227"/>
    </row>
    <row r="15" spans="1:23" x14ac:dyDescent="0.2">
      <c r="A15" s="188" t="s">
        <v>277</v>
      </c>
      <c r="B15" s="189" t="s">
        <v>319</v>
      </c>
      <c r="C15" s="190" t="s">
        <v>153</v>
      </c>
      <c r="D15" s="191" t="s">
        <v>320</v>
      </c>
      <c r="E15" s="189" t="s">
        <v>74</v>
      </c>
      <c r="F15" s="191" t="s">
        <v>321</v>
      </c>
      <c r="G15" s="189" t="s">
        <v>77</v>
      </c>
      <c r="H15" s="192" t="s">
        <v>322</v>
      </c>
      <c r="I15" s="192"/>
      <c r="J15" s="192" t="s">
        <v>322</v>
      </c>
      <c r="K15" s="189" t="s">
        <v>6</v>
      </c>
      <c r="L15" s="200"/>
      <c r="M15" s="202" t="s">
        <v>1712</v>
      </c>
      <c r="N15" s="227"/>
      <c r="O15" s="227"/>
      <c r="P15" s="227"/>
      <c r="Q15" s="227"/>
    </row>
    <row r="16" spans="1:23" x14ac:dyDescent="0.2">
      <c r="A16" s="188" t="s">
        <v>277</v>
      </c>
      <c r="B16" s="189" t="s">
        <v>319</v>
      </c>
      <c r="C16" s="190" t="s">
        <v>337</v>
      </c>
      <c r="D16" s="191" t="s">
        <v>320</v>
      </c>
      <c r="E16" s="189" t="s">
        <v>74</v>
      </c>
      <c r="F16" s="191" t="s">
        <v>338</v>
      </c>
      <c r="G16" s="189" t="s">
        <v>332</v>
      </c>
      <c r="H16" s="192">
        <v>580</v>
      </c>
      <c r="I16" s="192" t="s">
        <v>332</v>
      </c>
      <c r="J16" s="192" t="s">
        <v>332</v>
      </c>
      <c r="K16" s="189" t="s">
        <v>332</v>
      </c>
      <c r="L16" s="200" t="s">
        <v>339</v>
      </c>
      <c r="M16" s="202" t="s">
        <v>1949</v>
      </c>
      <c r="N16" s="227"/>
      <c r="O16" s="227"/>
      <c r="P16" s="227"/>
      <c r="Q16" s="227"/>
    </row>
    <row r="17" spans="1:17" x14ac:dyDescent="0.2">
      <c r="A17" s="188" t="s">
        <v>277</v>
      </c>
      <c r="B17" s="189" t="s">
        <v>319</v>
      </c>
      <c r="C17" s="190" t="s">
        <v>340</v>
      </c>
      <c r="D17" s="191" t="s">
        <v>320</v>
      </c>
      <c r="E17" s="189" t="s">
        <v>74</v>
      </c>
      <c r="F17" s="191" t="s">
        <v>321</v>
      </c>
      <c r="G17" s="189" t="s">
        <v>77</v>
      </c>
      <c r="H17" s="192" t="s">
        <v>322</v>
      </c>
      <c r="I17" s="192" t="s">
        <v>322</v>
      </c>
      <c r="J17" s="192"/>
      <c r="K17" s="189" t="s">
        <v>6</v>
      </c>
      <c r="L17" s="200"/>
      <c r="M17" s="202" t="s">
        <v>1712</v>
      </c>
      <c r="N17" s="227"/>
      <c r="O17" s="227"/>
      <c r="P17" s="227"/>
      <c r="Q17" s="227"/>
    </row>
    <row r="18" spans="1:17" x14ac:dyDescent="0.2">
      <c r="A18" s="188" t="s">
        <v>277</v>
      </c>
      <c r="B18" s="189" t="s">
        <v>319</v>
      </c>
      <c r="C18" s="190" t="s">
        <v>341</v>
      </c>
      <c r="D18" s="191" t="s">
        <v>320</v>
      </c>
      <c r="E18" s="189" t="s">
        <v>74</v>
      </c>
      <c r="F18" s="191" t="s">
        <v>321</v>
      </c>
      <c r="G18" s="189" t="s">
        <v>77</v>
      </c>
      <c r="H18" s="192" t="s">
        <v>322</v>
      </c>
      <c r="I18" s="192" t="s">
        <v>322</v>
      </c>
      <c r="J18" s="192"/>
      <c r="K18" s="189" t="s">
        <v>6</v>
      </c>
      <c r="L18" s="200"/>
      <c r="M18" s="202" t="s">
        <v>1712</v>
      </c>
      <c r="N18" s="227"/>
      <c r="O18" s="227"/>
      <c r="P18" s="227"/>
      <c r="Q18" s="227"/>
    </row>
    <row r="19" spans="1:17" x14ac:dyDescent="0.2">
      <c r="A19" s="188" t="s">
        <v>277</v>
      </c>
      <c r="B19" s="189" t="s">
        <v>319</v>
      </c>
      <c r="C19" s="190" t="s">
        <v>342</v>
      </c>
      <c r="D19" s="191" t="s">
        <v>320</v>
      </c>
      <c r="E19" s="189" t="s">
        <v>74</v>
      </c>
      <c r="F19" s="191" t="s">
        <v>343</v>
      </c>
      <c r="G19" s="189" t="s">
        <v>332</v>
      </c>
      <c r="H19" s="192" t="s">
        <v>322</v>
      </c>
      <c r="I19" s="192" t="s">
        <v>332</v>
      </c>
      <c r="J19" s="192" t="s">
        <v>332</v>
      </c>
      <c r="K19" s="189" t="s">
        <v>332</v>
      </c>
      <c r="L19" s="200" t="s">
        <v>344</v>
      </c>
      <c r="M19" s="202" t="s">
        <v>1712</v>
      </c>
      <c r="N19" s="227"/>
      <c r="O19" s="227"/>
      <c r="P19" s="227"/>
      <c r="Q19" s="227"/>
    </row>
    <row r="20" spans="1:17" x14ac:dyDescent="0.2">
      <c r="A20" s="188" t="s">
        <v>277</v>
      </c>
      <c r="B20" s="189" t="s">
        <v>319</v>
      </c>
      <c r="C20" s="190" t="s">
        <v>345</v>
      </c>
      <c r="D20" s="191" t="s">
        <v>320</v>
      </c>
      <c r="E20" s="189" t="s">
        <v>74</v>
      </c>
      <c r="F20" s="191" t="s">
        <v>346</v>
      </c>
      <c r="G20" s="189" t="s">
        <v>77</v>
      </c>
      <c r="H20" s="192" t="s">
        <v>322</v>
      </c>
      <c r="I20" s="192" t="s">
        <v>322</v>
      </c>
      <c r="J20" s="192"/>
      <c r="K20" s="189" t="s">
        <v>6</v>
      </c>
      <c r="L20" s="200"/>
      <c r="M20" s="202" t="s">
        <v>1712</v>
      </c>
      <c r="N20" s="227"/>
      <c r="O20" s="227"/>
      <c r="P20" s="227"/>
      <c r="Q20" s="227"/>
    </row>
    <row r="21" spans="1:17" x14ac:dyDescent="0.2">
      <c r="A21" s="188" t="s">
        <v>277</v>
      </c>
      <c r="B21" s="189" t="s">
        <v>319</v>
      </c>
      <c r="C21" s="190" t="s">
        <v>347</v>
      </c>
      <c r="D21" s="191" t="s">
        <v>320</v>
      </c>
      <c r="E21" s="189" t="s">
        <v>7</v>
      </c>
      <c r="F21" s="191" t="s">
        <v>346</v>
      </c>
      <c r="G21" s="189" t="s">
        <v>77</v>
      </c>
      <c r="H21" s="192" t="s">
        <v>322</v>
      </c>
      <c r="I21" s="192"/>
      <c r="J21" s="192" t="s">
        <v>322</v>
      </c>
      <c r="K21" s="189" t="s">
        <v>6</v>
      </c>
      <c r="L21" s="200"/>
      <c r="M21" s="202" t="s">
        <v>1712</v>
      </c>
      <c r="N21" s="227"/>
      <c r="O21" s="227"/>
      <c r="P21" s="227"/>
      <c r="Q21" s="227"/>
    </row>
    <row r="22" spans="1:17" x14ac:dyDescent="0.2">
      <c r="A22" s="188" t="s">
        <v>277</v>
      </c>
      <c r="B22" s="189" t="s">
        <v>319</v>
      </c>
      <c r="C22" s="190" t="s">
        <v>76</v>
      </c>
      <c r="D22" s="191" t="s">
        <v>320</v>
      </c>
      <c r="E22" s="189" t="s">
        <v>74</v>
      </c>
      <c r="F22" s="191" t="s">
        <v>348</v>
      </c>
      <c r="G22" s="189" t="s">
        <v>77</v>
      </c>
      <c r="H22" s="192" t="s">
        <v>322</v>
      </c>
      <c r="I22" s="192"/>
      <c r="J22" s="192" t="s">
        <v>322</v>
      </c>
      <c r="K22" s="189" t="s">
        <v>6</v>
      </c>
      <c r="L22" s="200"/>
      <c r="M22" s="202" t="s">
        <v>1712</v>
      </c>
      <c r="N22" s="227"/>
      <c r="O22" s="227"/>
      <c r="P22" s="227"/>
      <c r="Q22" s="227"/>
    </row>
    <row r="23" spans="1:17" x14ac:dyDescent="0.2">
      <c r="A23" s="188" t="s">
        <v>277</v>
      </c>
      <c r="B23" s="189" t="s">
        <v>319</v>
      </c>
      <c r="C23" s="190" t="s">
        <v>349</v>
      </c>
      <c r="D23" s="191" t="s">
        <v>320</v>
      </c>
      <c r="E23" s="189" t="s">
        <v>74</v>
      </c>
      <c r="F23" s="191" t="s">
        <v>346</v>
      </c>
      <c r="G23" s="189" t="s">
        <v>77</v>
      </c>
      <c r="H23" s="192" t="s">
        <v>322</v>
      </c>
      <c r="I23" s="192">
        <v>1</v>
      </c>
      <c r="J23" s="192"/>
      <c r="K23" s="189" t="s">
        <v>6</v>
      </c>
      <c r="L23" s="200"/>
      <c r="M23" s="202" t="s">
        <v>1712</v>
      </c>
      <c r="N23" s="227"/>
      <c r="O23" s="227"/>
      <c r="P23" s="227"/>
      <c r="Q23" s="227"/>
    </row>
    <row r="24" spans="1:17" x14ac:dyDescent="0.2">
      <c r="A24" s="188" t="s">
        <v>277</v>
      </c>
      <c r="B24" s="189" t="s">
        <v>319</v>
      </c>
      <c r="C24" s="190" t="s">
        <v>323</v>
      </c>
      <c r="D24" s="191" t="s">
        <v>320</v>
      </c>
      <c r="E24" s="189" t="s">
        <v>74</v>
      </c>
      <c r="F24" s="191" t="s">
        <v>346</v>
      </c>
      <c r="G24" s="189" t="s">
        <v>77</v>
      </c>
      <c r="H24" s="192" t="s">
        <v>322</v>
      </c>
      <c r="I24" s="192" t="s">
        <v>322</v>
      </c>
      <c r="J24" s="192"/>
      <c r="K24" s="189" t="s">
        <v>6</v>
      </c>
      <c r="L24" s="200"/>
      <c r="M24" s="202" t="s">
        <v>1712</v>
      </c>
      <c r="N24" s="227"/>
      <c r="O24" s="227"/>
      <c r="P24" s="227"/>
      <c r="Q24" s="227"/>
    </row>
    <row r="25" spans="1:17" x14ac:dyDescent="0.2">
      <c r="A25" s="188" t="s">
        <v>277</v>
      </c>
      <c r="B25" s="189" t="s">
        <v>319</v>
      </c>
      <c r="C25" s="190" t="s">
        <v>324</v>
      </c>
      <c r="D25" s="191" t="s">
        <v>320</v>
      </c>
      <c r="E25" s="189" t="s">
        <v>74</v>
      </c>
      <c r="F25" s="191" t="s">
        <v>348</v>
      </c>
      <c r="G25" s="189" t="s">
        <v>77</v>
      </c>
      <c r="H25" s="192" t="s">
        <v>327</v>
      </c>
      <c r="I25" s="192" t="s">
        <v>322</v>
      </c>
      <c r="J25" s="192"/>
      <c r="K25" s="189" t="s">
        <v>6</v>
      </c>
      <c r="L25" s="200"/>
      <c r="M25" s="202" t="s">
        <v>1950</v>
      </c>
      <c r="N25" s="227"/>
      <c r="O25" s="227"/>
      <c r="P25" s="227"/>
      <c r="Q25" s="227"/>
    </row>
    <row r="26" spans="1:17" x14ac:dyDescent="0.2">
      <c r="A26" s="188" t="s">
        <v>277</v>
      </c>
      <c r="B26" s="189" t="s">
        <v>319</v>
      </c>
      <c r="C26" s="190" t="s">
        <v>350</v>
      </c>
      <c r="D26" s="191" t="s">
        <v>320</v>
      </c>
      <c r="E26" s="189" t="s">
        <v>74</v>
      </c>
      <c r="F26" s="191" t="s">
        <v>348</v>
      </c>
      <c r="G26" s="189" t="s">
        <v>77</v>
      </c>
      <c r="H26" s="192" t="s">
        <v>322</v>
      </c>
      <c r="I26" s="192"/>
      <c r="J26" s="192" t="s">
        <v>322</v>
      </c>
      <c r="K26" s="189" t="s">
        <v>6</v>
      </c>
      <c r="L26" s="200"/>
      <c r="M26" s="202" t="s">
        <v>1712</v>
      </c>
      <c r="N26" s="227"/>
      <c r="O26" s="227"/>
      <c r="P26" s="227"/>
      <c r="Q26" s="227"/>
    </row>
    <row r="27" spans="1:17" x14ac:dyDescent="0.2">
      <c r="A27" s="188" t="s">
        <v>277</v>
      </c>
      <c r="B27" s="189" t="s">
        <v>319</v>
      </c>
      <c r="C27" s="190" t="s">
        <v>351</v>
      </c>
      <c r="D27" s="191" t="s">
        <v>320</v>
      </c>
      <c r="E27" s="189" t="s">
        <v>74</v>
      </c>
      <c r="F27" s="191" t="s">
        <v>348</v>
      </c>
      <c r="G27" s="189" t="s">
        <v>77</v>
      </c>
      <c r="H27" s="192" t="s">
        <v>322</v>
      </c>
      <c r="I27" s="192"/>
      <c r="J27" s="192" t="s">
        <v>322</v>
      </c>
      <c r="K27" s="189" t="s">
        <v>6</v>
      </c>
      <c r="L27" s="200"/>
      <c r="M27" s="202" t="s">
        <v>1712</v>
      </c>
      <c r="N27" s="227"/>
      <c r="O27" s="227"/>
      <c r="P27" s="227"/>
      <c r="Q27" s="227"/>
    </row>
    <row r="28" spans="1:17" x14ac:dyDescent="0.2">
      <c r="A28" s="188" t="s">
        <v>277</v>
      </c>
      <c r="B28" s="189" t="s">
        <v>319</v>
      </c>
      <c r="C28" s="190" t="s">
        <v>352</v>
      </c>
      <c r="D28" s="191" t="s">
        <v>320</v>
      </c>
      <c r="E28" s="189" t="s">
        <v>7</v>
      </c>
      <c r="F28" s="191" t="s">
        <v>346</v>
      </c>
      <c r="G28" s="189" t="s">
        <v>77</v>
      </c>
      <c r="H28" s="192" t="s">
        <v>322</v>
      </c>
      <c r="I28" s="192"/>
      <c r="J28" s="192" t="s">
        <v>322</v>
      </c>
      <c r="K28" s="189" t="s">
        <v>6</v>
      </c>
      <c r="L28" s="200"/>
      <c r="M28" s="202" t="s">
        <v>1712</v>
      </c>
      <c r="N28" s="227"/>
      <c r="O28" s="227"/>
      <c r="P28" s="227"/>
      <c r="Q28" s="227"/>
    </row>
    <row r="29" spans="1:17" x14ac:dyDescent="0.2">
      <c r="A29" s="188" t="s">
        <v>277</v>
      </c>
      <c r="B29" s="189" t="s">
        <v>319</v>
      </c>
      <c r="C29" s="190" t="s">
        <v>75</v>
      </c>
      <c r="D29" s="191" t="s">
        <v>320</v>
      </c>
      <c r="E29" s="189" t="s">
        <v>74</v>
      </c>
      <c r="F29" s="191" t="s">
        <v>348</v>
      </c>
      <c r="G29" s="189" t="s">
        <v>77</v>
      </c>
      <c r="H29" s="192" t="s">
        <v>322</v>
      </c>
      <c r="I29" s="192" t="s">
        <v>322</v>
      </c>
      <c r="J29" s="192"/>
      <c r="K29" s="189" t="s">
        <v>6</v>
      </c>
      <c r="L29" s="200"/>
      <c r="M29" s="202" t="s">
        <v>1712</v>
      </c>
      <c r="N29" s="227"/>
      <c r="O29" s="227"/>
      <c r="P29" s="227"/>
      <c r="Q29" s="227"/>
    </row>
    <row r="30" spans="1:17" x14ac:dyDescent="0.2">
      <c r="A30" s="188" t="s">
        <v>277</v>
      </c>
      <c r="B30" s="189" t="s">
        <v>319</v>
      </c>
      <c r="C30" s="190" t="s">
        <v>353</v>
      </c>
      <c r="D30" s="191" t="s">
        <v>320</v>
      </c>
      <c r="E30" s="189" t="s">
        <v>7</v>
      </c>
      <c r="F30" s="191" t="s">
        <v>346</v>
      </c>
      <c r="G30" s="189" t="s">
        <v>77</v>
      </c>
      <c r="H30" s="192" t="s">
        <v>322</v>
      </c>
      <c r="I30" s="192" t="s">
        <v>322</v>
      </c>
      <c r="J30" s="192"/>
      <c r="K30" s="189" t="s">
        <v>6</v>
      </c>
      <c r="L30" s="200"/>
      <c r="M30" s="202" t="s">
        <v>1712</v>
      </c>
      <c r="N30" s="227"/>
      <c r="O30" s="227"/>
      <c r="P30" s="227"/>
      <c r="Q30" s="227"/>
    </row>
    <row r="31" spans="1:17" x14ac:dyDescent="0.2">
      <c r="A31" s="188" t="s">
        <v>277</v>
      </c>
      <c r="B31" s="189" t="s">
        <v>319</v>
      </c>
      <c r="C31" s="190" t="s">
        <v>354</v>
      </c>
      <c r="D31" s="191" t="s">
        <v>320</v>
      </c>
      <c r="E31" s="189" t="s">
        <v>7</v>
      </c>
      <c r="F31" s="191" t="s">
        <v>346</v>
      </c>
      <c r="G31" s="189" t="s">
        <v>77</v>
      </c>
      <c r="H31" s="192" t="s">
        <v>322</v>
      </c>
      <c r="I31" s="192" t="s">
        <v>322</v>
      </c>
      <c r="J31" s="192"/>
      <c r="K31" s="189" t="s">
        <v>6</v>
      </c>
      <c r="L31" s="200"/>
      <c r="M31" s="202" t="s">
        <v>1712</v>
      </c>
      <c r="N31" s="227"/>
      <c r="O31" s="227"/>
      <c r="P31" s="227"/>
      <c r="Q31" s="227"/>
    </row>
    <row r="32" spans="1:17" x14ac:dyDescent="0.2">
      <c r="A32" s="188" t="s">
        <v>277</v>
      </c>
      <c r="B32" s="189" t="s">
        <v>319</v>
      </c>
      <c r="C32" s="190" t="s">
        <v>355</v>
      </c>
      <c r="D32" s="191" t="s">
        <v>320</v>
      </c>
      <c r="E32" s="189" t="s">
        <v>74</v>
      </c>
      <c r="F32" s="191" t="s">
        <v>348</v>
      </c>
      <c r="G32" s="189" t="s">
        <v>77</v>
      </c>
      <c r="H32" s="192" t="s">
        <v>322</v>
      </c>
      <c r="I32" s="192" t="s">
        <v>322</v>
      </c>
      <c r="J32" s="192"/>
      <c r="K32" s="189" t="s">
        <v>6</v>
      </c>
      <c r="L32" s="200"/>
      <c r="M32" s="202" t="s">
        <v>1712</v>
      </c>
      <c r="N32" s="227"/>
      <c r="O32" s="227"/>
      <c r="P32" s="227"/>
      <c r="Q32" s="227"/>
    </row>
    <row r="33" spans="1:17" x14ac:dyDescent="0.2">
      <c r="A33" s="188" t="s">
        <v>277</v>
      </c>
      <c r="B33" s="189" t="s">
        <v>319</v>
      </c>
      <c r="C33" s="190" t="s">
        <v>356</v>
      </c>
      <c r="D33" s="191" t="s">
        <v>320</v>
      </c>
      <c r="E33" s="189" t="s">
        <v>74</v>
      </c>
      <c r="F33" s="191" t="s">
        <v>348</v>
      </c>
      <c r="G33" s="189" t="s">
        <v>77</v>
      </c>
      <c r="H33" s="192" t="s">
        <v>322</v>
      </c>
      <c r="I33" s="192" t="s">
        <v>322</v>
      </c>
      <c r="J33" s="192"/>
      <c r="K33" s="189" t="s">
        <v>6</v>
      </c>
      <c r="L33" s="200"/>
      <c r="M33" s="202" t="s">
        <v>1712</v>
      </c>
      <c r="N33" s="227"/>
      <c r="O33" s="227"/>
      <c r="P33" s="227"/>
      <c r="Q33" s="227"/>
    </row>
    <row r="34" spans="1:17" x14ac:dyDescent="0.2">
      <c r="A34" s="188" t="s">
        <v>277</v>
      </c>
      <c r="B34" s="189" t="s">
        <v>319</v>
      </c>
      <c r="C34" s="190" t="s">
        <v>357</v>
      </c>
      <c r="D34" s="191" t="s">
        <v>320</v>
      </c>
      <c r="E34" s="189" t="s">
        <v>74</v>
      </c>
      <c r="F34" s="191" t="s">
        <v>348</v>
      </c>
      <c r="G34" s="189" t="s">
        <v>77</v>
      </c>
      <c r="H34" s="192" t="s">
        <v>322</v>
      </c>
      <c r="I34" s="192" t="s">
        <v>322</v>
      </c>
      <c r="J34" s="192"/>
      <c r="K34" s="189" t="s">
        <v>6</v>
      </c>
      <c r="L34" s="200"/>
      <c r="M34" s="202" t="s">
        <v>1712</v>
      </c>
      <c r="N34" s="227"/>
      <c r="O34" s="227"/>
      <c r="P34" s="227"/>
      <c r="Q34" s="227"/>
    </row>
    <row r="35" spans="1:17" x14ac:dyDescent="0.2">
      <c r="A35" s="188" t="s">
        <v>277</v>
      </c>
      <c r="B35" s="189" t="s">
        <v>319</v>
      </c>
      <c r="C35" s="190" t="s">
        <v>358</v>
      </c>
      <c r="D35" s="191" t="s">
        <v>320</v>
      </c>
      <c r="E35" s="189" t="s">
        <v>74</v>
      </c>
      <c r="F35" s="191" t="s">
        <v>348</v>
      </c>
      <c r="G35" s="189" t="s">
        <v>77</v>
      </c>
      <c r="H35" s="192" t="s">
        <v>322</v>
      </c>
      <c r="I35" s="192" t="s">
        <v>322</v>
      </c>
      <c r="J35" s="192"/>
      <c r="K35" s="189" t="s">
        <v>6</v>
      </c>
      <c r="L35" s="200"/>
      <c r="M35" s="202" t="s">
        <v>1712</v>
      </c>
      <c r="N35" s="227"/>
      <c r="O35" s="227"/>
      <c r="P35" s="227"/>
      <c r="Q35" s="227"/>
    </row>
    <row r="36" spans="1:17" x14ac:dyDescent="0.2">
      <c r="A36" s="188" t="s">
        <v>277</v>
      </c>
      <c r="B36" s="189" t="s">
        <v>319</v>
      </c>
      <c r="C36" s="190" t="s">
        <v>359</v>
      </c>
      <c r="D36" s="191" t="s">
        <v>320</v>
      </c>
      <c r="E36" s="189" t="s">
        <v>74</v>
      </c>
      <c r="F36" s="191" t="s">
        <v>346</v>
      </c>
      <c r="G36" s="189" t="s">
        <v>77</v>
      </c>
      <c r="H36" s="192" t="s">
        <v>322</v>
      </c>
      <c r="I36" s="192" t="s">
        <v>322</v>
      </c>
      <c r="J36" s="192"/>
      <c r="K36" s="189" t="s">
        <v>6</v>
      </c>
      <c r="L36" s="200"/>
      <c r="M36" s="202" t="s">
        <v>1712</v>
      </c>
      <c r="N36" s="227"/>
      <c r="O36" s="227"/>
      <c r="P36" s="227"/>
      <c r="Q36" s="227"/>
    </row>
    <row r="37" spans="1:17" x14ac:dyDescent="0.2">
      <c r="A37" s="188" t="s">
        <v>277</v>
      </c>
      <c r="B37" s="189" t="s">
        <v>319</v>
      </c>
      <c r="C37" s="190" t="s">
        <v>360</v>
      </c>
      <c r="D37" s="191" t="s">
        <v>320</v>
      </c>
      <c r="E37" s="189" t="s">
        <v>7</v>
      </c>
      <c r="F37" s="191" t="s">
        <v>346</v>
      </c>
      <c r="G37" s="189" t="s">
        <v>77</v>
      </c>
      <c r="H37" s="192" t="s">
        <v>322</v>
      </c>
      <c r="I37" s="192" t="s">
        <v>322</v>
      </c>
      <c r="J37" s="192"/>
      <c r="K37" s="189" t="s">
        <v>6</v>
      </c>
      <c r="L37" s="200"/>
      <c r="M37" s="202" t="s">
        <v>1712</v>
      </c>
      <c r="N37" s="227"/>
      <c r="O37" s="227"/>
      <c r="P37" s="227"/>
      <c r="Q37" s="227"/>
    </row>
    <row r="38" spans="1:17" x14ac:dyDescent="0.2">
      <c r="A38" s="188" t="s">
        <v>277</v>
      </c>
      <c r="B38" s="189" t="s">
        <v>319</v>
      </c>
      <c r="C38" s="190" t="s">
        <v>329</v>
      </c>
      <c r="D38" s="191" t="s">
        <v>320</v>
      </c>
      <c r="E38" s="189" t="s">
        <v>74</v>
      </c>
      <c r="F38" s="191" t="s">
        <v>346</v>
      </c>
      <c r="G38" s="189" t="s">
        <v>77</v>
      </c>
      <c r="H38" s="192" t="s">
        <v>322</v>
      </c>
      <c r="I38" s="192" t="s">
        <v>322</v>
      </c>
      <c r="J38" s="192"/>
      <c r="K38" s="189" t="s">
        <v>6</v>
      </c>
      <c r="L38" s="200"/>
      <c r="M38" s="202" t="s">
        <v>1712</v>
      </c>
    </row>
    <row r="39" spans="1:17" x14ac:dyDescent="0.2">
      <c r="A39" s="188" t="s">
        <v>277</v>
      </c>
      <c r="B39" s="189" t="s">
        <v>319</v>
      </c>
      <c r="C39" s="190" t="s">
        <v>361</v>
      </c>
      <c r="D39" s="191" t="s">
        <v>320</v>
      </c>
      <c r="E39" s="189" t="s">
        <v>74</v>
      </c>
      <c r="F39" s="191" t="s">
        <v>348</v>
      </c>
      <c r="G39" s="189" t="s">
        <v>77</v>
      </c>
      <c r="H39" s="192" t="s">
        <v>322</v>
      </c>
      <c r="I39" s="192" t="s">
        <v>322</v>
      </c>
      <c r="J39" s="192"/>
      <c r="K39" s="189" t="s">
        <v>6</v>
      </c>
      <c r="L39" s="200"/>
      <c r="M39" s="202" t="s">
        <v>1712</v>
      </c>
    </row>
    <row r="40" spans="1:17" x14ac:dyDescent="0.2">
      <c r="A40" s="188" t="s">
        <v>277</v>
      </c>
      <c r="B40" s="189" t="s">
        <v>319</v>
      </c>
      <c r="C40" s="190" t="s">
        <v>362</v>
      </c>
      <c r="D40" s="191" t="s">
        <v>320</v>
      </c>
      <c r="E40" s="189" t="s">
        <v>74</v>
      </c>
      <c r="F40" s="191" t="s">
        <v>363</v>
      </c>
      <c r="G40" s="189" t="s">
        <v>77</v>
      </c>
      <c r="H40" s="192" t="s">
        <v>322</v>
      </c>
      <c r="I40" s="192" t="s">
        <v>322</v>
      </c>
      <c r="J40" s="192"/>
      <c r="K40" s="189" t="s">
        <v>6</v>
      </c>
      <c r="L40" s="200" t="s">
        <v>364</v>
      </c>
      <c r="M40" s="202" t="s">
        <v>1712</v>
      </c>
    </row>
    <row r="41" spans="1:17" x14ac:dyDescent="0.2">
      <c r="A41" s="188" t="s">
        <v>277</v>
      </c>
      <c r="B41" s="189" t="s">
        <v>319</v>
      </c>
      <c r="C41" s="190" t="s">
        <v>330</v>
      </c>
      <c r="D41" s="191" t="s">
        <v>320</v>
      </c>
      <c r="E41" s="189" t="s">
        <v>74</v>
      </c>
      <c r="F41" s="191" t="s">
        <v>348</v>
      </c>
      <c r="G41" s="189" t="s">
        <v>77</v>
      </c>
      <c r="H41" s="192" t="s">
        <v>322</v>
      </c>
      <c r="I41" s="192" t="s">
        <v>322</v>
      </c>
      <c r="J41" s="192"/>
      <c r="K41" s="189" t="s">
        <v>6</v>
      </c>
      <c r="L41" s="200"/>
      <c r="M41" s="202" t="s">
        <v>1948</v>
      </c>
    </row>
    <row r="42" spans="1:17" x14ac:dyDescent="0.2">
      <c r="A42" s="188" t="s">
        <v>277</v>
      </c>
      <c r="B42" s="189" t="s">
        <v>319</v>
      </c>
      <c r="C42" s="190" t="s">
        <v>365</v>
      </c>
      <c r="D42" s="191" t="s">
        <v>320</v>
      </c>
      <c r="E42" s="189" t="s">
        <v>74</v>
      </c>
      <c r="F42" s="191" t="s">
        <v>348</v>
      </c>
      <c r="G42" s="189" t="s">
        <v>77</v>
      </c>
      <c r="H42" s="192" t="s">
        <v>322</v>
      </c>
      <c r="I42" s="192" t="s">
        <v>322</v>
      </c>
      <c r="J42" s="192"/>
      <c r="K42" s="189" t="s">
        <v>6</v>
      </c>
      <c r="L42" s="200"/>
      <c r="M42" s="202" t="s">
        <v>1712</v>
      </c>
    </row>
    <row r="43" spans="1:17" x14ac:dyDescent="0.2">
      <c r="A43" s="188" t="s">
        <v>277</v>
      </c>
      <c r="B43" s="189" t="s">
        <v>319</v>
      </c>
      <c r="C43" s="190" t="s">
        <v>366</v>
      </c>
      <c r="D43" s="191" t="s">
        <v>320</v>
      </c>
      <c r="E43" s="189" t="s">
        <v>74</v>
      </c>
      <c r="F43" s="191" t="s">
        <v>346</v>
      </c>
      <c r="G43" s="189" t="s">
        <v>77</v>
      </c>
      <c r="H43" s="192" t="s">
        <v>322</v>
      </c>
      <c r="I43" s="192">
        <v>8</v>
      </c>
      <c r="J43" s="192"/>
      <c r="K43" s="189" t="s">
        <v>6</v>
      </c>
      <c r="L43" s="200"/>
      <c r="M43" s="202" t="s">
        <v>1712</v>
      </c>
    </row>
    <row r="44" spans="1:17" x14ac:dyDescent="0.2">
      <c r="A44" s="188" t="s">
        <v>277</v>
      </c>
      <c r="B44" s="189" t="s">
        <v>319</v>
      </c>
      <c r="C44" s="190" t="s">
        <v>367</v>
      </c>
      <c r="D44" s="191" t="s">
        <v>320</v>
      </c>
      <c r="E44" s="189" t="s">
        <v>74</v>
      </c>
      <c r="F44" s="191" t="s">
        <v>346</v>
      </c>
      <c r="G44" s="189" t="s">
        <v>77</v>
      </c>
      <c r="H44" s="192" t="s">
        <v>322</v>
      </c>
      <c r="I44" s="192" t="s">
        <v>322</v>
      </c>
      <c r="J44" s="192"/>
      <c r="K44" s="189" t="s">
        <v>6</v>
      </c>
      <c r="L44" s="200"/>
      <c r="M44" s="202" t="s">
        <v>1712</v>
      </c>
    </row>
    <row r="45" spans="1:17" x14ac:dyDescent="0.2">
      <c r="A45" s="188" t="s">
        <v>277</v>
      </c>
      <c r="B45" s="189" t="s">
        <v>319</v>
      </c>
      <c r="C45" s="190" t="s">
        <v>368</v>
      </c>
      <c r="D45" s="191" t="s">
        <v>320</v>
      </c>
      <c r="E45" s="189" t="s">
        <v>7</v>
      </c>
      <c r="F45" s="191" t="s">
        <v>348</v>
      </c>
      <c r="G45" s="189" t="s">
        <v>77</v>
      </c>
      <c r="H45" s="192" t="s">
        <v>322</v>
      </c>
      <c r="I45" s="192"/>
      <c r="J45" s="192" t="s">
        <v>322</v>
      </c>
      <c r="K45" s="189" t="s">
        <v>6</v>
      </c>
      <c r="L45" s="200"/>
      <c r="M45" s="202" t="s">
        <v>1712</v>
      </c>
    </row>
    <row r="46" spans="1:17" x14ac:dyDescent="0.2">
      <c r="A46" s="188" t="s">
        <v>277</v>
      </c>
      <c r="B46" s="189" t="s">
        <v>319</v>
      </c>
      <c r="C46" s="190" t="s">
        <v>369</v>
      </c>
      <c r="D46" s="191" t="s">
        <v>320</v>
      </c>
      <c r="E46" s="189" t="s">
        <v>7</v>
      </c>
      <c r="F46" s="191" t="s">
        <v>348</v>
      </c>
      <c r="G46" s="189" t="s">
        <v>77</v>
      </c>
      <c r="H46" s="192" t="s">
        <v>322</v>
      </c>
      <c r="I46" s="192"/>
      <c r="J46" s="192" t="s">
        <v>322</v>
      </c>
      <c r="K46" s="189" t="s">
        <v>6</v>
      </c>
      <c r="L46" s="200"/>
      <c r="M46" s="202" t="s">
        <v>1712</v>
      </c>
    </row>
    <row r="47" spans="1:17" x14ac:dyDescent="0.2">
      <c r="A47" s="188" t="s">
        <v>277</v>
      </c>
      <c r="B47" s="189" t="s">
        <v>319</v>
      </c>
      <c r="C47" s="190" t="s">
        <v>370</v>
      </c>
      <c r="D47" s="191" t="s">
        <v>320</v>
      </c>
      <c r="E47" s="189" t="s">
        <v>74</v>
      </c>
      <c r="F47" s="191" t="s">
        <v>371</v>
      </c>
      <c r="G47" s="189" t="s">
        <v>77</v>
      </c>
      <c r="H47" s="192" t="s">
        <v>322</v>
      </c>
      <c r="I47" s="192" t="s">
        <v>322</v>
      </c>
      <c r="J47" s="192"/>
      <c r="K47" s="189" t="s">
        <v>6</v>
      </c>
      <c r="L47" s="200"/>
      <c r="M47" s="202" t="s">
        <v>1712</v>
      </c>
    </row>
    <row r="48" spans="1:17" x14ac:dyDescent="0.2">
      <c r="A48" s="188" t="s">
        <v>277</v>
      </c>
      <c r="B48" s="189" t="s">
        <v>319</v>
      </c>
      <c r="C48" s="190" t="s">
        <v>334</v>
      </c>
      <c r="D48" s="191" t="s">
        <v>320</v>
      </c>
      <c r="E48" s="189" t="s">
        <v>74</v>
      </c>
      <c r="F48" s="191" t="s">
        <v>372</v>
      </c>
      <c r="G48" s="189" t="s">
        <v>77</v>
      </c>
      <c r="H48" s="192" t="s">
        <v>322</v>
      </c>
      <c r="I48" s="192" t="s">
        <v>322</v>
      </c>
      <c r="J48" s="192"/>
      <c r="K48" s="189" t="s">
        <v>6</v>
      </c>
      <c r="L48" s="200"/>
      <c r="M48" s="202" t="s">
        <v>1712</v>
      </c>
    </row>
    <row r="49" spans="1:13" x14ac:dyDescent="0.2">
      <c r="A49" s="188" t="s">
        <v>277</v>
      </c>
      <c r="B49" s="189" t="s">
        <v>319</v>
      </c>
      <c r="C49" s="190" t="s">
        <v>373</v>
      </c>
      <c r="D49" s="191" t="s">
        <v>320</v>
      </c>
      <c r="E49" s="189" t="s">
        <v>7</v>
      </c>
      <c r="F49" s="191" t="s">
        <v>374</v>
      </c>
      <c r="G49" s="189" t="s">
        <v>77</v>
      </c>
      <c r="H49" s="192">
        <v>380</v>
      </c>
      <c r="I49" s="192"/>
      <c r="J49" s="192">
        <v>2</v>
      </c>
      <c r="K49" s="189" t="s">
        <v>6</v>
      </c>
      <c r="L49" s="200"/>
      <c r="M49" s="202" t="s">
        <v>1951</v>
      </c>
    </row>
    <row r="50" spans="1:13" x14ac:dyDescent="0.2">
      <c r="A50" s="188" t="s">
        <v>277</v>
      </c>
      <c r="B50" s="189" t="s">
        <v>319</v>
      </c>
      <c r="C50" s="190" t="s">
        <v>375</v>
      </c>
      <c r="D50" s="191" t="s">
        <v>320</v>
      </c>
      <c r="E50" s="189" t="s">
        <v>74</v>
      </c>
      <c r="F50" s="191" t="s">
        <v>346</v>
      </c>
      <c r="G50" s="189" t="s">
        <v>77</v>
      </c>
      <c r="H50" s="192" t="s">
        <v>322</v>
      </c>
      <c r="I50" s="192" t="s">
        <v>322</v>
      </c>
      <c r="J50" s="192"/>
      <c r="K50" s="189" t="s">
        <v>6</v>
      </c>
      <c r="L50" s="200"/>
      <c r="M50" s="202" t="s">
        <v>1712</v>
      </c>
    </row>
    <row r="51" spans="1:13" x14ac:dyDescent="0.2">
      <c r="A51" s="188" t="s">
        <v>277</v>
      </c>
      <c r="B51" s="189" t="s">
        <v>319</v>
      </c>
      <c r="C51" s="190" t="s">
        <v>376</v>
      </c>
      <c r="D51" s="191" t="s">
        <v>320</v>
      </c>
      <c r="E51" s="189" t="s">
        <v>7</v>
      </c>
      <c r="F51" s="191" t="s">
        <v>346</v>
      </c>
      <c r="G51" s="189" t="s">
        <v>77</v>
      </c>
      <c r="H51" s="192" t="s">
        <v>322</v>
      </c>
      <c r="I51" s="192"/>
      <c r="J51" s="192" t="s">
        <v>322</v>
      </c>
      <c r="K51" s="189" t="s">
        <v>6</v>
      </c>
      <c r="L51" s="200"/>
      <c r="M51" s="202" t="s">
        <v>1712</v>
      </c>
    </row>
    <row r="52" spans="1:13" x14ac:dyDescent="0.2">
      <c r="A52" s="188" t="s">
        <v>277</v>
      </c>
      <c r="B52" s="189" t="s">
        <v>319</v>
      </c>
      <c r="C52" s="190" t="s">
        <v>377</v>
      </c>
      <c r="D52" s="191" t="s">
        <v>320</v>
      </c>
      <c r="E52" s="189" t="s">
        <v>74</v>
      </c>
      <c r="F52" s="191" t="s">
        <v>346</v>
      </c>
      <c r="G52" s="189" t="s">
        <v>77</v>
      </c>
      <c r="H52" s="192" t="s">
        <v>322</v>
      </c>
      <c r="I52" s="192" t="s">
        <v>322</v>
      </c>
      <c r="J52" s="192"/>
      <c r="K52" s="189" t="s">
        <v>6</v>
      </c>
      <c r="L52" s="200"/>
      <c r="M52" s="202" t="s">
        <v>1712</v>
      </c>
    </row>
    <row r="53" spans="1:13" x14ac:dyDescent="0.2">
      <c r="A53" s="188" t="s">
        <v>277</v>
      </c>
      <c r="B53" s="189" t="s">
        <v>319</v>
      </c>
      <c r="C53" s="190" t="s">
        <v>378</v>
      </c>
      <c r="D53" s="191" t="s">
        <v>320</v>
      </c>
      <c r="E53" s="189" t="s">
        <v>74</v>
      </c>
      <c r="F53" s="191" t="s">
        <v>346</v>
      </c>
      <c r="G53" s="189" t="s">
        <v>77</v>
      </c>
      <c r="H53" s="192" t="s">
        <v>322</v>
      </c>
      <c r="I53" s="192" t="s">
        <v>322</v>
      </c>
      <c r="J53" s="192"/>
      <c r="K53" s="189" t="s">
        <v>6</v>
      </c>
      <c r="L53" s="200"/>
      <c r="M53" s="202" t="s">
        <v>1712</v>
      </c>
    </row>
    <row r="54" spans="1:13" x14ac:dyDescent="0.2">
      <c r="A54" s="188" t="s">
        <v>277</v>
      </c>
      <c r="B54" s="189" t="s">
        <v>319</v>
      </c>
      <c r="C54" s="190" t="s">
        <v>378</v>
      </c>
      <c r="D54" s="191" t="s">
        <v>320</v>
      </c>
      <c r="E54" s="189" t="s">
        <v>74</v>
      </c>
      <c r="F54" s="191" t="s">
        <v>374</v>
      </c>
      <c r="G54" s="189" t="s">
        <v>77</v>
      </c>
      <c r="H54" s="192" t="s">
        <v>322</v>
      </c>
      <c r="I54" s="192" t="s">
        <v>322</v>
      </c>
      <c r="J54" s="192"/>
      <c r="K54" s="189" t="s">
        <v>6</v>
      </c>
      <c r="L54" s="200"/>
      <c r="M54" s="202" t="s">
        <v>1712</v>
      </c>
    </row>
    <row r="55" spans="1:13" x14ac:dyDescent="0.2">
      <c r="A55" s="188" t="s">
        <v>277</v>
      </c>
      <c r="B55" s="189" t="s">
        <v>319</v>
      </c>
      <c r="C55" s="190" t="s">
        <v>335</v>
      </c>
      <c r="D55" s="191" t="s">
        <v>320</v>
      </c>
      <c r="E55" s="189" t="s">
        <v>74</v>
      </c>
      <c r="F55" s="191" t="s">
        <v>346</v>
      </c>
      <c r="G55" s="189" t="s">
        <v>77</v>
      </c>
      <c r="H55" s="192" t="s">
        <v>322</v>
      </c>
      <c r="I55" s="192" t="s">
        <v>322</v>
      </c>
      <c r="J55" s="192"/>
      <c r="K55" s="189" t="s">
        <v>6</v>
      </c>
      <c r="L55" s="200"/>
      <c r="M55" s="202" t="s">
        <v>1712</v>
      </c>
    </row>
    <row r="56" spans="1:13" x14ac:dyDescent="0.2">
      <c r="A56" s="188" t="s">
        <v>277</v>
      </c>
      <c r="B56" s="189" t="s">
        <v>319</v>
      </c>
      <c r="C56" s="190" t="s">
        <v>379</v>
      </c>
      <c r="D56" s="191" t="s">
        <v>320</v>
      </c>
      <c r="E56" s="189" t="s">
        <v>74</v>
      </c>
      <c r="F56" s="191" t="s">
        <v>348</v>
      </c>
      <c r="G56" s="189" t="s">
        <v>77</v>
      </c>
      <c r="H56" s="192" t="s">
        <v>322</v>
      </c>
      <c r="I56" s="192" t="s">
        <v>322</v>
      </c>
      <c r="J56" s="192"/>
      <c r="K56" s="189" t="s">
        <v>6</v>
      </c>
      <c r="L56" s="200"/>
      <c r="M56" s="202" t="s">
        <v>1712</v>
      </c>
    </row>
    <row r="57" spans="1:13" x14ac:dyDescent="0.2">
      <c r="A57" s="188" t="s">
        <v>277</v>
      </c>
      <c r="B57" s="189" t="s">
        <v>319</v>
      </c>
      <c r="C57" s="190" t="s">
        <v>336</v>
      </c>
      <c r="D57" s="191" t="s">
        <v>320</v>
      </c>
      <c r="E57" s="189" t="s">
        <v>74</v>
      </c>
      <c r="F57" s="191" t="s">
        <v>346</v>
      </c>
      <c r="G57" s="189" t="s">
        <v>77</v>
      </c>
      <c r="H57" s="192" t="s">
        <v>322</v>
      </c>
      <c r="I57" s="192">
        <v>1</v>
      </c>
      <c r="J57" s="192"/>
      <c r="K57" s="189" t="s">
        <v>6</v>
      </c>
      <c r="L57" s="200"/>
      <c r="M57" s="202" t="s">
        <v>1712</v>
      </c>
    </row>
    <row r="58" spans="1:13" x14ac:dyDescent="0.2">
      <c r="A58" s="188" t="s">
        <v>277</v>
      </c>
      <c r="B58" s="189" t="s">
        <v>319</v>
      </c>
      <c r="C58" s="190" t="s">
        <v>153</v>
      </c>
      <c r="D58" s="191" t="s">
        <v>320</v>
      </c>
      <c r="E58" s="189" t="s">
        <v>74</v>
      </c>
      <c r="F58" s="191" t="s">
        <v>348</v>
      </c>
      <c r="G58" s="189" t="s">
        <v>77</v>
      </c>
      <c r="H58" s="192" t="s">
        <v>322</v>
      </c>
      <c r="I58" s="192"/>
      <c r="J58" s="192" t="s">
        <v>322</v>
      </c>
      <c r="K58" s="189" t="s">
        <v>6</v>
      </c>
      <c r="L58" s="200"/>
      <c r="M58" s="202" t="s">
        <v>1712</v>
      </c>
    </row>
    <row r="59" spans="1:13" x14ac:dyDescent="0.2">
      <c r="A59" s="188" t="s">
        <v>277</v>
      </c>
      <c r="B59" s="189" t="s">
        <v>319</v>
      </c>
      <c r="C59" s="190" t="s">
        <v>337</v>
      </c>
      <c r="D59" s="191" t="s">
        <v>320</v>
      </c>
      <c r="E59" s="189" t="s">
        <v>74</v>
      </c>
      <c r="F59" s="191" t="s">
        <v>348</v>
      </c>
      <c r="G59" s="189" t="s">
        <v>332</v>
      </c>
      <c r="H59" s="192">
        <v>30950</v>
      </c>
      <c r="I59" s="192" t="s">
        <v>332</v>
      </c>
      <c r="J59" s="192" t="s">
        <v>332</v>
      </c>
      <c r="K59" s="189" t="s">
        <v>332</v>
      </c>
      <c r="L59" s="200" t="s">
        <v>339</v>
      </c>
      <c r="M59" s="202" t="s">
        <v>1952</v>
      </c>
    </row>
    <row r="60" spans="1:13" x14ac:dyDescent="0.2">
      <c r="A60" s="188" t="s">
        <v>277</v>
      </c>
      <c r="B60" s="189" t="s">
        <v>319</v>
      </c>
      <c r="C60" s="190" t="s">
        <v>380</v>
      </c>
      <c r="D60" s="191" t="s">
        <v>320</v>
      </c>
      <c r="E60" s="189" t="s">
        <v>74</v>
      </c>
      <c r="F60" s="191" t="s">
        <v>348</v>
      </c>
      <c r="G60" s="189" t="s">
        <v>77</v>
      </c>
      <c r="H60" s="192" t="s">
        <v>322</v>
      </c>
      <c r="I60" s="192" t="s">
        <v>322</v>
      </c>
      <c r="J60" s="192"/>
      <c r="K60" s="189" t="s">
        <v>6</v>
      </c>
      <c r="L60" s="200"/>
      <c r="M60" s="202" t="s">
        <v>1712</v>
      </c>
    </row>
    <row r="61" spans="1:13" x14ac:dyDescent="0.2">
      <c r="A61" s="188" t="s">
        <v>277</v>
      </c>
      <c r="B61" s="189" t="s">
        <v>319</v>
      </c>
      <c r="C61" s="190" t="s">
        <v>341</v>
      </c>
      <c r="D61" s="191" t="s">
        <v>320</v>
      </c>
      <c r="E61" s="189" t="s">
        <v>74</v>
      </c>
      <c r="F61" s="191" t="s">
        <v>346</v>
      </c>
      <c r="G61" s="189" t="s">
        <v>77</v>
      </c>
      <c r="H61" s="192" t="s">
        <v>322</v>
      </c>
      <c r="I61" s="192"/>
      <c r="J61" s="192" t="s">
        <v>322</v>
      </c>
      <c r="K61" s="189" t="s">
        <v>6</v>
      </c>
      <c r="L61" s="200"/>
      <c r="M61" s="202" t="s">
        <v>1712</v>
      </c>
    </row>
    <row r="62" spans="1:13" x14ac:dyDescent="0.2">
      <c r="A62" s="188" t="s">
        <v>277</v>
      </c>
      <c r="B62" s="189" t="s">
        <v>319</v>
      </c>
      <c r="C62" s="190" t="s">
        <v>381</v>
      </c>
      <c r="D62" s="191" t="s">
        <v>320</v>
      </c>
      <c r="E62" s="189" t="s">
        <v>74</v>
      </c>
      <c r="F62" s="191" t="s">
        <v>346</v>
      </c>
      <c r="G62" s="189" t="s">
        <v>77</v>
      </c>
      <c r="H62" s="192" t="s">
        <v>322</v>
      </c>
      <c r="I62" s="192" t="s">
        <v>322</v>
      </c>
      <c r="J62" s="192"/>
      <c r="K62" s="189" t="s">
        <v>6</v>
      </c>
      <c r="L62" s="200"/>
      <c r="M62" s="202" t="s">
        <v>1712</v>
      </c>
    </row>
    <row r="63" spans="1:13" x14ac:dyDescent="0.2">
      <c r="A63" s="188" t="s">
        <v>277</v>
      </c>
      <c r="B63" s="189" t="s">
        <v>319</v>
      </c>
      <c r="C63" s="190" t="s">
        <v>381</v>
      </c>
      <c r="D63" s="191" t="s">
        <v>320</v>
      </c>
      <c r="E63" s="189" t="s">
        <v>74</v>
      </c>
      <c r="F63" s="191" t="s">
        <v>374</v>
      </c>
      <c r="G63" s="189" t="s">
        <v>77</v>
      </c>
      <c r="H63" s="192" t="s">
        <v>322</v>
      </c>
      <c r="I63" s="192" t="s">
        <v>322</v>
      </c>
      <c r="J63" s="192"/>
      <c r="K63" s="189" t="s">
        <v>6</v>
      </c>
      <c r="L63" s="200"/>
      <c r="M63" s="202" t="s">
        <v>1712</v>
      </c>
    </row>
    <row r="64" spans="1:13" x14ac:dyDescent="0.2">
      <c r="A64" s="188" t="s">
        <v>277</v>
      </c>
      <c r="B64" s="189" t="s">
        <v>319</v>
      </c>
      <c r="C64" s="190" t="s">
        <v>382</v>
      </c>
      <c r="D64" s="191" t="s">
        <v>320</v>
      </c>
      <c r="E64" s="189" t="s">
        <v>74</v>
      </c>
      <c r="F64" s="191" t="s">
        <v>383</v>
      </c>
      <c r="G64" s="189" t="s">
        <v>77</v>
      </c>
      <c r="H64" s="192" t="s">
        <v>322</v>
      </c>
      <c r="I64" s="192" t="s">
        <v>322</v>
      </c>
      <c r="J64" s="192"/>
      <c r="K64" s="189" t="s">
        <v>6</v>
      </c>
      <c r="L64" s="200"/>
      <c r="M64" s="202" t="s">
        <v>1712</v>
      </c>
    </row>
    <row r="65" spans="1:13" x14ac:dyDescent="0.2">
      <c r="A65" s="188" t="s">
        <v>277</v>
      </c>
      <c r="B65" s="189" t="s">
        <v>319</v>
      </c>
      <c r="C65" s="190" t="s">
        <v>384</v>
      </c>
      <c r="D65" s="191" t="s">
        <v>320</v>
      </c>
      <c r="E65" s="189" t="s">
        <v>74</v>
      </c>
      <c r="F65" s="191" t="s">
        <v>348</v>
      </c>
      <c r="G65" s="189" t="s">
        <v>332</v>
      </c>
      <c r="H65" s="192" t="s">
        <v>327</v>
      </c>
      <c r="I65" s="192" t="s">
        <v>332</v>
      </c>
      <c r="J65" s="192" t="s">
        <v>332</v>
      </c>
      <c r="K65" s="189" t="s">
        <v>332</v>
      </c>
      <c r="L65" s="200" t="s">
        <v>344</v>
      </c>
      <c r="M65" s="202" t="s">
        <v>1949</v>
      </c>
    </row>
    <row r="66" spans="1:13" x14ac:dyDescent="0.2">
      <c r="A66" s="188" t="s">
        <v>277</v>
      </c>
      <c r="B66" s="189" t="s">
        <v>319</v>
      </c>
      <c r="C66" s="190" t="s">
        <v>385</v>
      </c>
      <c r="D66" s="191" t="s">
        <v>320</v>
      </c>
      <c r="E66" s="189" t="s">
        <v>7</v>
      </c>
      <c r="F66" s="191" t="s">
        <v>346</v>
      </c>
      <c r="G66" s="189" t="s">
        <v>77</v>
      </c>
      <c r="H66" s="192" t="s">
        <v>322</v>
      </c>
      <c r="I66" s="192"/>
      <c r="J66" s="192" t="s">
        <v>322</v>
      </c>
      <c r="K66" s="189" t="s">
        <v>6</v>
      </c>
      <c r="L66" s="200"/>
      <c r="M66" s="202" t="s">
        <v>1712</v>
      </c>
    </row>
    <row r="67" spans="1:13" x14ac:dyDescent="0.2">
      <c r="A67" s="188" t="s">
        <v>277</v>
      </c>
      <c r="B67" s="189" t="s">
        <v>319</v>
      </c>
      <c r="C67" s="190" t="s">
        <v>386</v>
      </c>
      <c r="D67" s="191" t="s">
        <v>320</v>
      </c>
      <c r="E67" s="189" t="s">
        <v>74</v>
      </c>
      <c r="F67" s="191" t="s">
        <v>346</v>
      </c>
      <c r="G67" s="189" t="s">
        <v>77</v>
      </c>
      <c r="H67" s="192" t="s">
        <v>322</v>
      </c>
      <c r="I67" s="192" t="s">
        <v>322</v>
      </c>
      <c r="J67" s="192"/>
      <c r="K67" s="189" t="s">
        <v>6</v>
      </c>
      <c r="L67" s="200"/>
      <c r="M67" s="202" t="s">
        <v>1712</v>
      </c>
    </row>
    <row r="68" spans="1:13" x14ac:dyDescent="0.2">
      <c r="A68" s="188" t="s">
        <v>277</v>
      </c>
      <c r="B68" s="189" t="s">
        <v>319</v>
      </c>
      <c r="C68" s="190" t="s">
        <v>387</v>
      </c>
      <c r="D68" s="191" t="s">
        <v>320</v>
      </c>
      <c r="E68" s="189" t="s">
        <v>74</v>
      </c>
      <c r="F68" s="191" t="s">
        <v>348</v>
      </c>
      <c r="G68" s="189" t="s">
        <v>77</v>
      </c>
      <c r="H68" s="192" t="s">
        <v>322</v>
      </c>
      <c r="I68" s="192"/>
      <c r="J68" s="192" t="s">
        <v>322</v>
      </c>
      <c r="K68" s="189" t="s">
        <v>6</v>
      </c>
      <c r="L68" s="200"/>
      <c r="M68" s="202" t="s">
        <v>1712</v>
      </c>
    </row>
    <row r="69" spans="1:13" x14ac:dyDescent="0.2">
      <c r="A69" s="188" t="s">
        <v>277</v>
      </c>
      <c r="B69" s="189" t="s">
        <v>319</v>
      </c>
      <c r="C69" s="190" t="s">
        <v>388</v>
      </c>
      <c r="D69" s="191" t="s">
        <v>320</v>
      </c>
      <c r="E69" s="189" t="s">
        <v>74</v>
      </c>
      <c r="F69" s="191" t="s">
        <v>348</v>
      </c>
      <c r="G69" s="189" t="s">
        <v>77</v>
      </c>
      <c r="H69" s="192" t="s">
        <v>322</v>
      </c>
      <c r="I69" s="192" t="s">
        <v>322</v>
      </c>
      <c r="J69" s="192"/>
      <c r="K69" s="189" t="s">
        <v>6</v>
      </c>
      <c r="L69" s="200" t="s">
        <v>389</v>
      </c>
      <c r="M69" s="202" t="s">
        <v>1712</v>
      </c>
    </row>
    <row r="70" spans="1:13" x14ac:dyDescent="0.2">
      <c r="A70" s="188" t="s">
        <v>277</v>
      </c>
      <c r="B70" s="189" t="s">
        <v>319</v>
      </c>
      <c r="C70" s="190" t="s">
        <v>390</v>
      </c>
      <c r="D70" s="191" t="s">
        <v>391</v>
      </c>
      <c r="E70" s="189" t="s">
        <v>392</v>
      </c>
      <c r="F70" s="191" t="s">
        <v>393</v>
      </c>
      <c r="G70" s="189" t="s">
        <v>77</v>
      </c>
      <c r="H70" s="192" t="s">
        <v>322</v>
      </c>
      <c r="I70" s="192" t="s">
        <v>322</v>
      </c>
      <c r="J70" s="192"/>
      <c r="K70" s="189" t="s">
        <v>6</v>
      </c>
      <c r="L70" s="200"/>
      <c r="M70" s="202" t="s">
        <v>1712</v>
      </c>
    </row>
    <row r="71" spans="1:13" x14ac:dyDescent="0.2">
      <c r="A71" s="188" t="s">
        <v>277</v>
      </c>
      <c r="B71" s="189" t="s">
        <v>319</v>
      </c>
      <c r="C71" s="190" t="s">
        <v>345</v>
      </c>
      <c r="D71" s="191" t="s">
        <v>391</v>
      </c>
      <c r="E71" s="189" t="s">
        <v>74</v>
      </c>
      <c r="F71" s="191" t="s">
        <v>394</v>
      </c>
      <c r="G71" s="189" t="s">
        <v>77</v>
      </c>
      <c r="H71" s="192" t="s">
        <v>322</v>
      </c>
      <c r="I71" s="192" t="s">
        <v>322</v>
      </c>
      <c r="J71" s="192"/>
      <c r="K71" s="189" t="s">
        <v>6</v>
      </c>
      <c r="L71" s="200"/>
      <c r="M71" s="202" t="s">
        <v>1712</v>
      </c>
    </row>
    <row r="72" spans="1:13" x14ac:dyDescent="0.2">
      <c r="A72" s="188" t="s">
        <v>277</v>
      </c>
      <c r="B72" s="189" t="s">
        <v>319</v>
      </c>
      <c r="C72" s="190" t="s">
        <v>395</v>
      </c>
      <c r="D72" s="191" t="s">
        <v>391</v>
      </c>
      <c r="E72" s="189" t="s">
        <v>74</v>
      </c>
      <c r="F72" s="191" t="s">
        <v>396</v>
      </c>
      <c r="G72" s="189" t="s">
        <v>6</v>
      </c>
      <c r="H72" s="192">
        <v>33760</v>
      </c>
      <c r="I72" s="192">
        <v>69</v>
      </c>
      <c r="J72" s="192"/>
      <c r="K72" s="189" t="s">
        <v>77</v>
      </c>
      <c r="L72" s="200"/>
      <c r="M72" s="202" t="s">
        <v>1952</v>
      </c>
    </row>
    <row r="73" spans="1:13" x14ac:dyDescent="0.2">
      <c r="A73" s="188" t="s">
        <v>277</v>
      </c>
      <c r="B73" s="189" t="s">
        <v>319</v>
      </c>
      <c r="C73" s="190" t="s">
        <v>373</v>
      </c>
      <c r="D73" s="191" t="s">
        <v>391</v>
      </c>
      <c r="E73" s="189" t="s">
        <v>7</v>
      </c>
      <c r="F73" s="191" t="s">
        <v>397</v>
      </c>
      <c r="G73" s="189" t="s">
        <v>6</v>
      </c>
      <c r="H73" s="192">
        <v>2590</v>
      </c>
      <c r="I73" s="192"/>
      <c r="J73" s="192">
        <v>4</v>
      </c>
      <c r="K73" s="189" t="s">
        <v>6</v>
      </c>
      <c r="L73" s="200"/>
      <c r="M73" s="202" t="s">
        <v>1713</v>
      </c>
    </row>
    <row r="74" spans="1:13" x14ac:dyDescent="0.2">
      <c r="A74" s="188" t="s">
        <v>277</v>
      </c>
      <c r="B74" s="189" t="s">
        <v>319</v>
      </c>
      <c r="C74" s="190" t="s">
        <v>398</v>
      </c>
      <c r="D74" s="191" t="s">
        <v>391</v>
      </c>
      <c r="E74" s="189" t="s">
        <v>7</v>
      </c>
      <c r="F74" s="191" t="s">
        <v>151</v>
      </c>
      <c r="G74" s="189" t="s">
        <v>77</v>
      </c>
      <c r="H74" s="192" t="s">
        <v>327</v>
      </c>
      <c r="I74" s="192"/>
      <c r="J74" s="192">
        <v>0.03</v>
      </c>
      <c r="K74" s="189" t="s">
        <v>6</v>
      </c>
      <c r="L74" s="200"/>
      <c r="M74" s="202" t="s">
        <v>1712</v>
      </c>
    </row>
    <row r="75" spans="1:13" x14ac:dyDescent="0.2">
      <c r="A75" s="188" t="s">
        <v>277</v>
      </c>
      <c r="B75" s="189" t="s">
        <v>319</v>
      </c>
      <c r="C75" s="190" t="s">
        <v>399</v>
      </c>
      <c r="D75" s="191" t="s">
        <v>391</v>
      </c>
      <c r="E75" s="189" t="s">
        <v>7</v>
      </c>
      <c r="F75" s="191" t="s">
        <v>396</v>
      </c>
      <c r="G75" s="189" t="s">
        <v>6</v>
      </c>
      <c r="H75" s="192">
        <v>480</v>
      </c>
      <c r="I75" s="192"/>
      <c r="J75" s="192">
        <v>11</v>
      </c>
      <c r="K75" s="189" t="s">
        <v>77</v>
      </c>
      <c r="L75" s="200"/>
      <c r="M75" s="202" t="s">
        <v>1952</v>
      </c>
    </row>
    <row r="76" spans="1:13" x14ac:dyDescent="0.2">
      <c r="A76" s="188" t="s">
        <v>277</v>
      </c>
      <c r="B76" s="189" t="s">
        <v>319</v>
      </c>
      <c r="C76" s="190" t="s">
        <v>76</v>
      </c>
      <c r="D76" s="191" t="s">
        <v>391</v>
      </c>
      <c r="E76" s="189" t="s">
        <v>74</v>
      </c>
      <c r="F76" s="191" t="s">
        <v>400</v>
      </c>
      <c r="G76" s="189" t="s">
        <v>77</v>
      </c>
      <c r="H76" s="192" t="s">
        <v>322</v>
      </c>
      <c r="I76" s="192"/>
      <c r="J76" s="192" t="s">
        <v>322</v>
      </c>
      <c r="K76" s="189" t="s">
        <v>6</v>
      </c>
      <c r="L76" s="200"/>
      <c r="M76" s="202" t="s">
        <v>1712</v>
      </c>
    </row>
    <row r="77" spans="1:13" x14ac:dyDescent="0.2">
      <c r="A77" s="188" t="s">
        <v>277</v>
      </c>
      <c r="B77" s="189" t="s">
        <v>319</v>
      </c>
      <c r="C77" s="190" t="s">
        <v>401</v>
      </c>
      <c r="D77" s="191" t="s">
        <v>391</v>
      </c>
      <c r="E77" s="189" t="s">
        <v>74</v>
      </c>
      <c r="F77" s="191" t="s">
        <v>400</v>
      </c>
      <c r="G77" s="189" t="s">
        <v>77</v>
      </c>
      <c r="H77" s="192" t="s">
        <v>322</v>
      </c>
      <c r="I77" s="192">
        <v>3</v>
      </c>
      <c r="J77" s="192"/>
      <c r="K77" s="189" t="s">
        <v>6</v>
      </c>
      <c r="L77" s="200" t="s">
        <v>402</v>
      </c>
      <c r="M77" s="202" t="s">
        <v>1712</v>
      </c>
    </row>
    <row r="78" spans="1:13" x14ac:dyDescent="0.2">
      <c r="A78" s="188" t="s">
        <v>277</v>
      </c>
      <c r="B78" s="189" t="s">
        <v>319</v>
      </c>
      <c r="C78" s="190" t="s">
        <v>349</v>
      </c>
      <c r="D78" s="191" t="s">
        <v>391</v>
      </c>
      <c r="E78" s="189" t="s">
        <v>74</v>
      </c>
      <c r="F78" s="191" t="s">
        <v>400</v>
      </c>
      <c r="G78" s="189" t="s">
        <v>77</v>
      </c>
      <c r="H78" s="192" t="s">
        <v>322</v>
      </c>
      <c r="I78" s="192">
        <v>7</v>
      </c>
      <c r="J78" s="192"/>
      <c r="K78" s="189" t="s">
        <v>6</v>
      </c>
      <c r="L78" s="200" t="s">
        <v>402</v>
      </c>
      <c r="M78" s="202" t="s">
        <v>1948</v>
      </c>
    </row>
    <row r="79" spans="1:13" x14ac:dyDescent="0.2">
      <c r="A79" s="188" t="s">
        <v>277</v>
      </c>
      <c r="B79" s="189" t="s">
        <v>319</v>
      </c>
      <c r="C79" s="190" t="s">
        <v>403</v>
      </c>
      <c r="D79" s="191" t="s">
        <v>391</v>
      </c>
      <c r="E79" s="189" t="s">
        <v>7</v>
      </c>
      <c r="F79" s="191" t="s">
        <v>400</v>
      </c>
      <c r="G79" s="189" t="s">
        <v>77</v>
      </c>
      <c r="H79" s="192" t="s">
        <v>322</v>
      </c>
      <c r="I79" s="192"/>
      <c r="J79" s="192" t="s">
        <v>322</v>
      </c>
      <c r="K79" s="189" t="s">
        <v>6</v>
      </c>
      <c r="L79" s="200"/>
      <c r="M79" s="202" t="s">
        <v>1712</v>
      </c>
    </row>
    <row r="80" spans="1:13" x14ac:dyDescent="0.2">
      <c r="A80" s="188" t="s">
        <v>277</v>
      </c>
      <c r="B80" s="189" t="s">
        <v>319</v>
      </c>
      <c r="C80" s="190" t="s">
        <v>404</v>
      </c>
      <c r="D80" s="191" t="s">
        <v>391</v>
      </c>
      <c r="E80" s="189" t="s">
        <v>7</v>
      </c>
      <c r="F80" s="191" t="s">
        <v>400</v>
      </c>
      <c r="G80" s="189" t="s">
        <v>77</v>
      </c>
      <c r="H80" s="192" t="s">
        <v>327</v>
      </c>
      <c r="I80" s="192"/>
      <c r="J80" s="192">
        <v>2</v>
      </c>
      <c r="K80" s="189" t="s">
        <v>6</v>
      </c>
      <c r="L80" s="200"/>
      <c r="M80" s="202" t="s">
        <v>1712</v>
      </c>
    </row>
    <row r="81" spans="1:13" x14ac:dyDescent="0.2">
      <c r="A81" s="188" t="s">
        <v>277</v>
      </c>
      <c r="B81" s="189" t="s">
        <v>319</v>
      </c>
      <c r="C81" s="190" t="s">
        <v>405</v>
      </c>
      <c r="D81" s="191" t="s">
        <v>391</v>
      </c>
      <c r="E81" s="189" t="s">
        <v>74</v>
      </c>
      <c r="F81" s="191" t="s">
        <v>406</v>
      </c>
      <c r="G81" s="189" t="s">
        <v>77</v>
      </c>
      <c r="H81" s="192" t="s">
        <v>322</v>
      </c>
      <c r="I81" s="192">
        <v>3</v>
      </c>
      <c r="J81" s="192"/>
      <c r="K81" s="189" t="s">
        <v>6</v>
      </c>
      <c r="L81" s="200" t="s">
        <v>402</v>
      </c>
      <c r="M81" s="202" t="s">
        <v>1712</v>
      </c>
    </row>
    <row r="82" spans="1:13" x14ac:dyDescent="0.2">
      <c r="A82" s="188" t="s">
        <v>277</v>
      </c>
      <c r="B82" s="189" t="s">
        <v>319</v>
      </c>
      <c r="C82" s="190" t="s">
        <v>405</v>
      </c>
      <c r="D82" s="191" t="s">
        <v>407</v>
      </c>
      <c r="E82" s="189" t="s">
        <v>74</v>
      </c>
      <c r="F82" s="191" t="s">
        <v>408</v>
      </c>
      <c r="G82" s="189" t="s">
        <v>77</v>
      </c>
      <c r="H82" s="192" t="s">
        <v>322</v>
      </c>
      <c r="I82" s="192">
        <v>3</v>
      </c>
      <c r="J82" s="192"/>
      <c r="K82" s="189" t="s">
        <v>6</v>
      </c>
      <c r="L82" s="200" t="s">
        <v>402</v>
      </c>
      <c r="M82" s="202" t="s">
        <v>1712</v>
      </c>
    </row>
    <row r="83" spans="1:13" x14ac:dyDescent="0.2">
      <c r="A83" s="188" t="s">
        <v>277</v>
      </c>
      <c r="B83" s="189" t="s">
        <v>319</v>
      </c>
      <c r="C83" s="190" t="s">
        <v>409</v>
      </c>
      <c r="D83" s="191" t="s">
        <v>391</v>
      </c>
      <c r="E83" s="189" t="s">
        <v>74</v>
      </c>
      <c r="F83" s="191" t="s">
        <v>400</v>
      </c>
      <c r="G83" s="189" t="s">
        <v>6</v>
      </c>
      <c r="H83" s="192">
        <v>5630</v>
      </c>
      <c r="I83" s="192"/>
      <c r="J83" s="192">
        <v>11</v>
      </c>
      <c r="K83" s="189" t="s">
        <v>77</v>
      </c>
      <c r="L83" s="200"/>
      <c r="M83" s="202" t="s">
        <v>1951</v>
      </c>
    </row>
    <row r="84" spans="1:13" x14ac:dyDescent="0.2">
      <c r="A84" s="188" t="s">
        <v>277</v>
      </c>
      <c r="B84" s="189" t="s">
        <v>319</v>
      </c>
      <c r="C84" s="190" t="s">
        <v>324</v>
      </c>
      <c r="D84" s="191" t="s">
        <v>391</v>
      </c>
      <c r="E84" s="189" t="s">
        <v>74</v>
      </c>
      <c r="F84" s="191" t="s">
        <v>394</v>
      </c>
      <c r="G84" s="189" t="s">
        <v>332</v>
      </c>
      <c r="H84" s="192">
        <v>4090</v>
      </c>
      <c r="I84" s="192" t="s">
        <v>332</v>
      </c>
      <c r="J84" s="192" t="s">
        <v>332</v>
      </c>
      <c r="K84" s="189" t="s">
        <v>332</v>
      </c>
      <c r="L84" s="200" t="s">
        <v>410</v>
      </c>
      <c r="M84" s="202" t="s">
        <v>1952</v>
      </c>
    </row>
    <row r="85" spans="1:13" x14ac:dyDescent="0.2">
      <c r="A85" s="188" t="s">
        <v>277</v>
      </c>
      <c r="B85" s="189" t="s">
        <v>319</v>
      </c>
      <c r="C85" s="190" t="s">
        <v>324</v>
      </c>
      <c r="D85" s="191" t="s">
        <v>391</v>
      </c>
      <c r="E85" s="189" t="s">
        <v>74</v>
      </c>
      <c r="F85" s="191" t="s">
        <v>411</v>
      </c>
      <c r="G85" s="189" t="s">
        <v>77</v>
      </c>
      <c r="H85" s="192" t="s">
        <v>327</v>
      </c>
      <c r="I85" s="192">
        <v>15</v>
      </c>
      <c r="J85" s="192"/>
      <c r="K85" s="189" t="s">
        <v>77</v>
      </c>
      <c r="L85" s="200" t="s">
        <v>412</v>
      </c>
      <c r="M85" s="202" t="s">
        <v>1949</v>
      </c>
    </row>
    <row r="86" spans="1:13" x14ac:dyDescent="0.2">
      <c r="A86" s="188" t="s">
        <v>277</v>
      </c>
      <c r="B86" s="189" t="s">
        <v>319</v>
      </c>
      <c r="C86" s="190" t="s">
        <v>324</v>
      </c>
      <c r="D86" s="191" t="s">
        <v>391</v>
      </c>
      <c r="E86" s="189" t="s">
        <v>74</v>
      </c>
      <c r="F86" s="191" t="s">
        <v>413</v>
      </c>
      <c r="G86" s="189" t="s">
        <v>6</v>
      </c>
      <c r="H86" s="192" t="s">
        <v>322</v>
      </c>
      <c r="I86" s="192">
        <v>91</v>
      </c>
      <c r="J86" s="192"/>
      <c r="K86" s="189" t="s">
        <v>6</v>
      </c>
      <c r="L86" s="200" t="s">
        <v>414</v>
      </c>
      <c r="M86" s="202" t="s">
        <v>1714</v>
      </c>
    </row>
    <row r="87" spans="1:13" x14ac:dyDescent="0.2">
      <c r="A87" s="188" t="s">
        <v>277</v>
      </c>
      <c r="B87" s="189" t="s">
        <v>319</v>
      </c>
      <c r="C87" s="190" t="s">
        <v>324</v>
      </c>
      <c r="D87" s="191" t="s">
        <v>391</v>
      </c>
      <c r="E87" s="189" t="s">
        <v>74</v>
      </c>
      <c r="F87" s="191" t="s">
        <v>415</v>
      </c>
      <c r="G87" s="189" t="s">
        <v>6</v>
      </c>
      <c r="H87" s="192">
        <v>1520</v>
      </c>
      <c r="I87" s="192">
        <v>26</v>
      </c>
      <c r="J87" s="192"/>
      <c r="K87" s="189" t="s">
        <v>77</v>
      </c>
      <c r="L87" s="200"/>
      <c r="M87" s="202" t="s">
        <v>1951</v>
      </c>
    </row>
    <row r="88" spans="1:13" x14ac:dyDescent="0.2">
      <c r="A88" s="188" t="s">
        <v>277</v>
      </c>
      <c r="B88" s="189" t="s">
        <v>319</v>
      </c>
      <c r="C88" s="190" t="s">
        <v>324</v>
      </c>
      <c r="D88" s="191" t="s">
        <v>391</v>
      </c>
      <c r="E88" s="189" t="s">
        <v>74</v>
      </c>
      <c r="F88" s="191" t="s">
        <v>416</v>
      </c>
      <c r="G88" s="189" t="s">
        <v>6</v>
      </c>
      <c r="H88" s="192">
        <v>340</v>
      </c>
      <c r="I88" s="192">
        <v>86</v>
      </c>
      <c r="J88" s="192"/>
      <c r="K88" s="189" t="s">
        <v>77</v>
      </c>
      <c r="L88" s="200" t="s">
        <v>417</v>
      </c>
      <c r="M88" s="202" t="s">
        <v>1952</v>
      </c>
    </row>
    <row r="89" spans="1:13" x14ac:dyDescent="0.2">
      <c r="A89" s="188" t="s">
        <v>277</v>
      </c>
      <c r="B89" s="189" t="s">
        <v>319</v>
      </c>
      <c r="C89" s="190" t="s">
        <v>418</v>
      </c>
      <c r="D89" s="191" t="s">
        <v>391</v>
      </c>
      <c r="E89" s="189" t="s">
        <v>7</v>
      </c>
      <c r="F89" s="191" t="s">
        <v>419</v>
      </c>
      <c r="G89" s="189" t="s">
        <v>77</v>
      </c>
      <c r="H89" s="192" t="s">
        <v>327</v>
      </c>
      <c r="I89" s="192"/>
      <c r="J89" s="192">
        <v>0.5</v>
      </c>
      <c r="K89" s="189" t="s">
        <v>6</v>
      </c>
      <c r="L89" s="200"/>
      <c r="M89" s="202" t="s">
        <v>1712</v>
      </c>
    </row>
    <row r="90" spans="1:13" x14ac:dyDescent="0.2">
      <c r="A90" s="188" t="s">
        <v>277</v>
      </c>
      <c r="B90" s="189" t="s">
        <v>319</v>
      </c>
      <c r="C90" s="190" t="s">
        <v>418</v>
      </c>
      <c r="D90" s="191" t="s">
        <v>407</v>
      </c>
      <c r="E90" s="189" t="s">
        <v>7</v>
      </c>
      <c r="F90" s="191" t="s">
        <v>150</v>
      </c>
      <c r="G90" s="189" t="s">
        <v>77</v>
      </c>
      <c r="H90" s="192" t="s">
        <v>322</v>
      </c>
      <c r="I90" s="192"/>
      <c r="J90" s="192" t="s">
        <v>322</v>
      </c>
      <c r="K90" s="189" t="s">
        <v>6</v>
      </c>
      <c r="L90" s="200"/>
      <c r="M90" s="202" t="s">
        <v>1712</v>
      </c>
    </row>
    <row r="91" spans="1:13" x14ac:dyDescent="0.2">
      <c r="A91" s="188" t="s">
        <v>277</v>
      </c>
      <c r="B91" s="189" t="s">
        <v>319</v>
      </c>
      <c r="C91" s="190" t="s">
        <v>420</v>
      </c>
      <c r="D91" s="191" t="s">
        <v>391</v>
      </c>
      <c r="E91" s="189" t="s">
        <v>74</v>
      </c>
      <c r="F91" s="191" t="s">
        <v>400</v>
      </c>
      <c r="G91" s="189" t="s">
        <v>77</v>
      </c>
      <c r="H91" s="192" t="s">
        <v>322</v>
      </c>
      <c r="I91" s="192">
        <v>6</v>
      </c>
      <c r="J91" s="192"/>
      <c r="K91" s="189" t="s">
        <v>6</v>
      </c>
      <c r="L91" s="200" t="s">
        <v>402</v>
      </c>
      <c r="M91" s="202" t="s">
        <v>1712</v>
      </c>
    </row>
    <row r="92" spans="1:13" x14ac:dyDescent="0.2">
      <c r="A92" s="188" t="s">
        <v>277</v>
      </c>
      <c r="B92" s="189" t="s">
        <v>319</v>
      </c>
      <c r="C92" s="190" t="s">
        <v>421</v>
      </c>
      <c r="D92" s="191" t="s">
        <v>391</v>
      </c>
      <c r="E92" s="189" t="s">
        <v>392</v>
      </c>
      <c r="F92" s="191" t="s">
        <v>422</v>
      </c>
      <c r="G92" s="189" t="s">
        <v>77</v>
      </c>
      <c r="H92" s="192" t="s">
        <v>322</v>
      </c>
      <c r="I92" s="192" t="s">
        <v>322</v>
      </c>
      <c r="J92" s="192"/>
      <c r="K92" s="189" t="s">
        <v>6</v>
      </c>
      <c r="L92" s="200"/>
      <c r="M92" s="202" t="s">
        <v>1712</v>
      </c>
    </row>
    <row r="93" spans="1:13" x14ac:dyDescent="0.2">
      <c r="A93" s="188" t="s">
        <v>277</v>
      </c>
      <c r="B93" s="189" t="s">
        <v>319</v>
      </c>
      <c r="C93" s="190" t="s">
        <v>423</v>
      </c>
      <c r="D93" s="191" t="s">
        <v>391</v>
      </c>
      <c r="E93" s="189" t="s">
        <v>7</v>
      </c>
      <c r="F93" s="191" t="s">
        <v>424</v>
      </c>
      <c r="G93" s="189" t="s">
        <v>77</v>
      </c>
      <c r="H93" s="192" t="s">
        <v>322</v>
      </c>
      <c r="I93" s="192"/>
      <c r="J93" s="192" t="s">
        <v>322</v>
      </c>
      <c r="K93" s="189" t="s">
        <v>6</v>
      </c>
      <c r="L93" s="200"/>
      <c r="M93" s="202" t="s">
        <v>1712</v>
      </c>
    </row>
    <row r="94" spans="1:13" x14ac:dyDescent="0.2">
      <c r="A94" s="188" t="s">
        <v>277</v>
      </c>
      <c r="B94" s="189" t="s">
        <v>319</v>
      </c>
      <c r="C94" s="190" t="s">
        <v>425</v>
      </c>
      <c r="D94" s="191" t="s">
        <v>391</v>
      </c>
      <c r="E94" s="189" t="s">
        <v>392</v>
      </c>
      <c r="F94" s="191" t="s">
        <v>426</v>
      </c>
      <c r="G94" s="189" t="s">
        <v>77</v>
      </c>
      <c r="H94" s="192" t="s">
        <v>322</v>
      </c>
      <c r="I94" s="192" t="s">
        <v>322</v>
      </c>
      <c r="J94" s="192"/>
      <c r="K94" s="189" t="s">
        <v>6</v>
      </c>
      <c r="L94" s="200"/>
      <c r="M94" s="202" t="s">
        <v>1712</v>
      </c>
    </row>
    <row r="95" spans="1:13" x14ac:dyDescent="0.2">
      <c r="A95" s="188" t="s">
        <v>277</v>
      </c>
      <c r="B95" s="189" t="s">
        <v>319</v>
      </c>
      <c r="C95" s="190" t="s">
        <v>351</v>
      </c>
      <c r="D95" s="191" t="s">
        <v>391</v>
      </c>
      <c r="E95" s="189" t="s">
        <v>74</v>
      </c>
      <c r="F95" s="191" t="s">
        <v>427</v>
      </c>
      <c r="G95" s="189" t="s">
        <v>77</v>
      </c>
      <c r="H95" s="192" t="s">
        <v>322</v>
      </c>
      <c r="I95" s="192"/>
      <c r="J95" s="192" t="s">
        <v>322</v>
      </c>
      <c r="K95" s="189" t="s">
        <v>6</v>
      </c>
      <c r="L95" s="200"/>
      <c r="M95" s="202" t="s">
        <v>1712</v>
      </c>
    </row>
    <row r="96" spans="1:13" x14ac:dyDescent="0.2">
      <c r="A96" s="188" t="s">
        <v>277</v>
      </c>
      <c r="B96" s="189" t="s">
        <v>319</v>
      </c>
      <c r="C96" s="190" t="s">
        <v>351</v>
      </c>
      <c r="D96" s="191" t="s">
        <v>407</v>
      </c>
      <c r="E96" s="189" t="s">
        <v>74</v>
      </c>
      <c r="F96" s="191" t="s">
        <v>428</v>
      </c>
      <c r="G96" s="189" t="s">
        <v>77</v>
      </c>
      <c r="H96" s="192" t="s">
        <v>322</v>
      </c>
      <c r="I96" s="192"/>
      <c r="J96" s="192" t="s">
        <v>322</v>
      </c>
      <c r="K96" s="189" t="s">
        <v>6</v>
      </c>
      <c r="L96" s="200"/>
      <c r="M96" s="202" t="s">
        <v>1712</v>
      </c>
    </row>
    <row r="97" spans="1:13" x14ac:dyDescent="0.2">
      <c r="A97" s="188" t="s">
        <v>277</v>
      </c>
      <c r="B97" s="189" t="s">
        <v>319</v>
      </c>
      <c r="C97" s="190" t="s">
        <v>429</v>
      </c>
      <c r="D97" s="191" t="s">
        <v>407</v>
      </c>
      <c r="E97" s="189" t="s">
        <v>7</v>
      </c>
      <c r="F97" s="191" t="s">
        <v>430</v>
      </c>
      <c r="G97" s="189" t="s">
        <v>77</v>
      </c>
      <c r="H97" s="192" t="s">
        <v>322</v>
      </c>
      <c r="I97" s="192"/>
      <c r="J97" s="192" t="s">
        <v>322</v>
      </c>
      <c r="K97" s="189" t="s">
        <v>6</v>
      </c>
      <c r="L97" s="200"/>
      <c r="M97" s="202" t="s">
        <v>1712</v>
      </c>
    </row>
    <row r="98" spans="1:13" x14ac:dyDescent="0.2">
      <c r="A98" s="188" t="s">
        <v>277</v>
      </c>
      <c r="B98" s="189" t="s">
        <v>319</v>
      </c>
      <c r="C98" s="190" t="s">
        <v>431</v>
      </c>
      <c r="D98" s="191" t="s">
        <v>407</v>
      </c>
      <c r="E98" s="189" t="s">
        <v>74</v>
      </c>
      <c r="F98" s="191" t="s">
        <v>432</v>
      </c>
      <c r="G98" s="189" t="s">
        <v>77</v>
      </c>
      <c r="H98" s="192" t="s">
        <v>322</v>
      </c>
      <c r="I98" s="192" t="s">
        <v>322</v>
      </c>
      <c r="J98" s="192"/>
      <c r="K98" s="189" t="s">
        <v>6</v>
      </c>
      <c r="L98" s="200"/>
      <c r="M98" s="202" t="s">
        <v>1712</v>
      </c>
    </row>
    <row r="99" spans="1:13" x14ac:dyDescent="0.2">
      <c r="A99" s="188" t="s">
        <v>277</v>
      </c>
      <c r="B99" s="189" t="s">
        <v>319</v>
      </c>
      <c r="C99" s="190" t="s">
        <v>431</v>
      </c>
      <c r="D99" s="191" t="s">
        <v>407</v>
      </c>
      <c r="E99" s="189" t="s">
        <v>74</v>
      </c>
      <c r="F99" s="191" t="s">
        <v>433</v>
      </c>
      <c r="G99" s="189" t="s">
        <v>77</v>
      </c>
      <c r="H99" s="192" t="s">
        <v>322</v>
      </c>
      <c r="I99" s="192" t="s">
        <v>322</v>
      </c>
      <c r="J99" s="192"/>
      <c r="K99" s="189" t="s">
        <v>6</v>
      </c>
      <c r="L99" s="200"/>
      <c r="M99" s="202" t="s">
        <v>1712</v>
      </c>
    </row>
    <row r="100" spans="1:13" x14ac:dyDescent="0.2">
      <c r="A100" s="188" t="s">
        <v>277</v>
      </c>
      <c r="B100" s="189" t="s">
        <v>319</v>
      </c>
      <c r="C100" s="190" t="s">
        <v>434</v>
      </c>
      <c r="D100" s="191" t="s">
        <v>391</v>
      </c>
      <c r="E100" s="189" t="s">
        <v>392</v>
      </c>
      <c r="F100" s="191" t="s">
        <v>435</v>
      </c>
      <c r="G100" s="189" t="s">
        <v>77</v>
      </c>
      <c r="H100" s="192" t="s">
        <v>322</v>
      </c>
      <c r="I100" s="192" t="s">
        <v>322</v>
      </c>
      <c r="J100" s="192"/>
      <c r="K100" s="189" t="s">
        <v>6</v>
      </c>
      <c r="L100" s="200"/>
      <c r="M100" s="202" t="s">
        <v>1712</v>
      </c>
    </row>
    <row r="101" spans="1:13" x14ac:dyDescent="0.2">
      <c r="A101" s="188" t="s">
        <v>277</v>
      </c>
      <c r="B101" s="189" t="s">
        <v>319</v>
      </c>
      <c r="C101" s="190" t="s">
        <v>352</v>
      </c>
      <c r="D101" s="191" t="s">
        <v>391</v>
      </c>
      <c r="E101" s="189" t="s">
        <v>74</v>
      </c>
      <c r="F101" s="191" t="s">
        <v>436</v>
      </c>
      <c r="G101" s="189" t="s">
        <v>77</v>
      </c>
      <c r="H101" s="192" t="s">
        <v>322</v>
      </c>
      <c r="I101" s="192"/>
      <c r="J101" s="192" t="s">
        <v>322</v>
      </c>
      <c r="K101" s="189" t="s">
        <v>6</v>
      </c>
      <c r="L101" s="200"/>
      <c r="M101" s="202" t="s">
        <v>1712</v>
      </c>
    </row>
    <row r="102" spans="1:13" x14ac:dyDescent="0.2">
      <c r="A102" s="188" t="s">
        <v>277</v>
      </c>
      <c r="B102" s="189" t="s">
        <v>319</v>
      </c>
      <c r="C102" s="190" t="s">
        <v>75</v>
      </c>
      <c r="D102" s="191" t="s">
        <v>391</v>
      </c>
      <c r="E102" s="189" t="s">
        <v>74</v>
      </c>
      <c r="F102" s="191" t="s">
        <v>437</v>
      </c>
      <c r="G102" s="189" t="s">
        <v>77</v>
      </c>
      <c r="H102" s="192" t="s">
        <v>322</v>
      </c>
      <c r="I102" s="192" t="s">
        <v>322</v>
      </c>
      <c r="J102" s="192"/>
      <c r="K102" s="189" t="s">
        <v>6</v>
      </c>
      <c r="L102" s="200"/>
      <c r="M102" s="202" t="s">
        <v>1712</v>
      </c>
    </row>
    <row r="103" spans="1:13" x14ac:dyDescent="0.2">
      <c r="A103" s="188" t="s">
        <v>277</v>
      </c>
      <c r="B103" s="189" t="s">
        <v>319</v>
      </c>
      <c r="C103" s="190" t="s">
        <v>75</v>
      </c>
      <c r="D103" s="191" t="s">
        <v>391</v>
      </c>
      <c r="E103" s="189" t="s">
        <v>74</v>
      </c>
      <c r="F103" s="191" t="s">
        <v>438</v>
      </c>
      <c r="G103" s="189" t="s">
        <v>77</v>
      </c>
      <c r="H103" s="192" t="s">
        <v>322</v>
      </c>
      <c r="I103" s="192" t="s">
        <v>322</v>
      </c>
      <c r="J103" s="192"/>
      <c r="K103" s="189" t="s">
        <v>6</v>
      </c>
      <c r="L103" s="200"/>
      <c r="M103" s="202" t="s">
        <v>1712</v>
      </c>
    </row>
    <row r="104" spans="1:13" x14ac:dyDescent="0.2">
      <c r="A104" s="188" t="s">
        <v>277</v>
      </c>
      <c r="B104" s="189" t="s">
        <v>319</v>
      </c>
      <c r="C104" s="190" t="s">
        <v>75</v>
      </c>
      <c r="D104" s="191" t="s">
        <v>391</v>
      </c>
      <c r="E104" s="189" t="s">
        <v>74</v>
      </c>
      <c r="F104" s="191" t="s">
        <v>394</v>
      </c>
      <c r="G104" s="189" t="s">
        <v>6</v>
      </c>
      <c r="H104" s="192" t="s">
        <v>327</v>
      </c>
      <c r="I104" s="192">
        <v>22</v>
      </c>
      <c r="J104" s="192"/>
      <c r="K104" s="189" t="s">
        <v>6</v>
      </c>
      <c r="L104" s="200" t="s">
        <v>439</v>
      </c>
      <c r="M104" s="202" t="s">
        <v>1712</v>
      </c>
    </row>
    <row r="105" spans="1:13" x14ac:dyDescent="0.2">
      <c r="A105" s="188" t="s">
        <v>277</v>
      </c>
      <c r="B105" s="189" t="s">
        <v>319</v>
      </c>
      <c r="C105" s="190" t="s">
        <v>75</v>
      </c>
      <c r="D105" s="191" t="s">
        <v>391</v>
      </c>
      <c r="E105" s="189" t="s">
        <v>74</v>
      </c>
      <c r="F105" s="191" t="s">
        <v>440</v>
      </c>
      <c r="G105" s="189" t="s">
        <v>77</v>
      </c>
      <c r="H105" s="192" t="s">
        <v>327</v>
      </c>
      <c r="I105" s="192">
        <v>22</v>
      </c>
      <c r="J105" s="192"/>
      <c r="K105" s="189" t="s">
        <v>6</v>
      </c>
      <c r="L105" s="200"/>
      <c r="M105" s="202" t="s">
        <v>1712</v>
      </c>
    </row>
    <row r="106" spans="1:13" x14ac:dyDescent="0.2">
      <c r="A106" s="188" t="s">
        <v>277</v>
      </c>
      <c r="B106" s="189" t="s">
        <v>319</v>
      </c>
      <c r="C106" s="190" t="s">
        <v>75</v>
      </c>
      <c r="D106" s="191" t="s">
        <v>391</v>
      </c>
      <c r="E106" s="189" t="s">
        <v>74</v>
      </c>
      <c r="F106" s="191" t="s">
        <v>415</v>
      </c>
      <c r="G106" s="189" t="s">
        <v>6</v>
      </c>
      <c r="H106" s="192" t="s">
        <v>327</v>
      </c>
      <c r="I106" s="192">
        <v>66</v>
      </c>
      <c r="J106" s="192"/>
      <c r="K106" s="189" t="s">
        <v>6</v>
      </c>
      <c r="L106" s="200" t="s">
        <v>441</v>
      </c>
      <c r="M106" s="202" t="s">
        <v>1712</v>
      </c>
    </row>
    <row r="107" spans="1:13" x14ac:dyDescent="0.2">
      <c r="A107" s="188" t="s">
        <v>277</v>
      </c>
      <c r="B107" s="189" t="s">
        <v>319</v>
      </c>
      <c r="C107" s="190" t="s">
        <v>75</v>
      </c>
      <c r="D107" s="191" t="s">
        <v>391</v>
      </c>
      <c r="E107" s="189" t="s">
        <v>74</v>
      </c>
      <c r="F107" s="191" t="s">
        <v>442</v>
      </c>
      <c r="G107" s="189" t="s">
        <v>6</v>
      </c>
      <c r="H107" s="192">
        <v>1210</v>
      </c>
      <c r="I107" s="192">
        <v>18</v>
      </c>
      <c r="J107" s="192"/>
      <c r="K107" s="189" t="s">
        <v>77</v>
      </c>
      <c r="L107" s="200"/>
      <c r="M107" s="202" t="s">
        <v>1952</v>
      </c>
    </row>
    <row r="108" spans="1:13" x14ac:dyDescent="0.2">
      <c r="A108" s="188" t="s">
        <v>277</v>
      </c>
      <c r="B108" s="189" t="s">
        <v>319</v>
      </c>
      <c r="C108" s="190" t="s">
        <v>353</v>
      </c>
      <c r="D108" s="191" t="s">
        <v>391</v>
      </c>
      <c r="E108" s="189" t="s">
        <v>7</v>
      </c>
      <c r="F108" s="191" t="s">
        <v>443</v>
      </c>
      <c r="G108" s="189" t="s">
        <v>6</v>
      </c>
      <c r="H108" s="192">
        <v>600</v>
      </c>
      <c r="I108" s="192"/>
      <c r="J108" s="192">
        <v>20</v>
      </c>
      <c r="K108" s="189" t="s">
        <v>6</v>
      </c>
      <c r="L108" s="200"/>
      <c r="M108" s="202" t="s">
        <v>1713</v>
      </c>
    </row>
    <row r="109" spans="1:13" x14ac:dyDescent="0.2">
      <c r="A109" s="188" t="s">
        <v>277</v>
      </c>
      <c r="B109" s="189" t="s">
        <v>319</v>
      </c>
      <c r="C109" s="190" t="s">
        <v>354</v>
      </c>
      <c r="D109" s="191" t="s">
        <v>391</v>
      </c>
      <c r="E109" s="189" t="s">
        <v>7</v>
      </c>
      <c r="F109" s="191" t="s">
        <v>400</v>
      </c>
      <c r="G109" s="189" t="s">
        <v>77</v>
      </c>
      <c r="H109" s="192" t="s">
        <v>327</v>
      </c>
      <c r="I109" s="192" t="s">
        <v>322</v>
      </c>
      <c r="J109" s="192"/>
      <c r="K109" s="189" t="s">
        <v>6</v>
      </c>
      <c r="L109" s="200"/>
      <c r="M109" s="202" t="s">
        <v>1949</v>
      </c>
    </row>
    <row r="110" spans="1:13" x14ac:dyDescent="0.2">
      <c r="A110" s="188" t="s">
        <v>277</v>
      </c>
      <c r="B110" s="189" t="s">
        <v>319</v>
      </c>
      <c r="C110" s="190" t="s">
        <v>444</v>
      </c>
      <c r="D110" s="191" t="s">
        <v>391</v>
      </c>
      <c r="E110" s="189" t="s">
        <v>7</v>
      </c>
      <c r="F110" s="191" t="s">
        <v>400</v>
      </c>
      <c r="G110" s="189" t="s">
        <v>6</v>
      </c>
      <c r="H110" s="192">
        <v>400</v>
      </c>
      <c r="I110" s="192"/>
      <c r="J110" s="192">
        <v>8</v>
      </c>
      <c r="K110" s="189" t="s">
        <v>6</v>
      </c>
      <c r="L110" s="200" t="s">
        <v>445</v>
      </c>
      <c r="M110" s="202" t="s">
        <v>1713</v>
      </c>
    </row>
    <row r="111" spans="1:13" x14ac:dyDescent="0.2">
      <c r="A111" s="188" t="s">
        <v>277</v>
      </c>
      <c r="B111" s="189" t="s">
        <v>319</v>
      </c>
      <c r="C111" s="190" t="s">
        <v>446</v>
      </c>
      <c r="D111" s="191" t="s">
        <v>391</v>
      </c>
      <c r="E111" s="189" t="s">
        <v>74</v>
      </c>
      <c r="F111" s="191" t="s">
        <v>400</v>
      </c>
      <c r="G111" s="189" t="s">
        <v>77</v>
      </c>
      <c r="H111" s="192" t="s">
        <v>322</v>
      </c>
      <c r="I111" s="192">
        <v>28</v>
      </c>
      <c r="J111" s="192"/>
      <c r="K111" s="189" t="s">
        <v>6</v>
      </c>
      <c r="L111" s="200" t="s">
        <v>447</v>
      </c>
      <c r="M111" s="202" t="s">
        <v>1712</v>
      </c>
    </row>
    <row r="112" spans="1:13" x14ac:dyDescent="0.2">
      <c r="A112" s="188" t="s">
        <v>277</v>
      </c>
      <c r="B112" s="189" t="s">
        <v>319</v>
      </c>
      <c r="C112" s="190" t="s">
        <v>448</v>
      </c>
      <c r="D112" s="191" t="s">
        <v>407</v>
      </c>
      <c r="E112" s="189" t="s">
        <v>392</v>
      </c>
      <c r="F112" s="191" t="s">
        <v>449</v>
      </c>
      <c r="G112" s="189" t="s">
        <v>77</v>
      </c>
      <c r="H112" s="192" t="s">
        <v>322</v>
      </c>
      <c r="I112" s="192" t="s">
        <v>322</v>
      </c>
      <c r="J112" s="192"/>
      <c r="K112" s="189" t="s">
        <v>6</v>
      </c>
      <c r="L112" s="200"/>
      <c r="M112" s="202" t="s">
        <v>1712</v>
      </c>
    </row>
    <row r="113" spans="1:13" x14ac:dyDescent="0.2">
      <c r="A113" s="188" t="s">
        <v>277</v>
      </c>
      <c r="B113" s="189" t="s">
        <v>319</v>
      </c>
      <c r="C113" s="190" t="s">
        <v>355</v>
      </c>
      <c r="D113" s="191" t="s">
        <v>407</v>
      </c>
      <c r="E113" s="189"/>
      <c r="F113" s="191" t="s">
        <v>450</v>
      </c>
      <c r="G113" s="189" t="s">
        <v>77</v>
      </c>
      <c r="H113" s="192" t="s">
        <v>322</v>
      </c>
      <c r="I113" s="192" t="s">
        <v>322</v>
      </c>
      <c r="J113" s="192"/>
      <c r="K113" s="189" t="s">
        <v>6</v>
      </c>
      <c r="L113" s="200"/>
      <c r="M113" s="202" t="s">
        <v>1712</v>
      </c>
    </row>
    <row r="114" spans="1:13" x14ac:dyDescent="0.2">
      <c r="A114" s="188" t="s">
        <v>277</v>
      </c>
      <c r="B114" s="189" t="s">
        <v>319</v>
      </c>
      <c r="C114" s="190" t="s">
        <v>356</v>
      </c>
      <c r="D114" s="191" t="s">
        <v>391</v>
      </c>
      <c r="E114" s="189" t="s">
        <v>74</v>
      </c>
      <c r="F114" s="191" t="s">
        <v>451</v>
      </c>
      <c r="G114" s="189" t="s">
        <v>6</v>
      </c>
      <c r="H114" s="192">
        <v>450</v>
      </c>
      <c r="I114" s="192">
        <v>13</v>
      </c>
      <c r="J114" s="192"/>
      <c r="K114" s="189" t="s">
        <v>77</v>
      </c>
      <c r="L114" s="200"/>
      <c r="M114" s="202" t="s">
        <v>1951</v>
      </c>
    </row>
    <row r="115" spans="1:13" x14ac:dyDescent="0.2">
      <c r="A115" s="188" t="s">
        <v>277</v>
      </c>
      <c r="B115" s="189" t="s">
        <v>319</v>
      </c>
      <c r="C115" s="190" t="s">
        <v>356</v>
      </c>
      <c r="D115" s="191" t="s">
        <v>391</v>
      </c>
      <c r="E115" s="189" t="s">
        <v>74</v>
      </c>
      <c r="F115" s="191" t="s">
        <v>452</v>
      </c>
      <c r="G115" s="189" t="s">
        <v>6</v>
      </c>
      <c r="H115" s="192">
        <v>2570</v>
      </c>
      <c r="I115" s="192">
        <v>17</v>
      </c>
      <c r="J115" s="192"/>
      <c r="K115" s="189" t="s">
        <v>77</v>
      </c>
      <c r="L115" s="200"/>
      <c r="M115" s="202" t="s">
        <v>1713</v>
      </c>
    </row>
    <row r="116" spans="1:13" x14ac:dyDescent="0.2">
      <c r="A116" s="188" t="s">
        <v>277</v>
      </c>
      <c r="B116" s="189" t="s">
        <v>319</v>
      </c>
      <c r="C116" s="190" t="s">
        <v>356</v>
      </c>
      <c r="D116" s="191" t="s">
        <v>391</v>
      </c>
      <c r="E116" s="189" t="s">
        <v>74</v>
      </c>
      <c r="F116" s="191" t="s">
        <v>450</v>
      </c>
      <c r="G116" s="189" t="s">
        <v>77</v>
      </c>
      <c r="H116" s="192" t="s">
        <v>322</v>
      </c>
      <c r="I116" s="192" t="s">
        <v>322</v>
      </c>
      <c r="J116" s="192"/>
      <c r="K116" s="189" t="s">
        <v>6</v>
      </c>
      <c r="L116" s="200"/>
      <c r="M116" s="202" t="s">
        <v>1712</v>
      </c>
    </row>
    <row r="117" spans="1:13" x14ac:dyDescent="0.2">
      <c r="A117" s="188" t="s">
        <v>277</v>
      </c>
      <c r="B117" s="189" t="s">
        <v>319</v>
      </c>
      <c r="C117" s="190" t="s">
        <v>357</v>
      </c>
      <c r="D117" s="191" t="s">
        <v>391</v>
      </c>
      <c r="E117" s="189" t="s">
        <v>74</v>
      </c>
      <c r="F117" s="191" t="s">
        <v>453</v>
      </c>
      <c r="G117" s="189" t="s">
        <v>77</v>
      </c>
      <c r="H117" s="192" t="s">
        <v>322</v>
      </c>
      <c r="I117" s="192"/>
      <c r="J117" s="192" t="s">
        <v>322</v>
      </c>
      <c r="K117" s="189" t="s">
        <v>6</v>
      </c>
      <c r="L117" s="200"/>
      <c r="M117" s="202" t="s">
        <v>1712</v>
      </c>
    </row>
    <row r="118" spans="1:13" x14ac:dyDescent="0.2">
      <c r="A118" s="188" t="s">
        <v>277</v>
      </c>
      <c r="B118" s="189" t="s">
        <v>319</v>
      </c>
      <c r="C118" s="190" t="s">
        <v>357</v>
      </c>
      <c r="D118" s="191" t="s">
        <v>391</v>
      </c>
      <c r="E118" s="189" t="s">
        <v>74</v>
      </c>
      <c r="F118" s="191" t="s">
        <v>454</v>
      </c>
      <c r="G118" s="189" t="s">
        <v>77</v>
      </c>
      <c r="H118" s="192" t="s">
        <v>327</v>
      </c>
      <c r="I118" s="192"/>
      <c r="J118" s="192">
        <v>10</v>
      </c>
      <c r="K118" s="189" t="s">
        <v>6</v>
      </c>
      <c r="L118" s="200" t="s">
        <v>455</v>
      </c>
      <c r="M118" s="202" t="s">
        <v>1712</v>
      </c>
    </row>
    <row r="119" spans="1:13" x14ac:dyDescent="0.2">
      <c r="A119" s="188" t="s">
        <v>277</v>
      </c>
      <c r="B119" s="189" t="s">
        <v>319</v>
      </c>
      <c r="C119" s="190" t="s">
        <v>456</v>
      </c>
      <c r="D119" s="191" t="s">
        <v>391</v>
      </c>
      <c r="E119" s="189" t="s">
        <v>74</v>
      </c>
      <c r="F119" s="191" t="s">
        <v>457</v>
      </c>
      <c r="G119" s="189" t="s">
        <v>77</v>
      </c>
      <c r="H119" s="192" t="s">
        <v>327</v>
      </c>
      <c r="I119" s="192"/>
      <c r="J119" s="192">
        <v>5</v>
      </c>
      <c r="K119" s="189" t="s">
        <v>6</v>
      </c>
      <c r="L119" s="200"/>
      <c r="M119" s="202" t="s">
        <v>1950</v>
      </c>
    </row>
    <row r="120" spans="1:13" x14ac:dyDescent="0.2">
      <c r="A120" s="188" t="s">
        <v>277</v>
      </c>
      <c r="B120" s="189" t="s">
        <v>319</v>
      </c>
      <c r="C120" s="190" t="s">
        <v>456</v>
      </c>
      <c r="D120" s="191" t="s">
        <v>407</v>
      </c>
      <c r="E120" s="189" t="s">
        <v>74</v>
      </c>
      <c r="F120" s="191" t="s">
        <v>450</v>
      </c>
      <c r="G120" s="189" t="s">
        <v>77</v>
      </c>
      <c r="H120" s="192" t="s">
        <v>322</v>
      </c>
      <c r="I120" s="192"/>
      <c r="J120" s="192" t="s">
        <v>322</v>
      </c>
      <c r="K120" s="189" t="s">
        <v>6</v>
      </c>
      <c r="L120" s="200"/>
      <c r="M120" s="202" t="s">
        <v>1712</v>
      </c>
    </row>
    <row r="121" spans="1:13" x14ac:dyDescent="0.2">
      <c r="A121" s="188" t="s">
        <v>277</v>
      </c>
      <c r="B121" s="189" t="s">
        <v>319</v>
      </c>
      <c r="C121" s="190" t="s">
        <v>358</v>
      </c>
      <c r="D121" s="191" t="s">
        <v>391</v>
      </c>
      <c r="E121" s="189" t="s">
        <v>74</v>
      </c>
      <c r="F121" s="191" t="s">
        <v>458</v>
      </c>
      <c r="G121" s="189" t="s">
        <v>6</v>
      </c>
      <c r="H121" s="192">
        <v>550</v>
      </c>
      <c r="I121" s="192">
        <v>10</v>
      </c>
      <c r="J121" s="192"/>
      <c r="K121" s="189" t="s">
        <v>77</v>
      </c>
      <c r="L121" s="200"/>
      <c r="M121" s="202" t="s">
        <v>1951</v>
      </c>
    </row>
    <row r="122" spans="1:13" x14ac:dyDescent="0.2">
      <c r="A122" s="188" t="s">
        <v>277</v>
      </c>
      <c r="B122" s="189" t="s">
        <v>319</v>
      </c>
      <c r="C122" s="190" t="s">
        <v>358</v>
      </c>
      <c r="D122" s="191" t="s">
        <v>391</v>
      </c>
      <c r="E122" s="189" t="s">
        <v>74</v>
      </c>
      <c r="F122" s="191" t="s">
        <v>459</v>
      </c>
      <c r="G122" s="189" t="s">
        <v>6</v>
      </c>
      <c r="H122" s="192">
        <v>3110</v>
      </c>
      <c r="I122" s="192">
        <v>8</v>
      </c>
      <c r="J122" s="192"/>
      <c r="K122" s="189" t="s">
        <v>6</v>
      </c>
      <c r="L122" s="200" t="s">
        <v>460</v>
      </c>
      <c r="M122" s="202" t="s">
        <v>1951</v>
      </c>
    </row>
    <row r="123" spans="1:13" x14ac:dyDescent="0.2">
      <c r="A123" s="188" t="s">
        <v>277</v>
      </c>
      <c r="B123" s="189" t="s">
        <v>319</v>
      </c>
      <c r="C123" s="190" t="s">
        <v>358</v>
      </c>
      <c r="D123" s="191" t="s">
        <v>391</v>
      </c>
      <c r="E123" s="189" t="s">
        <v>74</v>
      </c>
      <c r="F123" s="191" t="s">
        <v>450</v>
      </c>
      <c r="G123" s="189" t="s">
        <v>77</v>
      </c>
      <c r="H123" s="192" t="s">
        <v>322</v>
      </c>
      <c r="I123" s="192" t="s">
        <v>322</v>
      </c>
      <c r="J123" s="192"/>
      <c r="K123" s="189" t="s">
        <v>6</v>
      </c>
      <c r="L123" s="200"/>
      <c r="M123" s="202" t="s">
        <v>1712</v>
      </c>
    </row>
    <row r="124" spans="1:13" x14ac:dyDescent="0.2">
      <c r="A124" s="188" t="s">
        <v>277</v>
      </c>
      <c r="B124" s="189" t="s">
        <v>319</v>
      </c>
      <c r="C124" s="190" t="s">
        <v>461</v>
      </c>
      <c r="D124" s="191" t="s">
        <v>391</v>
      </c>
      <c r="E124" s="189" t="s">
        <v>74</v>
      </c>
      <c r="F124" s="191" t="s">
        <v>458</v>
      </c>
      <c r="G124" s="189" t="s">
        <v>6</v>
      </c>
      <c r="H124" s="192">
        <v>550</v>
      </c>
      <c r="I124" s="192">
        <v>10</v>
      </c>
      <c r="J124" s="192"/>
      <c r="K124" s="189" t="s">
        <v>77</v>
      </c>
      <c r="L124" s="200"/>
      <c r="M124" s="202" t="s">
        <v>1951</v>
      </c>
    </row>
    <row r="125" spans="1:13" x14ac:dyDescent="0.2">
      <c r="A125" s="188" t="s">
        <v>277</v>
      </c>
      <c r="B125" s="189" t="s">
        <v>319</v>
      </c>
      <c r="C125" s="190" t="s">
        <v>461</v>
      </c>
      <c r="D125" s="191" t="s">
        <v>391</v>
      </c>
      <c r="E125" s="189" t="s">
        <v>74</v>
      </c>
      <c r="F125" s="191" t="s">
        <v>459</v>
      </c>
      <c r="G125" s="189" t="s">
        <v>6</v>
      </c>
      <c r="H125" s="192">
        <v>3110</v>
      </c>
      <c r="I125" s="192">
        <v>8</v>
      </c>
      <c r="J125" s="192"/>
      <c r="K125" s="189" t="s">
        <v>6</v>
      </c>
      <c r="L125" s="200" t="s">
        <v>460</v>
      </c>
      <c r="M125" s="202" t="s">
        <v>1713</v>
      </c>
    </row>
    <row r="126" spans="1:13" x14ac:dyDescent="0.2">
      <c r="A126" s="188" t="s">
        <v>277</v>
      </c>
      <c r="B126" s="189" t="s">
        <v>319</v>
      </c>
      <c r="C126" s="190" t="s">
        <v>461</v>
      </c>
      <c r="D126" s="191" t="s">
        <v>407</v>
      </c>
      <c r="E126" s="189" t="s">
        <v>74</v>
      </c>
      <c r="F126" s="191" t="s">
        <v>450</v>
      </c>
      <c r="G126" s="189" t="s">
        <v>77</v>
      </c>
      <c r="H126" s="192" t="s">
        <v>322</v>
      </c>
      <c r="I126" s="192" t="s">
        <v>322</v>
      </c>
      <c r="J126" s="192"/>
      <c r="K126" s="189" t="s">
        <v>6</v>
      </c>
      <c r="L126" s="200"/>
      <c r="M126" s="202" t="s">
        <v>1712</v>
      </c>
    </row>
    <row r="127" spans="1:13" x14ac:dyDescent="0.2">
      <c r="A127" s="188" t="s">
        <v>277</v>
      </c>
      <c r="B127" s="189" t="s">
        <v>319</v>
      </c>
      <c r="C127" s="190" t="s">
        <v>328</v>
      </c>
      <c r="D127" s="191" t="s">
        <v>391</v>
      </c>
      <c r="E127" s="189" t="s">
        <v>74</v>
      </c>
      <c r="F127" s="191" t="s">
        <v>462</v>
      </c>
      <c r="G127" s="189" t="s">
        <v>77</v>
      </c>
      <c r="H127" s="192" t="s">
        <v>322</v>
      </c>
      <c r="I127" s="192" t="s">
        <v>322</v>
      </c>
      <c r="J127" s="192"/>
      <c r="K127" s="189" t="s">
        <v>6</v>
      </c>
      <c r="L127" s="200"/>
      <c r="M127" s="202" t="s">
        <v>1712</v>
      </c>
    </row>
    <row r="128" spans="1:13" x14ac:dyDescent="0.2">
      <c r="A128" s="188" t="s">
        <v>277</v>
      </c>
      <c r="B128" s="189" t="s">
        <v>319</v>
      </c>
      <c r="C128" s="190" t="s">
        <v>329</v>
      </c>
      <c r="D128" s="191" t="s">
        <v>391</v>
      </c>
      <c r="E128" s="189" t="s">
        <v>74</v>
      </c>
      <c r="F128" s="191" t="s">
        <v>437</v>
      </c>
      <c r="G128" s="189" t="s">
        <v>77</v>
      </c>
      <c r="H128" s="192" t="s">
        <v>322</v>
      </c>
      <c r="I128" s="192"/>
      <c r="J128" s="192" t="s">
        <v>322</v>
      </c>
      <c r="K128" s="189" t="s">
        <v>6</v>
      </c>
      <c r="L128" s="200"/>
      <c r="M128" s="202" t="s">
        <v>1712</v>
      </c>
    </row>
    <row r="129" spans="1:13" x14ac:dyDescent="0.2">
      <c r="A129" s="188" t="s">
        <v>277</v>
      </c>
      <c r="B129" s="189" t="s">
        <v>319</v>
      </c>
      <c r="C129" s="190" t="s">
        <v>329</v>
      </c>
      <c r="D129" s="191" t="s">
        <v>391</v>
      </c>
      <c r="E129" s="189" t="s">
        <v>74</v>
      </c>
      <c r="F129" s="191" t="s">
        <v>438</v>
      </c>
      <c r="G129" s="189" t="s">
        <v>77</v>
      </c>
      <c r="H129" s="192" t="s">
        <v>322</v>
      </c>
      <c r="I129" s="192" t="s">
        <v>322</v>
      </c>
      <c r="J129" s="192"/>
      <c r="K129" s="189" t="s">
        <v>6</v>
      </c>
      <c r="L129" s="200"/>
      <c r="M129" s="202" t="s">
        <v>1712</v>
      </c>
    </row>
    <row r="130" spans="1:13" x14ac:dyDescent="0.2">
      <c r="A130" s="188" t="s">
        <v>277</v>
      </c>
      <c r="B130" s="189" t="s">
        <v>319</v>
      </c>
      <c r="C130" s="190" t="s">
        <v>329</v>
      </c>
      <c r="D130" s="191" t="s">
        <v>391</v>
      </c>
      <c r="E130" s="189" t="s">
        <v>74</v>
      </c>
      <c r="F130" s="191" t="s">
        <v>394</v>
      </c>
      <c r="G130" s="189" t="s">
        <v>6</v>
      </c>
      <c r="H130" s="192">
        <v>730</v>
      </c>
      <c r="I130" s="192">
        <v>16</v>
      </c>
      <c r="J130" s="192"/>
      <c r="K130" s="189" t="s">
        <v>77</v>
      </c>
      <c r="L130" s="200"/>
      <c r="M130" s="202" t="s">
        <v>1952</v>
      </c>
    </row>
    <row r="131" spans="1:13" x14ac:dyDescent="0.2">
      <c r="A131" s="188" t="s">
        <v>277</v>
      </c>
      <c r="B131" s="189" t="s">
        <v>319</v>
      </c>
      <c r="C131" s="190" t="s">
        <v>329</v>
      </c>
      <c r="D131" s="191" t="s">
        <v>391</v>
      </c>
      <c r="E131" s="189" t="s">
        <v>74</v>
      </c>
      <c r="F131" s="191" t="s">
        <v>440</v>
      </c>
      <c r="G131" s="189" t="s">
        <v>6</v>
      </c>
      <c r="H131" s="192" t="s">
        <v>327</v>
      </c>
      <c r="I131" s="192">
        <v>8</v>
      </c>
      <c r="J131" s="192"/>
      <c r="K131" s="189" t="s">
        <v>6</v>
      </c>
      <c r="L131" s="200" t="s">
        <v>463</v>
      </c>
      <c r="M131" s="202" t="s">
        <v>1950</v>
      </c>
    </row>
    <row r="132" spans="1:13" x14ac:dyDescent="0.2">
      <c r="A132" s="188" t="s">
        <v>277</v>
      </c>
      <c r="B132" s="189" t="s">
        <v>319</v>
      </c>
      <c r="C132" s="190" t="s">
        <v>329</v>
      </c>
      <c r="D132" s="191" t="s">
        <v>391</v>
      </c>
      <c r="E132" s="189" t="s">
        <v>74</v>
      </c>
      <c r="F132" s="191" t="s">
        <v>415</v>
      </c>
      <c r="G132" s="189" t="s">
        <v>6</v>
      </c>
      <c r="H132" s="192">
        <v>510</v>
      </c>
      <c r="I132" s="192">
        <v>43</v>
      </c>
      <c r="J132" s="192"/>
      <c r="K132" s="189" t="s">
        <v>77</v>
      </c>
      <c r="L132" s="200"/>
      <c r="M132" s="202" t="s">
        <v>1951</v>
      </c>
    </row>
    <row r="133" spans="1:13" x14ac:dyDescent="0.2">
      <c r="A133" s="188" t="s">
        <v>277</v>
      </c>
      <c r="B133" s="189" t="s">
        <v>319</v>
      </c>
      <c r="C133" s="190" t="s">
        <v>329</v>
      </c>
      <c r="D133" s="191" t="s">
        <v>391</v>
      </c>
      <c r="E133" s="189" t="s">
        <v>74</v>
      </c>
      <c r="F133" s="191" t="s">
        <v>464</v>
      </c>
      <c r="G133" s="189" t="s">
        <v>6</v>
      </c>
      <c r="H133" s="192">
        <v>2140</v>
      </c>
      <c r="I133" s="192">
        <v>22</v>
      </c>
      <c r="J133" s="192"/>
      <c r="K133" s="189" t="s">
        <v>77</v>
      </c>
      <c r="L133" s="200"/>
      <c r="M133" s="202" t="s">
        <v>1952</v>
      </c>
    </row>
    <row r="134" spans="1:13" x14ac:dyDescent="0.2">
      <c r="A134" s="188" t="s">
        <v>277</v>
      </c>
      <c r="B134" s="189" t="s">
        <v>319</v>
      </c>
      <c r="C134" s="190" t="s">
        <v>361</v>
      </c>
      <c r="D134" s="191" t="s">
        <v>391</v>
      </c>
      <c r="E134" s="189" t="s">
        <v>74</v>
      </c>
      <c r="F134" s="191" t="s">
        <v>433</v>
      </c>
      <c r="G134" s="189" t="s">
        <v>77</v>
      </c>
      <c r="H134" s="192" t="s">
        <v>322</v>
      </c>
      <c r="I134" s="192" t="s">
        <v>322</v>
      </c>
      <c r="J134" s="192"/>
      <c r="K134" s="189" t="s">
        <v>6</v>
      </c>
      <c r="L134" s="200"/>
      <c r="M134" s="202" t="s">
        <v>1712</v>
      </c>
    </row>
    <row r="135" spans="1:13" x14ac:dyDescent="0.2">
      <c r="A135" s="188" t="s">
        <v>277</v>
      </c>
      <c r="B135" s="189" t="s">
        <v>319</v>
      </c>
      <c r="C135" s="190" t="s">
        <v>361</v>
      </c>
      <c r="D135" s="191" t="s">
        <v>391</v>
      </c>
      <c r="E135" s="189" t="s">
        <v>74</v>
      </c>
      <c r="F135" s="191" t="s">
        <v>465</v>
      </c>
      <c r="G135" s="189" t="s">
        <v>77</v>
      </c>
      <c r="H135" s="192" t="s">
        <v>322</v>
      </c>
      <c r="I135" s="192" t="s">
        <v>322</v>
      </c>
      <c r="J135" s="192"/>
      <c r="K135" s="189" t="s">
        <v>6</v>
      </c>
      <c r="L135" s="200"/>
      <c r="M135" s="202" t="s">
        <v>1712</v>
      </c>
    </row>
    <row r="136" spans="1:13" x14ac:dyDescent="0.2">
      <c r="A136" s="188" t="s">
        <v>277</v>
      </c>
      <c r="B136" s="189" t="s">
        <v>319</v>
      </c>
      <c r="C136" s="190" t="s">
        <v>361</v>
      </c>
      <c r="D136" s="191" t="s">
        <v>391</v>
      </c>
      <c r="E136" s="189" t="s">
        <v>74</v>
      </c>
      <c r="F136" s="191" t="s">
        <v>438</v>
      </c>
      <c r="G136" s="189" t="s">
        <v>77</v>
      </c>
      <c r="H136" s="192" t="s">
        <v>322</v>
      </c>
      <c r="I136" s="192"/>
      <c r="J136" s="192" t="s">
        <v>322</v>
      </c>
      <c r="K136" s="189" t="s">
        <v>6</v>
      </c>
      <c r="L136" s="200"/>
      <c r="M136" s="202" t="s">
        <v>1712</v>
      </c>
    </row>
    <row r="137" spans="1:13" x14ac:dyDescent="0.2">
      <c r="A137" s="188" t="s">
        <v>277</v>
      </c>
      <c r="B137" s="189" t="s">
        <v>319</v>
      </c>
      <c r="C137" s="190" t="s">
        <v>361</v>
      </c>
      <c r="D137" s="191" t="s">
        <v>391</v>
      </c>
      <c r="E137" s="189" t="s">
        <v>74</v>
      </c>
      <c r="F137" s="191" t="s">
        <v>394</v>
      </c>
      <c r="G137" s="189" t="s">
        <v>6</v>
      </c>
      <c r="H137" s="192" t="s">
        <v>327</v>
      </c>
      <c r="I137" s="192">
        <v>30</v>
      </c>
      <c r="J137" s="192"/>
      <c r="K137" s="189" t="s">
        <v>6</v>
      </c>
      <c r="L137" s="200" t="s">
        <v>466</v>
      </c>
      <c r="M137" s="202" t="s">
        <v>1712</v>
      </c>
    </row>
    <row r="138" spans="1:13" x14ac:dyDescent="0.2">
      <c r="A138" s="188" t="s">
        <v>277</v>
      </c>
      <c r="B138" s="189" t="s">
        <v>319</v>
      </c>
      <c r="C138" s="190" t="s">
        <v>361</v>
      </c>
      <c r="D138" s="191" t="s">
        <v>391</v>
      </c>
      <c r="E138" s="189" t="s">
        <v>74</v>
      </c>
      <c r="F138" s="191" t="s">
        <v>440</v>
      </c>
      <c r="G138" s="189" t="s">
        <v>77</v>
      </c>
      <c r="H138" s="192" t="s">
        <v>327</v>
      </c>
      <c r="I138" s="192">
        <v>30</v>
      </c>
      <c r="J138" s="192"/>
      <c r="K138" s="189" t="s">
        <v>6</v>
      </c>
      <c r="L138" s="200" t="s">
        <v>455</v>
      </c>
      <c r="M138" s="202" t="s">
        <v>1712</v>
      </c>
    </row>
    <row r="139" spans="1:13" x14ac:dyDescent="0.2">
      <c r="A139" s="188" t="s">
        <v>277</v>
      </c>
      <c r="B139" s="189" t="s">
        <v>319</v>
      </c>
      <c r="C139" s="190" t="s">
        <v>361</v>
      </c>
      <c r="D139" s="191" t="s">
        <v>391</v>
      </c>
      <c r="E139" s="189" t="s">
        <v>74</v>
      </c>
      <c r="F139" s="191" t="s">
        <v>415</v>
      </c>
      <c r="G139" s="189" t="s">
        <v>6</v>
      </c>
      <c r="H139" s="192" t="s">
        <v>327</v>
      </c>
      <c r="I139" s="192">
        <v>58</v>
      </c>
      <c r="J139" s="192"/>
      <c r="K139" s="189" t="s">
        <v>6</v>
      </c>
      <c r="L139" s="200" t="s">
        <v>466</v>
      </c>
      <c r="M139" s="202" t="s">
        <v>1712</v>
      </c>
    </row>
    <row r="140" spans="1:13" x14ac:dyDescent="0.2">
      <c r="A140" s="188" t="s">
        <v>277</v>
      </c>
      <c r="B140" s="189" t="s">
        <v>319</v>
      </c>
      <c r="C140" s="190" t="s">
        <v>361</v>
      </c>
      <c r="D140" s="191" t="s">
        <v>391</v>
      </c>
      <c r="E140" s="189" t="s">
        <v>74</v>
      </c>
      <c r="F140" s="191" t="s">
        <v>442</v>
      </c>
      <c r="G140" s="189" t="s">
        <v>6</v>
      </c>
      <c r="H140" s="192">
        <v>5960</v>
      </c>
      <c r="I140" s="192">
        <v>28</v>
      </c>
      <c r="J140" s="192"/>
      <c r="K140" s="189" t="s">
        <v>77</v>
      </c>
      <c r="L140" s="200"/>
      <c r="M140" s="202" t="s">
        <v>1952</v>
      </c>
    </row>
    <row r="141" spans="1:13" x14ac:dyDescent="0.2">
      <c r="A141" s="188" t="s">
        <v>277</v>
      </c>
      <c r="B141" s="189" t="s">
        <v>319</v>
      </c>
      <c r="C141" s="190" t="s">
        <v>362</v>
      </c>
      <c r="D141" s="191" t="s">
        <v>391</v>
      </c>
      <c r="E141" s="189" t="s">
        <v>74</v>
      </c>
      <c r="F141" s="191" t="s">
        <v>467</v>
      </c>
      <c r="G141" s="189" t="s">
        <v>6</v>
      </c>
      <c r="H141" s="192">
        <v>2360</v>
      </c>
      <c r="I141" s="192">
        <v>5</v>
      </c>
      <c r="J141" s="192"/>
      <c r="K141" s="189" t="s">
        <v>6</v>
      </c>
      <c r="L141" s="200" t="s">
        <v>468</v>
      </c>
      <c r="M141" s="202" t="s">
        <v>1951</v>
      </c>
    </row>
    <row r="142" spans="1:13" x14ac:dyDescent="0.2">
      <c r="A142" s="188" t="s">
        <v>277</v>
      </c>
      <c r="B142" s="189" t="s">
        <v>319</v>
      </c>
      <c r="C142" s="190" t="s">
        <v>362</v>
      </c>
      <c r="D142" s="191" t="s">
        <v>407</v>
      </c>
      <c r="E142" s="189" t="s">
        <v>74</v>
      </c>
      <c r="F142" s="191" t="s">
        <v>450</v>
      </c>
      <c r="G142" s="189" t="s">
        <v>77</v>
      </c>
      <c r="H142" s="192" t="s">
        <v>322</v>
      </c>
      <c r="I142" s="192">
        <v>1</v>
      </c>
      <c r="J142" s="192"/>
      <c r="K142" s="189" t="s">
        <v>6</v>
      </c>
      <c r="L142" s="200" t="s">
        <v>469</v>
      </c>
      <c r="M142" s="202" t="s">
        <v>1712</v>
      </c>
    </row>
    <row r="143" spans="1:13" x14ac:dyDescent="0.2">
      <c r="A143" s="188" t="s">
        <v>277</v>
      </c>
      <c r="B143" s="189" t="s">
        <v>319</v>
      </c>
      <c r="C143" s="190" t="s">
        <v>470</v>
      </c>
      <c r="D143" s="191" t="s">
        <v>391</v>
      </c>
      <c r="E143" s="189" t="s">
        <v>7</v>
      </c>
      <c r="F143" s="191" t="s">
        <v>400</v>
      </c>
      <c r="G143" s="189" t="s">
        <v>77</v>
      </c>
      <c r="H143" s="192" t="s">
        <v>322</v>
      </c>
      <c r="I143" s="192"/>
      <c r="J143" s="192" t="s">
        <v>322</v>
      </c>
      <c r="K143" s="189" t="s">
        <v>6</v>
      </c>
      <c r="L143" s="200"/>
      <c r="M143" s="202" t="s">
        <v>1712</v>
      </c>
    </row>
    <row r="144" spans="1:13" x14ac:dyDescent="0.2">
      <c r="A144" s="188" t="s">
        <v>277</v>
      </c>
      <c r="B144" s="189" t="s">
        <v>319</v>
      </c>
      <c r="C144" s="190" t="s">
        <v>330</v>
      </c>
      <c r="D144" s="191" t="s">
        <v>391</v>
      </c>
      <c r="E144" s="189" t="s">
        <v>74</v>
      </c>
      <c r="F144" s="191" t="s">
        <v>471</v>
      </c>
      <c r="G144" s="189" t="s">
        <v>6</v>
      </c>
      <c r="H144" s="192">
        <v>19820</v>
      </c>
      <c r="I144" s="192">
        <v>12</v>
      </c>
      <c r="J144" s="192"/>
      <c r="K144" s="189" t="s">
        <v>77</v>
      </c>
      <c r="L144" s="200"/>
      <c r="M144" s="202" t="s">
        <v>1951</v>
      </c>
    </row>
    <row r="145" spans="1:13" x14ac:dyDescent="0.2">
      <c r="A145" s="188" t="s">
        <v>277</v>
      </c>
      <c r="B145" s="189" t="s">
        <v>319</v>
      </c>
      <c r="C145" s="190" t="s">
        <v>365</v>
      </c>
      <c r="D145" s="191" t="s">
        <v>391</v>
      </c>
      <c r="E145" s="189" t="s">
        <v>74</v>
      </c>
      <c r="F145" s="191" t="s">
        <v>400</v>
      </c>
      <c r="G145" s="189" t="s">
        <v>77</v>
      </c>
      <c r="H145" s="192">
        <v>450</v>
      </c>
      <c r="I145" s="192"/>
      <c r="J145" s="192">
        <v>5</v>
      </c>
      <c r="K145" s="189" t="s">
        <v>6</v>
      </c>
      <c r="L145" s="200"/>
      <c r="M145" s="202" t="s">
        <v>1713</v>
      </c>
    </row>
    <row r="146" spans="1:13" x14ac:dyDescent="0.2">
      <c r="A146" s="188" t="s">
        <v>277</v>
      </c>
      <c r="B146" s="189" t="s">
        <v>319</v>
      </c>
      <c r="C146" s="190" t="s">
        <v>366</v>
      </c>
      <c r="D146" s="191" t="s">
        <v>391</v>
      </c>
      <c r="E146" s="189" t="s">
        <v>74</v>
      </c>
      <c r="F146" s="191" t="s">
        <v>419</v>
      </c>
      <c r="G146" s="189" t="s">
        <v>77</v>
      </c>
      <c r="H146" s="192" t="s">
        <v>322</v>
      </c>
      <c r="I146" s="192">
        <v>0.3</v>
      </c>
      <c r="J146" s="192"/>
      <c r="K146" s="189" t="s">
        <v>6</v>
      </c>
      <c r="L146" s="200" t="s">
        <v>469</v>
      </c>
      <c r="M146" s="202" t="s">
        <v>1712</v>
      </c>
    </row>
    <row r="147" spans="1:13" x14ac:dyDescent="0.2">
      <c r="A147" s="188" t="s">
        <v>277</v>
      </c>
      <c r="B147" s="189" t="s">
        <v>319</v>
      </c>
      <c r="C147" s="190" t="s">
        <v>472</v>
      </c>
      <c r="D147" s="191" t="s">
        <v>391</v>
      </c>
      <c r="E147" s="189" t="s">
        <v>7</v>
      </c>
      <c r="F147" s="191" t="s">
        <v>150</v>
      </c>
      <c r="G147" s="189" t="s">
        <v>77</v>
      </c>
      <c r="H147" s="192" t="s">
        <v>322</v>
      </c>
      <c r="I147" s="192"/>
      <c r="J147" s="192" t="s">
        <v>322</v>
      </c>
      <c r="K147" s="189" t="s">
        <v>6</v>
      </c>
      <c r="L147" s="200"/>
      <c r="M147" s="202" t="s">
        <v>1712</v>
      </c>
    </row>
    <row r="148" spans="1:13" x14ac:dyDescent="0.2">
      <c r="A148" s="188" t="s">
        <v>277</v>
      </c>
      <c r="B148" s="189" t="s">
        <v>319</v>
      </c>
      <c r="C148" s="190" t="s">
        <v>367</v>
      </c>
      <c r="D148" s="191" t="s">
        <v>391</v>
      </c>
      <c r="E148" s="189" t="s">
        <v>74</v>
      </c>
      <c r="F148" s="191" t="s">
        <v>400</v>
      </c>
      <c r="G148" s="189" t="s">
        <v>77</v>
      </c>
      <c r="H148" s="192">
        <v>570</v>
      </c>
      <c r="I148" s="192">
        <v>7</v>
      </c>
      <c r="J148" s="192"/>
      <c r="K148" s="189" t="s">
        <v>6</v>
      </c>
      <c r="L148" s="200" t="s">
        <v>473</v>
      </c>
      <c r="M148" s="202" t="s">
        <v>1713</v>
      </c>
    </row>
    <row r="149" spans="1:13" x14ac:dyDescent="0.2">
      <c r="A149" s="188" t="s">
        <v>277</v>
      </c>
      <c r="B149" s="189" t="s">
        <v>319</v>
      </c>
      <c r="C149" s="190" t="s">
        <v>369</v>
      </c>
      <c r="D149" s="191" t="s">
        <v>391</v>
      </c>
      <c r="E149" s="189" t="s">
        <v>7</v>
      </c>
      <c r="F149" s="191" t="s">
        <v>400</v>
      </c>
      <c r="G149" s="189" t="s">
        <v>77</v>
      </c>
      <c r="H149" s="192" t="s">
        <v>327</v>
      </c>
      <c r="I149" s="192"/>
      <c r="J149" s="192" t="s">
        <v>322</v>
      </c>
      <c r="K149" s="189" t="s">
        <v>6</v>
      </c>
      <c r="L149" s="200"/>
      <c r="M149" s="202" t="s">
        <v>1712</v>
      </c>
    </row>
    <row r="150" spans="1:13" x14ac:dyDescent="0.2">
      <c r="A150" s="188" t="s">
        <v>277</v>
      </c>
      <c r="B150" s="189" t="s">
        <v>319</v>
      </c>
      <c r="C150" s="190" t="s">
        <v>474</v>
      </c>
      <c r="D150" s="191" t="s">
        <v>391</v>
      </c>
      <c r="E150" s="189" t="s">
        <v>7</v>
      </c>
      <c r="F150" s="191" t="s">
        <v>475</v>
      </c>
      <c r="G150" s="189" t="s">
        <v>77</v>
      </c>
      <c r="H150" s="192" t="s">
        <v>322</v>
      </c>
      <c r="I150" s="192"/>
      <c r="J150" s="192" t="s">
        <v>322</v>
      </c>
      <c r="K150" s="189" t="s">
        <v>6</v>
      </c>
      <c r="L150" s="200"/>
      <c r="M150" s="202" t="s">
        <v>1712</v>
      </c>
    </row>
    <row r="151" spans="1:13" x14ac:dyDescent="0.2">
      <c r="A151" s="188" t="s">
        <v>277</v>
      </c>
      <c r="B151" s="189" t="s">
        <v>319</v>
      </c>
      <c r="C151" s="190" t="s">
        <v>476</v>
      </c>
      <c r="D151" s="191" t="s">
        <v>391</v>
      </c>
      <c r="E151" s="189" t="s">
        <v>7</v>
      </c>
      <c r="F151" s="191" t="s">
        <v>475</v>
      </c>
      <c r="G151" s="189" t="s">
        <v>77</v>
      </c>
      <c r="H151" s="192" t="s">
        <v>322</v>
      </c>
      <c r="I151" s="192"/>
      <c r="J151" s="192" t="s">
        <v>322</v>
      </c>
      <c r="K151" s="189" t="s">
        <v>6</v>
      </c>
      <c r="L151" s="200"/>
      <c r="M151" s="202" t="s">
        <v>1712</v>
      </c>
    </row>
    <row r="152" spans="1:13" x14ac:dyDescent="0.2">
      <c r="A152" s="188" t="s">
        <v>277</v>
      </c>
      <c r="B152" s="189" t="s">
        <v>319</v>
      </c>
      <c r="C152" s="190" t="s">
        <v>477</v>
      </c>
      <c r="D152" s="191" t="s">
        <v>391</v>
      </c>
      <c r="E152" s="189" t="s">
        <v>7</v>
      </c>
      <c r="F152" s="191" t="s">
        <v>475</v>
      </c>
      <c r="G152" s="189" t="s">
        <v>77</v>
      </c>
      <c r="H152" s="192" t="s">
        <v>322</v>
      </c>
      <c r="I152" s="192"/>
      <c r="J152" s="192" t="s">
        <v>322</v>
      </c>
      <c r="K152" s="189" t="s">
        <v>6</v>
      </c>
      <c r="L152" s="200"/>
      <c r="M152" s="202" t="s">
        <v>1712</v>
      </c>
    </row>
    <row r="153" spans="1:13" x14ac:dyDescent="0.2">
      <c r="A153" s="188" t="s">
        <v>277</v>
      </c>
      <c r="B153" s="189" t="s">
        <v>319</v>
      </c>
      <c r="C153" s="190" t="s">
        <v>370</v>
      </c>
      <c r="D153" s="191" t="s">
        <v>391</v>
      </c>
      <c r="E153" s="189" t="s">
        <v>74</v>
      </c>
      <c r="F153" s="191" t="s">
        <v>478</v>
      </c>
      <c r="G153" s="189" t="s">
        <v>77</v>
      </c>
      <c r="H153" s="192" t="s">
        <v>327</v>
      </c>
      <c r="I153" s="192">
        <v>1</v>
      </c>
      <c r="J153" s="192"/>
      <c r="K153" s="189" t="s">
        <v>6</v>
      </c>
      <c r="L153" s="200" t="s">
        <v>479</v>
      </c>
      <c r="M153" s="202" t="s">
        <v>1712</v>
      </c>
    </row>
    <row r="154" spans="1:13" x14ac:dyDescent="0.2">
      <c r="A154" s="188" t="s">
        <v>277</v>
      </c>
      <c r="B154" s="189" t="s">
        <v>319</v>
      </c>
      <c r="C154" s="190" t="s">
        <v>370</v>
      </c>
      <c r="D154" s="191" t="s">
        <v>391</v>
      </c>
      <c r="E154" s="189" t="s">
        <v>74</v>
      </c>
      <c r="F154" s="191" t="s">
        <v>480</v>
      </c>
      <c r="G154" s="189" t="s">
        <v>6</v>
      </c>
      <c r="H154" s="192">
        <v>8510</v>
      </c>
      <c r="I154" s="192">
        <v>37</v>
      </c>
      <c r="J154" s="192"/>
      <c r="K154" s="189" t="s">
        <v>77</v>
      </c>
      <c r="L154" s="200"/>
      <c r="M154" s="202" t="s">
        <v>1952</v>
      </c>
    </row>
    <row r="155" spans="1:13" x14ac:dyDescent="0.2">
      <c r="A155" s="188" t="s">
        <v>277</v>
      </c>
      <c r="B155" s="189" t="s">
        <v>319</v>
      </c>
      <c r="C155" s="190" t="s">
        <v>370</v>
      </c>
      <c r="D155" s="191" t="s">
        <v>407</v>
      </c>
      <c r="E155" s="189" t="s">
        <v>74</v>
      </c>
      <c r="F155" s="191" t="s">
        <v>481</v>
      </c>
      <c r="G155" s="189" t="s">
        <v>77</v>
      </c>
      <c r="H155" s="192" t="s">
        <v>327</v>
      </c>
      <c r="I155" s="192" t="s">
        <v>322</v>
      </c>
      <c r="J155" s="192"/>
      <c r="K155" s="189" t="s">
        <v>6</v>
      </c>
      <c r="L155" s="200"/>
      <c r="M155" s="202" t="s">
        <v>1712</v>
      </c>
    </row>
    <row r="156" spans="1:13" x14ac:dyDescent="0.2">
      <c r="A156" s="188" t="s">
        <v>277</v>
      </c>
      <c r="B156" s="189" t="s">
        <v>319</v>
      </c>
      <c r="C156" s="190" t="s">
        <v>482</v>
      </c>
      <c r="D156" s="191" t="s">
        <v>391</v>
      </c>
      <c r="E156" s="189" t="s">
        <v>74</v>
      </c>
      <c r="F156" s="191" t="s">
        <v>457</v>
      </c>
      <c r="G156" s="189" t="s">
        <v>77</v>
      </c>
      <c r="H156" s="192" t="s">
        <v>327</v>
      </c>
      <c r="I156" s="192"/>
      <c r="J156" s="192">
        <v>1</v>
      </c>
      <c r="K156" s="189" t="s">
        <v>6</v>
      </c>
      <c r="L156" s="200"/>
      <c r="M156" s="202" t="s">
        <v>1712</v>
      </c>
    </row>
    <row r="157" spans="1:13" x14ac:dyDescent="0.2">
      <c r="A157" s="188" t="s">
        <v>277</v>
      </c>
      <c r="B157" s="189" t="s">
        <v>319</v>
      </c>
      <c r="C157" s="190" t="s">
        <v>482</v>
      </c>
      <c r="D157" s="191" t="s">
        <v>407</v>
      </c>
      <c r="E157" s="189" t="s">
        <v>74</v>
      </c>
      <c r="F157" s="191" t="s">
        <v>450</v>
      </c>
      <c r="G157" s="189" t="s">
        <v>77</v>
      </c>
      <c r="H157" s="192" t="s">
        <v>322</v>
      </c>
      <c r="I157" s="192"/>
      <c r="J157" s="192" t="s">
        <v>322</v>
      </c>
      <c r="K157" s="189" t="s">
        <v>6</v>
      </c>
      <c r="L157" s="200"/>
      <c r="M157" s="202" t="s">
        <v>1712</v>
      </c>
    </row>
    <row r="158" spans="1:13" x14ac:dyDescent="0.2">
      <c r="A158" s="188" t="s">
        <v>277</v>
      </c>
      <c r="B158" s="189" t="s">
        <v>319</v>
      </c>
      <c r="C158" s="190" t="s">
        <v>483</v>
      </c>
      <c r="D158" s="191" t="s">
        <v>407</v>
      </c>
      <c r="E158" s="189" t="s">
        <v>74</v>
      </c>
      <c r="F158" s="191" t="s">
        <v>484</v>
      </c>
      <c r="G158" s="189" t="s">
        <v>77</v>
      </c>
      <c r="H158" s="192" t="s">
        <v>322</v>
      </c>
      <c r="I158" s="192" t="s">
        <v>322</v>
      </c>
      <c r="J158" s="192"/>
      <c r="K158" s="189" t="s">
        <v>6</v>
      </c>
      <c r="L158" s="200"/>
      <c r="M158" s="202" t="s">
        <v>1712</v>
      </c>
    </row>
    <row r="159" spans="1:13" x14ac:dyDescent="0.2">
      <c r="A159" s="188" t="s">
        <v>277</v>
      </c>
      <c r="B159" s="189" t="s">
        <v>319</v>
      </c>
      <c r="C159" s="190" t="s">
        <v>485</v>
      </c>
      <c r="D159" s="191" t="s">
        <v>391</v>
      </c>
      <c r="E159" s="189" t="s">
        <v>74</v>
      </c>
      <c r="F159" s="191" t="s">
        <v>400</v>
      </c>
      <c r="G159" s="189" t="s">
        <v>77</v>
      </c>
      <c r="H159" s="192" t="s">
        <v>327</v>
      </c>
      <c r="I159" s="192"/>
      <c r="J159" s="192" t="s">
        <v>322</v>
      </c>
      <c r="K159" s="189" t="s">
        <v>6</v>
      </c>
      <c r="L159" s="200"/>
      <c r="M159" s="202" t="s">
        <v>1949</v>
      </c>
    </row>
    <row r="160" spans="1:13" x14ac:dyDescent="0.2">
      <c r="A160" s="188" t="s">
        <v>277</v>
      </c>
      <c r="B160" s="189" t="s">
        <v>319</v>
      </c>
      <c r="C160" s="190" t="s">
        <v>486</v>
      </c>
      <c r="D160" s="191" t="s">
        <v>407</v>
      </c>
      <c r="E160" s="189" t="s">
        <v>7</v>
      </c>
      <c r="F160" s="191" t="s">
        <v>449</v>
      </c>
      <c r="G160" s="189" t="s">
        <v>77</v>
      </c>
      <c r="H160" s="192" t="s">
        <v>322</v>
      </c>
      <c r="I160" s="192"/>
      <c r="J160" s="192" t="s">
        <v>322</v>
      </c>
      <c r="K160" s="189" t="s">
        <v>6</v>
      </c>
      <c r="L160" s="200"/>
      <c r="M160" s="202" t="s">
        <v>1712</v>
      </c>
    </row>
    <row r="161" spans="1:13" x14ac:dyDescent="0.2">
      <c r="A161" s="188" t="s">
        <v>277</v>
      </c>
      <c r="B161" s="189" t="s">
        <v>319</v>
      </c>
      <c r="C161" s="190" t="s">
        <v>375</v>
      </c>
      <c r="D161" s="191" t="s">
        <v>391</v>
      </c>
      <c r="E161" s="189" t="s">
        <v>74</v>
      </c>
      <c r="F161" s="191" t="s">
        <v>400</v>
      </c>
      <c r="G161" s="189" t="s">
        <v>77</v>
      </c>
      <c r="H161" s="192" t="s">
        <v>327</v>
      </c>
      <c r="I161" s="192">
        <v>11</v>
      </c>
      <c r="J161" s="192"/>
      <c r="K161" s="189" t="s">
        <v>6</v>
      </c>
      <c r="L161" s="200" t="s">
        <v>455</v>
      </c>
      <c r="M161" s="202" t="s">
        <v>1712</v>
      </c>
    </row>
    <row r="162" spans="1:13" x14ac:dyDescent="0.2">
      <c r="A162" s="188" t="s">
        <v>277</v>
      </c>
      <c r="B162" s="189" t="s">
        <v>319</v>
      </c>
      <c r="C162" s="190" t="s">
        <v>376</v>
      </c>
      <c r="D162" s="191" t="s">
        <v>391</v>
      </c>
      <c r="E162" s="189" t="s">
        <v>7</v>
      </c>
      <c r="F162" s="191" t="s">
        <v>400</v>
      </c>
      <c r="G162" s="189" t="s">
        <v>77</v>
      </c>
      <c r="H162" s="192" t="s">
        <v>327</v>
      </c>
      <c r="I162" s="192"/>
      <c r="J162" s="192">
        <v>1</v>
      </c>
      <c r="K162" s="189" t="s">
        <v>6</v>
      </c>
      <c r="L162" s="200"/>
      <c r="M162" s="202" t="s">
        <v>1712</v>
      </c>
    </row>
    <row r="163" spans="1:13" x14ac:dyDescent="0.2">
      <c r="A163" s="188" t="s">
        <v>277</v>
      </c>
      <c r="B163" s="189" t="s">
        <v>319</v>
      </c>
      <c r="C163" s="190" t="s">
        <v>378</v>
      </c>
      <c r="D163" s="191" t="s">
        <v>391</v>
      </c>
      <c r="E163" s="189" t="s">
        <v>74</v>
      </c>
      <c r="F163" s="191" t="s">
        <v>415</v>
      </c>
      <c r="G163" s="189" t="s">
        <v>6</v>
      </c>
      <c r="H163" s="192" t="s">
        <v>327</v>
      </c>
      <c r="I163" s="192">
        <v>70</v>
      </c>
      <c r="J163" s="192"/>
      <c r="K163" s="189" t="s">
        <v>77</v>
      </c>
      <c r="L163" s="200" t="s">
        <v>466</v>
      </c>
      <c r="M163" s="202" t="s">
        <v>1950</v>
      </c>
    </row>
    <row r="164" spans="1:13" x14ac:dyDescent="0.2">
      <c r="A164" s="188" t="s">
        <v>277</v>
      </c>
      <c r="B164" s="189" t="s">
        <v>319</v>
      </c>
      <c r="C164" s="190" t="s">
        <v>378</v>
      </c>
      <c r="D164" s="191" t="s">
        <v>391</v>
      </c>
      <c r="E164" s="189" t="s">
        <v>74</v>
      </c>
      <c r="F164" s="191" t="s">
        <v>453</v>
      </c>
      <c r="G164" s="189" t="s">
        <v>77</v>
      </c>
      <c r="H164" s="192" t="s">
        <v>322</v>
      </c>
      <c r="I164" s="192" t="s">
        <v>322</v>
      </c>
      <c r="J164" s="192"/>
      <c r="K164" s="189" t="s">
        <v>6</v>
      </c>
      <c r="L164" s="200"/>
      <c r="M164" s="202" t="s">
        <v>1948</v>
      </c>
    </row>
    <row r="165" spans="1:13" x14ac:dyDescent="0.2">
      <c r="A165" s="188" t="s">
        <v>277</v>
      </c>
      <c r="B165" s="189" t="s">
        <v>319</v>
      </c>
      <c r="C165" s="190" t="s">
        <v>378</v>
      </c>
      <c r="D165" s="191" t="s">
        <v>391</v>
      </c>
      <c r="E165" s="189" t="s">
        <v>74</v>
      </c>
      <c r="F165" s="191" t="s">
        <v>487</v>
      </c>
      <c r="G165" s="189" t="s">
        <v>6</v>
      </c>
      <c r="H165" s="192" t="s">
        <v>327</v>
      </c>
      <c r="I165" s="192">
        <v>44</v>
      </c>
      <c r="J165" s="192"/>
      <c r="K165" s="189" t="s">
        <v>77</v>
      </c>
      <c r="L165" s="200" t="s">
        <v>466</v>
      </c>
      <c r="M165" s="202" t="s">
        <v>1712</v>
      </c>
    </row>
    <row r="166" spans="1:13" x14ac:dyDescent="0.2">
      <c r="A166" s="188" t="s">
        <v>277</v>
      </c>
      <c r="B166" s="189" t="s">
        <v>319</v>
      </c>
      <c r="C166" s="190" t="s">
        <v>378</v>
      </c>
      <c r="D166" s="191" t="s">
        <v>391</v>
      </c>
      <c r="E166" s="189" t="s">
        <v>74</v>
      </c>
      <c r="F166" s="191" t="s">
        <v>488</v>
      </c>
      <c r="G166" s="189" t="s">
        <v>6</v>
      </c>
      <c r="H166" s="192" t="s">
        <v>327</v>
      </c>
      <c r="I166" s="192">
        <v>85</v>
      </c>
      <c r="J166" s="192"/>
      <c r="K166" s="189" t="s">
        <v>77</v>
      </c>
      <c r="L166" s="200" t="s">
        <v>751</v>
      </c>
      <c r="M166" s="202" t="s">
        <v>1712</v>
      </c>
    </row>
    <row r="167" spans="1:13" x14ac:dyDescent="0.2">
      <c r="A167" s="188" t="s">
        <v>277</v>
      </c>
      <c r="B167" s="189" t="s">
        <v>319</v>
      </c>
      <c r="C167" s="190" t="s">
        <v>378</v>
      </c>
      <c r="D167" s="191" t="s">
        <v>391</v>
      </c>
      <c r="E167" s="189" t="s">
        <v>74</v>
      </c>
      <c r="F167" s="191" t="s">
        <v>489</v>
      </c>
      <c r="G167" s="189" t="s">
        <v>6</v>
      </c>
      <c r="H167" s="192" t="s">
        <v>327</v>
      </c>
      <c r="I167" s="192">
        <v>44</v>
      </c>
      <c r="J167" s="192"/>
      <c r="K167" s="189" t="s">
        <v>77</v>
      </c>
      <c r="L167" s="200" t="s">
        <v>466</v>
      </c>
      <c r="M167" s="202" t="s">
        <v>1712</v>
      </c>
    </row>
    <row r="168" spans="1:13" x14ac:dyDescent="0.2">
      <c r="A168" s="188" t="s">
        <v>277</v>
      </c>
      <c r="B168" s="189" t="s">
        <v>319</v>
      </c>
      <c r="C168" s="190" t="s">
        <v>378</v>
      </c>
      <c r="D168" s="191" t="s">
        <v>407</v>
      </c>
      <c r="E168" s="189" t="s">
        <v>74</v>
      </c>
      <c r="F168" s="191" t="s">
        <v>490</v>
      </c>
      <c r="G168" s="189" t="s">
        <v>77</v>
      </c>
      <c r="H168" s="192" t="s">
        <v>322</v>
      </c>
      <c r="I168" s="192" t="s">
        <v>322</v>
      </c>
      <c r="J168" s="192"/>
      <c r="K168" s="189" t="s">
        <v>6</v>
      </c>
      <c r="L168" s="200"/>
      <c r="M168" s="202" t="s">
        <v>1712</v>
      </c>
    </row>
    <row r="169" spans="1:13" x14ac:dyDescent="0.2">
      <c r="A169" s="188" t="s">
        <v>277</v>
      </c>
      <c r="B169" s="189" t="s">
        <v>319</v>
      </c>
      <c r="C169" s="190" t="s">
        <v>491</v>
      </c>
      <c r="D169" s="191" t="s">
        <v>391</v>
      </c>
      <c r="E169" s="189" t="s">
        <v>74</v>
      </c>
      <c r="F169" s="191" t="s">
        <v>492</v>
      </c>
      <c r="G169" s="189" t="s">
        <v>6</v>
      </c>
      <c r="H169" s="192">
        <v>1160</v>
      </c>
      <c r="I169" s="192" t="s">
        <v>493</v>
      </c>
      <c r="J169" s="192"/>
      <c r="K169" s="189" t="s">
        <v>77</v>
      </c>
      <c r="L169" s="200" t="s">
        <v>494</v>
      </c>
      <c r="M169" s="202" t="s">
        <v>1952</v>
      </c>
    </row>
    <row r="170" spans="1:13" x14ac:dyDescent="0.2">
      <c r="A170" s="188" t="s">
        <v>277</v>
      </c>
      <c r="B170" s="189" t="s">
        <v>319</v>
      </c>
      <c r="C170" s="190" t="s">
        <v>491</v>
      </c>
      <c r="D170" s="191" t="s">
        <v>407</v>
      </c>
      <c r="E170" s="189" t="s">
        <v>74</v>
      </c>
      <c r="F170" s="191" t="s">
        <v>465</v>
      </c>
      <c r="G170" s="189" t="s">
        <v>77</v>
      </c>
      <c r="H170" s="192" t="s">
        <v>322</v>
      </c>
      <c r="I170" s="192" t="s">
        <v>322</v>
      </c>
      <c r="J170" s="192"/>
      <c r="K170" s="189" t="s">
        <v>6</v>
      </c>
      <c r="L170" s="200"/>
      <c r="M170" s="202" t="s">
        <v>1712</v>
      </c>
    </row>
    <row r="171" spans="1:13" x14ac:dyDescent="0.2">
      <c r="A171" s="188" t="s">
        <v>277</v>
      </c>
      <c r="B171" s="189" t="s">
        <v>319</v>
      </c>
      <c r="C171" s="190" t="s">
        <v>335</v>
      </c>
      <c r="D171" s="191" t="s">
        <v>391</v>
      </c>
      <c r="E171" s="189" t="s">
        <v>74</v>
      </c>
      <c r="F171" s="191" t="s">
        <v>437</v>
      </c>
      <c r="G171" s="189" t="s">
        <v>77</v>
      </c>
      <c r="H171" s="192" t="s">
        <v>322</v>
      </c>
      <c r="I171" s="192">
        <v>6</v>
      </c>
      <c r="J171" s="192"/>
      <c r="K171" s="189" t="s">
        <v>6</v>
      </c>
      <c r="L171" s="200" t="s">
        <v>469</v>
      </c>
      <c r="M171" s="202" t="s">
        <v>1712</v>
      </c>
    </row>
    <row r="172" spans="1:13" x14ac:dyDescent="0.2">
      <c r="A172" s="188" t="s">
        <v>277</v>
      </c>
      <c r="B172" s="189" t="s">
        <v>319</v>
      </c>
      <c r="C172" s="190" t="s">
        <v>335</v>
      </c>
      <c r="D172" s="191" t="s">
        <v>391</v>
      </c>
      <c r="E172" s="189" t="s">
        <v>74</v>
      </c>
      <c r="F172" s="191" t="s">
        <v>438</v>
      </c>
      <c r="G172" s="189" t="s">
        <v>77</v>
      </c>
      <c r="H172" s="192" t="s">
        <v>322</v>
      </c>
      <c r="I172" s="192">
        <v>6</v>
      </c>
      <c r="J172" s="192"/>
      <c r="K172" s="189" t="s">
        <v>6</v>
      </c>
      <c r="L172" s="200" t="s">
        <v>469</v>
      </c>
      <c r="M172" s="202" t="s">
        <v>1712</v>
      </c>
    </row>
    <row r="173" spans="1:13" x14ac:dyDescent="0.2">
      <c r="A173" s="188" t="s">
        <v>277</v>
      </c>
      <c r="B173" s="189" t="s">
        <v>319</v>
      </c>
      <c r="C173" s="190" t="s">
        <v>335</v>
      </c>
      <c r="D173" s="191" t="s">
        <v>391</v>
      </c>
      <c r="E173" s="189" t="s">
        <v>74</v>
      </c>
      <c r="F173" s="191" t="s">
        <v>495</v>
      </c>
      <c r="G173" s="189" t="s">
        <v>77</v>
      </c>
      <c r="H173" s="192" t="s">
        <v>327</v>
      </c>
      <c r="I173" s="192">
        <v>6</v>
      </c>
      <c r="J173" s="192"/>
      <c r="K173" s="189" t="s">
        <v>6</v>
      </c>
      <c r="L173" s="200" t="s">
        <v>479</v>
      </c>
      <c r="M173" s="202" t="s">
        <v>1712</v>
      </c>
    </row>
    <row r="174" spans="1:13" x14ac:dyDescent="0.2">
      <c r="A174" s="188" t="s">
        <v>277</v>
      </c>
      <c r="B174" s="189" t="s">
        <v>319</v>
      </c>
      <c r="C174" s="190" t="s">
        <v>335</v>
      </c>
      <c r="D174" s="191" t="s">
        <v>391</v>
      </c>
      <c r="E174" s="189" t="s">
        <v>74</v>
      </c>
      <c r="F174" s="191" t="s">
        <v>424</v>
      </c>
      <c r="G174" s="189" t="s">
        <v>6</v>
      </c>
      <c r="H174" s="192">
        <v>1020</v>
      </c>
      <c r="I174" s="192">
        <v>47</v>
      </c>
      <c r="J174" s="192"/>
      <c r="K174" s="189" t="s">
        <v>77</v>
      </c>
      <c r="L174" s="200"/>
      <c r="M174" s="202" t="s">
        <v>1952</v>
      </c>
    </row>
    <row r="175" spans="1:13" x14ac:dyDescent="0.2">
      <c r="A175" s="188" t="s">
        <v>277</v>
      </c>
      <c r="B175" s="189" t="s">
        <v>319</v>
      </c>
      <c r="C175" s="190" t="s">
        <v>496</v>
      </c>
      <c r="D175" s="191" t="s">
        <v>407</v>
      </c>
      <c r="E175" s="189" t="s">
        <v>392</v>
      </c>
      <c r="F175" s="191" t="s">
        <v>150</v>
      </c>
      <c r="G175" s="189" t="s">
        <v>77</v>
      </c>
      <c r="H175" s="192" t="s">
        <v>322</v>
      </c>
      <c r="I175" s="192" t="s">
        <v>322</v>
      </c>
      <c r="J175" s="192"/>
      <c r="K175" s="189" t="s">
        <v>6</v>
      </c>
      <c r="L175" s="200"/>
      <c r="M175" s="202" t="s">
        <v>1712</v>
      </c>
    </row>
    <row r="176" spans="1:13" x14ac:dyDescent="0.2">
      <c r="A176" s="188" t="s">
        <v>277</v>
      </c>
      <c r="B176" s="189" t="s">
        <v>319</v>
      </c>
      <c r="C176" s="190" t="s">
        <v>379</v>
      </c>
      <c r="D176" s="191" t="s">
        <v>391</v>
      </c>
      <c r="E176" s="189" t="s">
        <v>74</v>
      </c>
      <c r="F176" s="191" t="s">
        <v>400</v>
      </c>
      <c r="G176" s="189" t="s">
        <v>77</v>
      </c>
      <c r="H176" s="192" t="s">
        <v>327</v>
      </c>
      <c r="I176" s="192"/>
      <c r="J176" s="192">
        <v>3</v>
      </c>
      <c r="K176" s="189" t="s">
        <v>6</v>
      </c>
      <c r="L176" s="200"/>
      <c r="M176" s="202" t="s">
        <v>1953</v>
      </c>
    </row>
    <row r="177" spans="1:13" x14ac:dyDescent="0.2">
      <c r="A177" s="188" t="s">
        <v>277</v>
      </c>
      <c r="B177" s="189" t="s">
        <v>319</v>
      </c>
      <c r="C177" s="190" t="s">
        <v>336</v>
      </c>
      <c r="D177" s="191" t="s">
        <v>391</v>
      </c>
      <c r="E177" s="189" t="s">
        <v>74</v>
      </c>
      <c r="F177" s="191" t="s">
        <v>497</v>
      </c>
      <c r="G177" s="189" t="s">
        <v>77</v>
      </c>
      <c r="H177" s="192" t="s">
        <v>322</v>
      </c>
      <c r="I177" s="192" t="s">
        <v>322</v>
      </c>
      <c r="J177" s="192"/>
      <c r="K177" s="189" t="s">
        <v>6</v>
      </c>
      <c r="L177" s="200"/>
      <c r="M177" s="202" t="s">
        <v>1712</v>
      </c>
    </row>
    <row r="178" spans="1:13" x14ac:dyDescent="0.2">
      <c r="A178" s="188" t="s">
        <v>277</v>
      </c>
      <c r="B178" s="189" t="s">
        <v>319</v>
      </c>
      <c r="C178" s="190" t="s">
        <v>336</v>
      </c>
      <c r="D178" s="191" t="s">
        <v>391</v>
      </c>
      <c r="E178" s="189" t="s">
        <v>74</v>
      </c>
      <c r="F178" s="191" t="s">
        <v>451</v>
      </c>
      <c r="G178" s="189" t="s">
        <v>77</v>
      </c>
      <c r="H178" s="192" t="s">
        <v>322</v>
      </c>
      <c r="I178" s="192">
        <v>1</v>
      </c>
      <c r="J178" s="192"/>
      <c r="K178" s="189" t="s">
        <v>6</v>
      </c>
      <c r="L178" s="200" t="s">
        <v>469</v>
      </c>
      <c r="M178" s="202" t="s">
        <v>1712</v>
      </c>
    </row>
    <row r="179" spans="1:13" x14ac:dyDescent="0.2">
      <c r="A179" s="188" t="s">
        <v>277</v>
      </c>
      <c r="B179" s="189" t="s">
        <v>319</v>
      </c>
      <c r="C179" s="190" t="s">
        <v>498</v>
      </c>
      <c r="D179" s="191" t="s">
        <v>391</v>
      </c>
      <c r="E179" s="189" t="s">
        <v>74</v>
      </c>
      <c r="F179" s="191" t="s">
        <v>497</v>
      </c>
      <c r="G179" s="189" t="s">
        <v>77</v>
      </c>
      <c r="H179" s="192" t="s">
        <v>322</v>
      </c>
      <c r="I179" s="192" t="s">
        <v>322</v>
      </c>
      <c r="J179" s="192"/>
      <c r="K179" s="189" t="s">
        <v>6</v>
      </c>
      <c r="L179" s="200"/>
      <c r="M179" s="202" t="s">
        <v>1712</v>
      </c>
    </row>
    <row r="180" spans="1:13" x14ac:dyDescent="0.2">
      <c r="A180" s="188" t="s">
        <v>277</v>
      </c>
      <c r="B180" s="189" t="s">
        <v>319</v>
      </c>
      <c r="C180" s="190" t="s">
        <v>153</v>
      </c>
      <c r="D180" s="191" t="s">
        <v>391</v>
      </c>
      <c r="E180" s="189" t="s">
        <v>74</v>
      </c>
      <c r="F180" s="191" t="s">
        <v>400</v>
      </c>
      <c r="G180" s="189" t="s">
        <v>77</v>
      </c>
      <c r="H180" s="192" t="s">
        <v>322</v>
      </c>
      <c r="I180" s="192"/>
      <c r="J180" s="192" t="s">
        <v>322</v>
      </c>
      <c r="K180" s="189" t="s">
        <v>6</v>
      </c>
      <c r="L180" s="200"/>
      <c r="M180" s="202" t="s">
        <v>1712</v>
      </c>
    </row>
    <row r="181" spans="1:13" x14ac:dyDescent="0.2">
      <c r="A181" s="188" t="s">
        <v>277</v>
      </c>
      <c r="B181" s="189" t="s">
        <v>319</v>
      </c>
      <c r="C181" s="190" t="s">
        <v>499</v>
      </c>
      <c r="D181" s="191" t="s">
        <v>407</v>
      </c>
      <c r="E181" s="189" t="s">
        <v>74</v>
      </c>
      <c r="F181" s="191" t="s">
        <v>500</v>
      </c>
      <c r="G181" s="189" t="s">
        <v>77</v>
      </c>
      <c r="H181" s="192" t="s">
        <v>322</v>
      </c>
      <c r="I181" s="192"/>
      <c r="J181" s="192" t="s">
        <v>322</v>
      </c>
      <c r="K181" s="189" t="s">
        <v>6</v>
      </c>
      <c r="L181" s="200"/>
      <c r="M181" s="202" t="s">
        <v>1712</v>
      </c>
    </row>
    <row r="182" spans="1:13" x14ac:dyDescent="0.2">
      <c r="A182" s="188" t="s">
        <v>277</v>
      </c>
      <c r="B182" s="189" t="s">
        <v>319</v>
      </c>
      <c r="C182" s="190" t="s">
        <v>499</v>
      </c>
      <c r="D182" s="191" t="s">
        <v>407</v>
      </c>
      <c r="E182" s="189" t="s">
        <v>74</v>
      </c>
      <c r="F182" s="191" t="s">
        <v>450</v>
      </c>
      <c r="G182" s="189" t="s">
        <v>77</v>
      </c>
      <c r="H182" s="192" t="s">
        <v>322</v>
      </c>
      <c r="I182" s="192"/>
      <c r="J182" s="192" t="s">
        <v>322</v>
      </c>
      <c r="K182" s="189" t="s">
        <v>6</v>
      </c>
      <c r="L182" s="200"/>
      <c r="M182" s="202" t="s">
        <v>1712</v>
      </c>
    </row>
    <row r="183" spans="1:13" x14ac:dyDescent="0.2">
      <c r="A183" s="188" t="s">
        <v>277</v>
      </c>
      <c r="B183" s="189" t="s">
        <v>319</v>
      </c>
      <c r="C183" s="190" t="s">
        <v>501</v>
      </c>
      <c r="D183" s="191" t="s">
        <v>407</v>
      </c>
      <c r="E183" s="189" t="s">
        <v>7</v>
      </c>
      <c r="F183" s="191" t="s">
        <v>490</v>
      </c>
      <c r="G183" s="189" t="s">
        <v>77</v>
      </c>
      <c r="H183" s="192" t="s">
        <v>322</v>
      </c>
      <c r="I183" s="192"/>
      <c r="J183" s="192" t="s">
        <v>322</v>
      </c>
      <c r="K183" s="189" t="s">
        <v>6</v>
      </c>
      <c r="L183" s="200"/>
      <c r="M183" s="202" t="s">
        <v>1712</v>
      </c>
    </row>
    <row r="184" spans="1:13" x14ac:dyDescent="0.2">
      <c r="A184" s="188" t="s">
        <v>277</v>
      </c>
      <c r="B184" s="189" t="s">
        <v>319</v>
      </c>
      <c r="C184" s="190" t="s">
        <v>337</v>
      </c>
      <c r="D184" s="191" t="s">
        <v>391</v>
      </c>
      <c r="E184" s="189" t="s">
        <v>74</v>
      </c>
      <c r="F184" s="191" t="s">
        <v>502</v>
      </c>
      <c r="G184" s="189" t="s">
        <v>6</v>
      </c>
      <c r="H184" s="192">
        <v>82360</v>
      </c>
      <c r="I184" s="192">
        <v>21</v>
      </c>
      <c r="J184" s="192"/>
      <c r="K184" s="189" t="s">
        <v>77</v>
      </c>
      <c r="L184" s="200"/>
      <c r="M184" s="202" t="s">
        <v>1952</v>
      </c>
    </row>
    <row r="185" spans="1:13" x14ac:dyDescent="0.2">
      <c r="A185" s="188" t="s">
        <v>277</v>
      </c>
      <c r="B185" s="189" t="s">
        <v>319</v>
      </c>
      <c r="C185" s="190" t="s">
        <v>380</v>
      </c>
      <c r="D185" s="191" t="s">
        <v>391</v>
      </c>
      <c r="E185" s="189" t="s">
        <v>74</v>
      </c>
      <c r="F185" s="191" t="s">
        <v>400</v>
      </c>
      <c r="G185" s="189" t="s">
        <v>77</v>
      </c>
      <c r="H185" s="192" t="s">
        <v>327</v>
      </c>
      <c r="I185" s="192"/>
      <c r="J185" s="192">
        <v>3</v>
      </c>
      <c r="K185" s="189" t="s">
        <v>6</v>
      </c>
      <c r="L185" s="200"/>
      <c r="M185" s="202" t="s">
        <v>1949</v>
      </c>
    </row>
    <row r="186" spans="1:13" x14ac:dyDescent="0.2">
      <c r="A186" s="188" t="s">
        <v>277</v>
      </c>
      <c r="B186" s="189" t="s">
        <v>319</v>
      </c>
      <c r="C186" s="190" t="s">
        <v>503</v>
      </c>
      <c r="D186" s="191" t="s">
        <v>391</v>
      </c>
      <c r="E186" s="189" t="s">
        <v>74</v>
      </c>
      <c r="F186" s="191" t="s">
        <v>504</v>
      </c>
      <c r="G186" s="189" t="s">
        <v>77</v>
      </c>
      <c r="H186" s="192" t="s">
        <v>322</v>
      </c>
      <c r="I186" s="192" t="s">
        <v>322</v>
      </c>
      <c r="J186" s="192"/>
      <c r="K186" s="189" t="s">
        <v>6</v>
      </c>
      <c r="L186" s="200"/>
      <c r="M186" s="202" t="s">
        <v>1712</v>
      </c>
    </row>
    <row r="187" spans="1:13" x14ac:dyDescent="0.2">
      <c r="A187" s="188" t="s">
        <v>277</v>
      </c>
      <c r="B187" s="189" t="s">
        <v>319</v>
      </c>
      <c r="C187" s="190" t="s">
        <v>505</v>
      </c>
      <c r="D187" s="191" t="s">
        <v>391</v>
      </c>
      <c r="E187" s="189" t="s">
        <v>74</v>
      </c>
      <c r="F187" s="191" t="s">
        <v>506</v>
      </c>
      <c r="G187" s="189" t="s">
        <v>77</v>
      </c>
      <c r="H187" s="192" t="s">
        <v>322</v>
      </c>
      <c r="I187" s="192" t="s">
        <v>322</v>
      </c>
      <c r="J187" s="192"/>
      <c r="K187" s="189" t="s">
        <v>6</v>
      </c>
      <c r="L187" s="200"/>
      <c r="M187" s="202" t="s">
        <v>1712</v>
      </c>
    </row>
    <row r="188" spans="1:13" x14ac:dyDescent="0.2">
      <c r="A188" s="188" t="s">
        <v>277</v>
      </c>
      <c r="B188" s="189" t="s">
        <v>319</v>
      </c>
      <c r="C188" s="190" t="s">
        <v>507</v>
      </c>
      <c r="D188" s="191" t="s">
        <v>391</v>
      </c>
      <c r="E188" s="189" t="s">
        <v>74</v>
      </c>
      <c r="F188" s="191" t="s">
        <v>400</v>
      </c>
      <c r="G188" s="189" t="s">
        <v>77</v>
      </c>
      <c r="H188" s="192" t="s">
        <v>327</v>
      </c>
      <c r="I188" s="192"/>
      <c r="J188" s="192" t="s">
        <v>322</v>
      </c>
      <c r="K188" s="189" t="s">
        <v>6</v>
      </c>
      <c r="L188" s="200"/>
      <c r="M188" s="202" t="s">
        <v>1950</v>
      </c>
    </row>
    <row r="189" spans="1:13" x14ac:dyDescent="0.2">
      <c r="A189" s="188" t="s">
        <v>277</v>
      </c>
      <c r="B189" s="189" t="s">
        <v>319</v>
      </c>
      <c r="C189" s="190" t="s">
        <v>381</v>
      </c>
      <c r="D189" s="191" t="s">
        <v>391</v>
      </c>
      <c r="E189" s="189" t="s">
        <v>74</v>
      </c>
      <c r="F189" s="191" t="s">
        <v>415</v>
      </c>
      <c r="G189" s="189" t="s">
        <v>6</v>
      </c>
      <c r="H189" s="192" t="s">
        <v>327</v>
      </c>
      <c r="I189" s="192">
        <v>42</v>
      </c>
      <c r="J189" s="192"/>
      <c r="K189" s="189" t="s">
        <v>77</v>
      </c>
      <c r="L189" s="200" t="s">
        <v>466</v>
      </c>
      <c r="M189" s="202" t="s">
        <v>1712</v>
      </c>
    </row>
    <row r="190" spans="1:13" x14ac:dyDescent="0.2">
      <c r="A190" s="188" t="s">
        <v>277</v>
      </c>
      <c r="B190" s="189" t="s">
        <v>319</v>
      </c>
      <c r="C190" s="190" t="s">
        <v>381</v>
      </c>
      <c r="D190" s="191" t="s">
        <v>391</v>
      </c>
      <c r="E190" s="189" t="s">
        <v>74</v>
      </c>
      <c r="F190" s="191" t="s">
        <v>487</v>
      </c>
      <c r="G190" s="189" t="s">
        <v>77</v>
      </c>
      <c r="H190" s="192" t="s">
        <v>327</v>
      </c>
      <c r="I190" s="192">
        <v>3</v>
      </c>
      <c r="J190" s="192"/>
      <c r="K190" s="189" t="s">
        <v>6</v>
      </c>
      <c r="L190" s="200" t="s">
        <v>479</v>
      </c>
      <c r="M190" s="202" t="s">
        <v>1712</v>
      </c>
    </row>
    <row r="191" spans="1:13" x14ac:dyDescent="0.2">
      <c r="A191" s="188" t="s">
        <v>277</v>
      </c>
      <c r="B191" s="189" t="s">
        <v>319</v>
      </c>
      <c r="C191" s="190" t="s">
        <v>381</v>
      </c>
      <c r="D191" s="191" t="s">
        <v>391</v>
      </c>
      <c r="E191" s="189" t="s">
        <v>74</v>
      </c>
      <c r="F191" s="191" t="s">
        <v>488</v>
      </c>
      <c r="G191" s="189" t="s">
        <v>6</v>
      </c>
      <c r="H191" s="192" t="s">
        <v>327</v>
      </c>
      <c r="I191" s="192">
        <v>86</v>
      </c>
      <c r="J191" s="192"/>
      <c r="K191" s="189" t="s">
        <v>77</v>
      </c>
      <c r="L191" s="200"/>
      <c r="M191" s="202" t="s">
        <v>1712</v>
      </c>
    </row>
    <row r="192" spans="1:13" x14ac:dyDescent="0.2">
      <c r="A192" s="188" t="s">
        <v>277</v>
      </c>
      <c r="B192" s="189" t="s">
        <v>319</v>
      </c>
      <c r="C192" s="190" t="s">
        <v>381</v>
      </c>
      <c r="D192" s="191" t="s">
        <v>391</v>
      </c>
      <c r="E192" s="189" t="s">
        <v>74</v>
      </c>
      <c r="F192" s="191" t="s">
        <v>508</v>
      </c>
      <c r="G192" s="189" t="s">
        <v>6</v>
      </c>
      <c r="H192" s="192" t="s">
        <v>327</v>
      </c>
      <c r="I192" s="192">
        <v>45</v>
      </c>
      <c r="J192" s="192"/>
      <c r="K192" s="189" t="s">
        <v>77</v>
      </c>
      <c r="L192" s="200" t="s">
        <v>466</v>
      </c>
      <c r="M192" s="202" t="s">
        <v>1712</v>
      </c>
    </row>
    <row r="193" spans="1:13" x14ac:dyDescent="0.2">
      <c r="A193" s="188" t="s">
        <v>277</v>
      </c>
      <c r="B193" s="189" t="s">
        <v>319</v>
      </c>
      <c r="C193" s="190" t="s">
        <v>381</v>
      </c>
      <c r="D193" s="191" t="s">
        <v>407</v>
      </c>
      <c r="E193" s="189" t="s">
        <v>74</v>
      </c>
      <c r="F193" s="191" t="s">
        <v>449</v>
      </c>
      <c r="G193" s="189" t="s">
        <v>77</v>
      </c>
      <c r="H193" s="192" t="s">
        <v>322</v>
      </c>
      <c r="I193" s="192" t="s">
        <v>322</v>
      </c>
      <c r="J193" s="192"/>
      <c r="K193" s="189" t="s">
        <v>6</v>
      </c>
      <c r="L193" s="200"/>
      <c r="M193" s="202" t="s">
        <v>1712</v>
      </c>
    </row>
    <row r="194" spans="1:13" x14ac:dyDescent="0.2">
      <c r="A194" s="188" t="s">
        <v>277</v>
      </c>
      <c r="B194" s="189" t="s">
        <v>319</v>
      </c>
      <c r="C194" s="190" t="s">
        <v>381</v>
      </c>
      <c r="D194" s="191" t="s">
        <v>391</v>
      </c>
      <c r="E194" s="189" t="s">
        <v>74</v>
      </c>
      <c r="F194" s="191" t="s">
        <v>509</v>
      </c>
      <c r="G194" s="189" t="s">
        <v>77</v>
      </c>
      <c r="H194" s="192" t="s">
        <v>322</v>
      </c>
      <c r="I194" s="192" t="s">
        <v>322</v>
      </c>
      <c r="J194" s="192"/>
      <c r="K194" s="189" t="s">
        <v>6</v>
      </c>
      <c r="L194" s="200"/>
      <c r="M194" s="202" t="s">
        <v>1712</v>
      </c>
    </row>
    <row r="195" spans="1:13" x14ac:dyDescent="0.2">
      <c r="A195" s="188" t="s">
        <v>277</v>
      </c>
      <c r="B195" s="189" t="s">
        <v>319</v>
      </c>
      <c r="C195" s="190" t="s">
        <v>381</v>
      </c>
      <c r="D195" s="191" t="s">
        <v>391</v>
      </c>
      <c r="E195" s="189" t="s">
        <v>74</v>
      </c>
      <c r="F195" s="191" t="s">
        <v>453</v>
      </c>
      <c r="G195" s="189" t="s">
        <v>77</v>
      </c>
      <c r="H195" s="192" t="s">
        <v>322</v>
      </c>
      <c r="I195" s="192" t="s">
        <v>322</v>
      </c>
      <c r="J195" s="192"/>
      <c r="K195" s="189" t="s">
        <v>6</v>
      </c>
      <c r="L195" s="200"/>
      <c r="M195" s="202" t="s">
        <v>1712</v>
      </c>
    </row>
    <row r="196" spans="1:13" x14ac:dyDescent="0.2">
      <c r="A196" s="188" t="s">
        <v>277</v>
      </c>
      <c r="B196" s="189" t="s">
        <v>319</v>
      </c>
      <c r="C196" s="190" t="s">
        <v>381</v>
      </c>
      <c r="D196" s="191" t="s">
        <v>407</v>
      </c>
      <c r="E196" s="189" t="s">
        <v>74</v>
      </c>
      <c r="F196" s="191" t="s">
        <v>510</v>
      </c>
      <c r="G196" s="189" t="s">
        <v>77</v>
      </c>
      <c r="H196" s="192" t="s">
        <v>322</v>
      </c>
      <c r="I196" s="192" t="s">
        <v>322</v>
      </c>
      <c r="J196" s="192"/>
      <c r="K196" s="189" t="s">
        <v>6</v>
      </c>
      <c r="L196" s="200"/>
      <c r="M196" s="202" t="s">
        <v>1712</v>
      </c>
    </row>
    <row r="197" spans="1:13" x14ac:dyDescent="0.2">
      <c r="A197" s="188" t="s">
        <v>277</v>
      </c>
      <c r="B197" s="189" t="s">
        <v>319</v>
      </c>
      <c r="C197" s="190" t="s">
        <v>511</v>
      </c>
      <c r="D197" s="191" t="s">
        <v>391</v>
      </c>
      <c r="E197" s="189" t="s">
        <v>74</v>
      </c>
      <c r="F197" s="191" t="s">
        <v>400</v>
      </c>
      <c r="G197" s="189" t="s">
        <v>77</v>
      </c>
      <c r="H197" s="192" t="s">
        <v>322</v>
      </c>
      <c r="I197" s="192"/>
      <c r="J197" s="192" t="s">
        <v>322</v>
      </c>
      <c r="K197" s="189" t="s">
        <v>6</v>
      </c>
      <c r="L197" s="200"/>
      <c r="M197" s="202" t="s">
        <v>1948</v>
      </c>
    </row>
    <row r="198" spans="1:13" x14ac:dyDescent="0.2">
      <c r="A198" s="188" t="s">
        <v>277</v>
      </c>
      <c r="B198" s="189" t="s">
        <v>319</v>
      </c>
      <c r="C198" s="190" t="s">
        <v>512</v>
      </c>
      <c r="D198" s="191" t="s">
        <v>407</v>
      </c>
      <c r="E198" s="189" t="s">
        <v>7</v>
      </c>
      <c r="F198" s="191" t="s">
        <v>513</v>
      </c>
      <c r="G198" s="189" t="s">
        <v>77</v>
      </c>
      <c r="H198" s="192" t="s">
        <v>322</v>
      </c>
      <c r="I198" s="192"/>
      <c r="J198" s="192" t="s">
        <v>322</v>
      </c>
      <c r="K198" s="189" t="s">
        <v>6</v>
      </c>
      <c r="L198" s="200"/>
      <c r="M198" s="202" t="s">
        <v>1712</v>
      </c>
    </row>
    <row r="199" spans="1:13" x14ac:dyDescent="0.2">
      <c r="A199" s="188" t="s">
        <v>277</v>
      </c>
      <c r="B199" s="189" t="s">
        <v>319</v>
      </c>
      <c r="C199" s="190" t="s">
        <v>514</v>
      </c>
      <c r="D199" s="191" t="s">
        <v>407</v>
      </c>
      <c r="E199" s="189" t="s">
        <v>7</v>
      </c>
      <c r="F199" s="191" t="s">
        <v>490</v>
      </c>
      <c r="G199" s="189" t="s">
        <v>77</v>
      </c>
      <c r="H199" s="192" t="s">
        <v>322</v>
      </c>
      <c r="I199" s="192"/>
      <c r="J199" s="192" t="s">
        <v>322</v>
      </c>
      <c r="K199" s="189" t="s">
        <v>6</v>
      </c>
      <c r="L199" s="200"/>
      <c r="M199" s="202" t="s">
        <v>1712</v>
      </c>
    </row>
    <row r="200" spans="1:13" x14ac:dyDescent="0.2">
      <c r="A200" s="188" t="s">
        <v>277</v>
      </c>
      <c r="B200" s="189" t="s">
        <v>319</v>
      </c>
      <c r="C200" s="190" t="s">
        <v>342</v>
      </c>
      <c r="D200" s="191" t="s">
        <v>391</v>
      </c>
      <c r="E200" s="189" t="s">
        <v>74</v>
      </c>
      <c r="F200" s="191" t="s">
        <v>515</v>
      </c>
      <c r="G200" s="189" t="s">
        <v>6</v>
      </c>
      <c r="H200" s="192">
        <v>30080</v>
      </c>
      <c r="I200" s="192">
        <v>26</v>
      </c>
      <c r="J200" s="192"/>
      <c r="K200" s="189" t="s">
        <v>77</v>
      </c>
      <c r="L200" s="200"/>
      <c r="M200" s="202" t="s">
        <v>1952</v>
      </c>
    </row>
    <row r="201" spans="1:13" x14ac:dyDescent="0.2">
      <c r="A201" s="188" t="s">
        <v>277</v>
      </c>
      <c r="B201" s="189" t="s">
        <v>319</v>
      </c>
      <c r="C201" s="190" t="s">
        <v>342</v>
      </c>
      <c r="D201" s="191" t="s">
        <v>391</v>
      </c>
      <c r="E201" s="189" t="s">
        <v>74</v>
      </c>
      <c r="F201" s="191" t="s">
        <v>150</v>
      </c>
      <c r="G201" s="189" t="s">
        <v>77</v>
      </c>
      <c r="H201" s="192" t="s">
        <v>322</v>
      </c>
      <c r="I201" s="192" t="s">
        <v>322</v>
      </c>
      <c r="J201" s="192"/>
      <c r="K201" s="189" t="s">
        <v>6</v>
      </c>
      <c r="L201" s="200"/>
      <c r="M201" s="202" t="s">
        <v>1712</v>
      </c>
    </row>
    <row r="202" spans="1:13" x14ac:dyDescent="0.2">
      <c r="A202" s="188" t="s">
        <v>277</v>
      </c>
      <c r="B202" s="189" t="s">
        <v>319</v>
      </c>
      <c r="C202" s="190" t="s">
        <v>342</v>
      </c>
      <c r="D202" s="191" t="s">
        <v>407</v>
      </c>
      <c r="E202" s="189" t="s">
        <v>74</v>
      </c>
      <c r="F202" s="191" t="s">
        <v>450</v>
      </c>
      <c r="G202" s="189" t="s">
        <v>77</v>
      </c>
      <c r="H202" s="192" t="s">
        <v>322</v>
      </c>
      <c r="I202" s="192" t="s">
        <v>322</v>
      </c>
      <c r="J202" s="192"/>
      <c r="K202" s="189" t="s">
        <v>6</v>
      </c>
      <c r="L202" s="200"/>
      <c r="M202" s="202" t="s">
        <v>1712</v>
      </c>
    </row>
    <row r="203" spans="1:13" x14ac:dyDescent="0.2">
      <c r="A203" s="188" t="s">
        <v>277</v>
      </c>
      <c r="B203" s="189" t="s">
        <v>319</v>
      </c>
      <c r="C203" s="190" t="s">
        <v>516</v>
      </c>
      <c r="D203" s="191" t="s">
        <v>391</v>
      </c>
      <c r="E203" s="189" t="s">
        <v>74</v>
      </c>
      <c r="F203" s="191" t="s">
        <v>400</v>
      </c>
      <c r="G203" s="189" t="s">
        <v>77</v>
      </c>
      <c r="H203" s="192" t="s">
        <v>327</v>
      </c>
      <c r="I203" s="192"/>
      <c r="J203" s="192" t="s">
        <v>322</v>
      </c>
      <c r="K203" s="189" t="s">
        <v>6</v>
      </c>
      <c r="L203" s="200"/>
      <c r="M203" s="202" t="s">
        <v>1712</v>
      </c>
    </row>
    <row r="204" spans="1:13" x14ac:dyDescent="0.2">
      <c r="A204" s="188" t="s">
        <v>277</v>
      </c>
      <c r="B204" s="189" t="s">
        <v>319</v>
      </c>
      <c r="C204" s="190" t="s">
        <v>387</v>
      </c>
      <c r="D204" s="191" t="s">
        <v>391</v>
      </c>
      <c r="E204" s="189" t="s">
        <v>74</v>
      </c>
      <c r="F204" s="191" t="s">
        <v>400</v>
      </c>
      <c r="G204" s="189" t="s">
        <v>77</v>
      </c>
      <c r="H204" s="192">
        <v>240</v>
      </c>
      <c r="I204" s="192"/>
      <c r="J204" s="192">
        <v>6</v>
      </c>
      <c r="K204" s="189" t="s">
        <v>6</v>
      </c>
      <c r="L204" s="200"/>
      <c r="M204" s="202" t="s">
        <v>1713</v>
      </c>
    </row>
    <row r="205" spans="1:13" x14ac:dyDescent="0.2">
      <c r="A205" s="188" t="s">
        <v>277</v>
      </c>
      <c r="B205" s="189" t="s">
        <v>319</v>
      </c>
      <c r="C205" s="190" t="s">
        <v>388</v>
      </c>
      <c r="D205" s="191" t="s">
        <v>391</v>
      </c>
      <c r="E205" s="189" t="s">
        <v>74</v>
      </c>
      <c r="F205" s="191" t="s">
        <v>348</v>
      </c>
      <c r="G205" s="189"/>
      <c r="H205" s="192"/>
      <c r="I205" s="192"/>
      <c r="J205" s="192"/>
      <c r="K205" s="189"/>
      <c r="L205" s="200" t="s">
        <v>517</v>
      </c>
      <c r="M205" s="202" t="s">
        <v>1949</v>
      </c>
    </row>
    <row r="206" spans="1:13" x14ac:dyDescent="0.2">
      <c r="A206" s="188" t="s">
        <v>277</v>
      </c>
      <c r="B206" s="189" t="s">
        <v>319</v>
      </c>
      <c r="C206" s="190" t="s">
        <v>518</v>
      </c>
      <c r="D206" s="191" t="s">
        <v>391</v>
      </c>
      <c r="E206" s="189" t="s">
        <v>74</v>
      </c>
      <c r="F206" s="191" t="s">
        <v>519</v>
      </c>
      <c r="G206" s="189" t="s">
        <v>6</v>
      </c>
      <c r="H206" s="192">
        <v>380</v>
      </c>
      <c r="I206" s="192">
        <v>13</v>
      </c>
      <c r="J206" s="192"/>
      <c r="K206" s="189" t="s">
        <v>77</v>
      </c>
      <c r="L206" s="200" t="s">
        <v>520</v>
      </c>
      <c r="M206" s="202" t="s">
        <v>1952</v>
      </c>
    </row>
    <row r="207" spans="1:13" x14ac:dyDescent="0.2">
      <c r="A207" s="188" t="s">
        <v>277</v>
      </c>
      <c r="B207" s="189" t="s">
        <v>319</v>
      </c>
      <c r="C207" s="190" t="s">
        <v>521</v>
      </c>
      <c r="D207" s="191" t="s">
        <v>391</v>
      </c>
      <c r="E207" s="189" t="s">
        <v>74</v>
      </c>
      <c r="F207" s="191" t="s">
        <v>522</v>
      </c>
      <c r="G207" s="189" t="s">
        <v>6</v>
      </c>
      <c r="H207" s="192" t="s">
        <v>327</v>
      </c>
      <c r="I207" s="192">
        <v>13</v>
      </c>
      <c r="J207" s="192"/>
      <c r="K207" s="189" t="s">
        <v>6</v>
      </c>
      <c r="L207" s="200" t="s">
        <v>520</v>
      </c>
      <c r="M207" s="202" t="s">
        <v>1949</v>
      </c>
    </row>
    <row r="208" spans="1:13" x14ac:dyDescent="0.2">
      <c r="A208" s="188" t="s">
        <v>277</v>
      </c>
      <c r="B208" s="189" t="s">
        <v>319</v>
      </c>
      <c r="C208" s="190" t="s">
        <v>523</v>
      </c>
      <c r="D208" s="191" t="s">
        <v>391</v>
      </c>
      <c r="E208" s="189" t="s">
        <v>74</v>
      </c>
      <c r="F208" s="191" t="s">
        <v>524</v>
      </c>
      <c r="G208" s="189" t="s">
        <v>77</v>
      </c>
      <c r="H208" s="192" t="s">
        <v>327</v>
      </c>
      <c r="I208" s="192">
        <v>13</v>
      </c>
      <c r="J208" s="192"/>
      <c r="K208" s="189" t="s">
        <v>6</v>
      </c>
      <c r="L208" s="200" t="s">
        <v>520</v>
      </c>
      <c r="M208" s="202" t="s">
        <v>1949</v>
      </c>
    </row>
    <row r="209" spans="1:13" x14ac:dyDescent="0.2">
      <c r="A209" s="188" t="s">
        <v>277</v>
      </c>
      <c r="B209" s="189" t="s">
        <v>319</v>
      </c>
      <c r="C209" s="190" t="s">
        <v>525</v>
      </c>
      <c r="D209" s="191" t="s">
        <v>391</v>
      </c>
      <c r="E209" s="189" t="s">
        <v>74</v>
      </c>
      <c r="F209" s="191" t="s">
        <v>524</v>
      </c>
      <c r="G209" s="189" t="s">
        <v>77</v>
      </c>
      <c r="H209" s="192" t="s">
        <v>327</v>
      </c>
      <c r="I209" s="192">
        <v>13</v>
      </c>
      <c r="J209" s="192"/>
      <c r="K209" s="189" t="s">
        <v>6</v>
      </c>
      <c r="L209" s="200" t="s">
        <v>520</v>
      </c>
      <c r="M209" s="202" t="s">
        <v>1949</v>
      </c>
    </row>
    <row r="210" spans="1:13" x14ac:dyDescent="0.2">
      <c r="A210" s="188" t="s">
        <v>277</v>
      </c>
      <c r="B210" s="189" t="s">
        <v>319</v>
      </c>
      <c r="C210" s="190" t="s">
        <v>526</v>
      </c>
      <c r="D210" s="191" t="s">
        <v>391</v>
      </c>
      <c r="E210" s="189" t="s">
        <v>74</v>
      </c>
      <c r="F210" s="191" t="s">
        <v>487</v>
      </c>
      <c r="G210" s="189" t="s">
        <v>77</v>
      </c>
      <c r="H210" s="192" t="s">
        <v>322</v>
      </c>
      <c r="I210" s="192">
        <v>13</v>
      </c>
      <c r="J210" s="192"/>
      <c r="K210" s="189" t="s">
        <v>6</v>
      </c>
      <c r="L210" s="200" t="s">
        <v>520</v>
      </c>
      <c r="M210" s="202" t="s">
        <v>1712</v>
      </c>
    </row>
    <row r="211" spans="1:13" x14ac:dyDescent="0.2">
      <c r="A211" s="188" t="s">
        <v>277</v>
      </c>
      <c r="B211" s="189" t="s">
        <v>319</v>
      </c>
      <c r="C211" s="190" t="s">
        <v>527</v>
      </c>
      <c r="D211" s="191" t="s">
        <v>391</v>
      </c>
      <c r="E211" s="189" t="s">
        <v>74</v>
      </c>
      <c r="F211" s="191" t="s">
        <v>528</v>
      </c>
      <c r="G211" s="189" t="s">
        <v>6</v>
      </c>
      <c r="H211" s="192" t="s">
        <v>327</v>
      </c>
      <c r="I211" s="192">
        <v>13</v>
      </c>
      <c r="J211" s="192"/>
      <c r="K211" s="189" t="s">
        <v>6</v>
      </c>
      <c r="L211" s="200" t="s">
        <v>520</v>
      </c>
      <c r="M211" s="202" t="s">
        <v>1712</v>
      </c>
    </row>
    <row r="212" spans="1:13" x14ac:dyDescent="0.2">
      <c r="A212" s="188" t="s">
        <v>277</v>
      </c>
      <c r="B212" s="189" t="s">
        <v>319</v>
      </c>
      <c r="C212" s="190" t="s">
        <v>529</v>
      </c>
      <c r="D212" s="191" t="s">
        <v>391</v>
      </c>
      <c r="E212" s="189" t="s">
        <v>74</v>
      </c>
      <c r="F212" s="191" t="s">
        <v>519</v>
      </c>
      <c r="G212" s="189" t="s">
        <v>6</v>
      </c>
      <c r="H212" s="192" t="s">
        <v>327</v>
      </c>
      <c r="I212" s="192">
        <v>13</v>
      </c>
      <c r="J212" s="192"/>
      <c r="K212" s="189" t="s">
        <v>6</v>
      </c>
      <c r="L212" s="200" t="s">
        <v>520</v>
      </c>
      <c r="M212" s="202" t="s">
        <v>1712</v>
      </c>
    </row>
    <row r="213" spans="1:13" x14ac:dyDescent="0.2">
      <c r="A213" s="188" t="s">
        <v>277</v>
      </c>
      <c r="B213" s="189" t="s">
        <v>319</v>
      </c>
      <c r="C213" s="190" t="s">
        <v>529</v>
      </c>
      <c r="D213" s="191" t="s">
        <v>391</v>
      </c>
      <c r="E213" s="189" t="s">
        <v>74</v>
      </c>
      <c r="F213" s="191" t="s">
        <v>451</v>
      </c>
      <c r="G213" s="189" t="s">
        <v>77</v>
      </c>
      <c r="H213" s="192" t="s">
        <v>327</v>
      </c>
      <c r="I213" s="192">
        <v>13</v>
      </c>
      <c r="J213" s="192"/>
      <c r="K213" s="189" t="s">
        <v>6</v>
      </c>
      <c r="L213" s="200" t="s">
        <v>520</v>
      </c>
      <c r="M213" s="202" t="s">
        <v>1712</v>
      </c>
    </row>
    <row r="214" spans="1:13" x14ac:dyDescent="0.2">
      <c r="A214" s="188" t="s">
        <v>277</v>
      </c>
      <c r="B214" s="189" t="s">
        <v>319</v>
      </c>
      <c r="C214" s="190" t="s">
        <v>530</v>
      </c>
      <c r="D214" s="191" t="s">
        <v>391</v>
      </c>
      <c r="E214" s="189" t="s">
        <v>74</v>
      </c>
      <c r="F214" s="191" t="s">
        <v>531</v>
      </c>
      <c r="G214" s="189" t="s">
        <v>77</v>
      </c>
      <c r="H214" s="192" t="s">
        <v>322</v>
      </c>
      <c r="I214" s="192">
        <v>13</v>
      </c>
      <c r="J214" s="192"/>
      <c r="K214" s="189" t="s">
        <v>6</v>
      </c>
      <c r="L214" s="200" t="s">
        <v>520</v>
      </c>
      <c r="M214" s="202" t="s">
        <v>1712</v>
      </c>
    </row>
    <row r="215" spans="1:13" x14ac:dyDescent="0.2">
      <c r="A215" s="188" t="s">
        <v>277</v>
      </c>
      <c r="B215" s="189" t="s">
        <v>319</v>
      </c>
      <c r="C215" s="190" t="s">
        <v>532</v>
      </c>
      <c r="D215" s="191" t="s">
        <v>391</v>
      </c>
      <c r="E215" s="189" t="s">
        <v>74</v>
      </c>
      <c r="F215" s="191" t="s">
        <v>524</v>
      </c>
      <c r="G215" s="189" t="s">
        <v>77</v>
      </c>
      <c r="H215" s="192" t="s">
        <v>322</v>
      </c>
      <c r="I215" s="192">
        <v>13</v>
      </c>
      <c r="J215" s="192"/>
      <c r="K215" s="189" t="s">
        <v>6</v>
      </c>
      <c r="L215" s="200" t="s">
        <v>520</v>
      </c>
      <c r="M215" s="202" t="s">
        <v>1712</v>
      </c>
    </row>
    <row r="216" spans="1:13" x14ac:dyDescent="0.2">
      <c r="A216" s="188" t="s">
        <v>277</v>
      </c>
      <c r="B216" s="189" t="s">
        <v>319</v>
      </c>
      <c r="C216" s="190" t="s">
        <v>533</v>
      </c>
      <c r="D216" s="191" t="s">
        <v>391</v>
      </c>
      <c r="E216" s="189" t="s">
        <v>74</v>
      </c>
      <c r="F216" s="191" t="s">
        <v>524</v>
      </c>
      <c r="G216" s="189" t="s">
        <v>6</v>
      </c>
      <c r="H216" s="192" t="s">
        <v>327</v>
      </c>
      <c r="I216" s="192">
        <v>13</v>
      </c>
      <c r="J216" s="192"/>
      <c r="K216" s="189" t="s">
        <v>77</v>
      </c>
      <c r="L216" s="200" t="s">
        <v>520</v>
      </c>
      <c r="M216" s="202" t="s">
        <v>1712</v>
      </c>
    </row>
    <row r="217" spans="1:13" x14ac:dyDescent="0.2">
      <c r="A217" s="188" t="s">
        <v>277</v>
      </c>
      <c r="B217" s="189" t="s">
        <v>319</v>
      </c>
      <c r="C217" s="190" t="s">
        <v>534</v>
      </c>
      <c r="D217" s="191" t="s">
        <v>535</v>
      </c>
      <c r="E217" s="189" t="s">
        <v>536</v>
      </c>
      <c r="F217" s="191" t="s">
        <v>537</v>
      </c>
      <c r="G217" s="189" t="s">
        <v>77</v>
      </c>
      <c r="H217" s="192" t="s">
        <v>322</v>
      </c>
      <c r="I217" s="192"/>
      <c r="J217" s="189"/>
      <c r="K217" s="189" t="s">
        <v>6</v>
      </c>
      <c r="L217" s="200"/>
      <c r="M217" s="202" t="s">
        <v>1712</v>
      </c>
    </row>
    <row r="218" spans="1:13" x14ac:dyDescent="0.2">
      <c r="A218" s="188" t="s">
        <v>277</v>
      </c>
      <c r="B218" s="189" t="s">
        <v>319</v>
      </c>
      <c r="C218" s="190" t="s">
        <v>538</v>
      </c>
      <c r="D218" s="191" t="s">
        <v>535</v>
      </c>
      <c r="E218" s="189" t="s">
        <v>536</v>
      </c>
      <c r="F218" s="191" t="s">
        <v>537</v>
      </c>
      <c r="G218" s="189" t="s">
        <v>77</v>
      </c>
      <c r="H218" s="192" t="s">
        <v>322</v>
      </c>
      <c r="I218" s="192">
        <v>0</v>
      </c>
      <c r="J218" s="189"/>
      <c r="K218" s="189" t="s">
        <v>6</v>
      </c>
      <c r="L218" s="200"/>
      <c r="M218" s="202" t="s">
        <v>1712</v>
      </c>
    </row>
    <row r="219" spans="1:13" x14ac:dyDescent="0.2">
      <c r="A219" s="188" t="s">
        <v>277</v>
      </c>
      <c r="B219" s="189" t="s">
        <v>319</v>
      </c>
      <c r="C219" s="190" t="s">
        <v>539</v>
      </c>
      <c r="D219" s="191" t="s">
        <v>535</v>
      </c>
      <c r="E219" s="189" t="s">
        <v>536</v>
      </c>
      <c r="F219" s="191" t="s">
        <v>537</v>
      </c>
      <c r="G219" s="189" t="s">
        <v>77</v>
      </c>
      <c r="H219" s="192" t="s">
        <v>322</v>
      </c>
      <c r="I219" s="192"/>
      <c r="J219" s="189"/>
      <c r="K219" s="189" t="s">
        <v>6</v>
      </c>
      <c r="L219" s="200"/>
      <c r="M219" s="202" t="s">
        <v>1948</v>
      </c>
    </row>
    <row r="220" spans="1:13" x14ac:dyDescent="0.2">
      <c r="A220" s="188" t="s">
        <v>277</v>
      </c>
      <c r="B220" s="189" t="s">
        <v>319</v>
      </c>
      <c r="C220" s="190" t="s">
        <v>540</v>
      </c>
      <c r="D220" s="191" t="s">
        <v>535</v>
      </c>
      <c r="E220" s="189" t="s">
        <v>536</v>
      </c>
      <c r="F220" s="191" t="s">
        <v>537</v>
      </c>
      <c r="G220" s="189" t="s">
        <v>6</v>
      </c>
      <c r="H220" s="192">
        <v>2360</v>
      </c>
      <c r="I220" s="192">
        <v>9</v>
      </c>
      <c r="J220" s="189"/>
      <c r="K220" s="189" t="s">
        <v>6</v>
      </c>
      <c r="L220" s="200" t="s">
        <v>541</v>
      </c>
      <c r="M220" s="202" t="s">
        <v>1951</v>
      </c>
    </row>
    <row r="221" spans="1:13" x14ac:dyDescent="0.2">
      <c r="A221" s="188" t="s">
        <v>277</v>
      </c>
      <c r="B221" s="189" t="s">
        <v>319</v>
      </c>
      <c r="C221" s="190" t="s">
        <v>542</v>
      </c>
      <c r="D221" s="191" t="s">
        <v>535</v>
      </c>
      <c r="E221" s="189" t="s">
        <v>536</v>
      </c>
      <c r="F221" s="191" t="s">
        <v>537</v>
      </c>
      <c r="G221" s="189" t="s">
        <v>77</v>
      </c>
      <c r="H221" s="192" t="s">
        <v>327</v>
      </c>
      <c r="I221" s="192" t="s">
        <v>543</v>
      </c>
      <c r="J221" s="189"/>
      <c r="K221" s="189" t="s">
        <v>6</v>
      </c>
      <c r="L221" s="200"/>
      <c r="M221" s="202" t="s">
        <v>1712</v>
      </c>
    </row>
    <row r="222" spans="1:13" x14ac:dyDescent="0.2">
      <c r="A222" s="188" t="s">
        <v>277</v>
      </c>
      <c r="B222" s="189" t="s">
        <v>319</v>
      </c>
      <c r="C222" s="190" t="s">
        <v>544</v>
      </c>
      <c r="D222" s="191" t="s">
        <v>535</v>
      </c>
      <c r="E222" s="189" t="s">
        <v>536</v>
      </c>
      <c r="F222" s="191" t="s">
        <v>537</v>
      </c>
      <c r="G222" s="189" t="s">
        <v>77</v>
      </c>
      <c r="H222" s="192" t="s">
        <v>327</v>
      </c>
      <c r="I222" s="192" t="s">
        <v>543</v>
      </c>
      <c r="J222" s="189"/>
      <c r="K222" s="189" t="s">
        <v>6</v>
      </c>
      <c r="L222" s="200"/>
      <c r="M222" s="202" t="s">
        <v>1712</v>
      </c>
    </row>
    <row r="223" spans="1:13" x14ac:dyDescent="0.2">
      <c r="A223" s="188" t="s">
        <v>277</v>
      </c>
      <c r="B223" s="189" t="s">
        <v>319</v>
      </c>
      <c r="C223" s="190" t="s">
        <v>545</v>
      </c>
      <c r="D223" s="191" t="s">
        <v>535</v>
      </c>
      <c r="E223" s="189" t="s">
        <v>536</v>
      </c>
      <c r="F223" s="191" t="s">
        <v>537</v>
      </c>
      <c r="G223" s="189" t="s">
        <v>77</v>
      </c>
      <c r="H223" s="192" t="s">
        <v>322</v>
      </c>
      <c r="I223" s="192">
        <v>0</v>
      </c>
      <c r="J223" s="189"/>
      <c r="K223" s="189" t="s">
        <v>6</v>
      </c>
      <c r="L223" s="200"/>
      <c r="M223" s="202" t="s">
        <v>1712</v>
      </c>
    </row>
    <row r="224" spans="1:13" x14ac:dyDescent="0.2">
      <c r="A224" s="188" t="s">
        <v>277</v>
      </c>
      <c r="B224" s="189" t="s">
        <v>319</v>
      </c>
      <c r="C224" s="190" t="s">
        <v>546</v>
      </c>
      <c r="D224" s="191" t="s">
        <v>535</v>
      </c>
      <c r="E224" s="189" t="s">
        <v>536</v>
      </c>
      <c r="F224" s="191" t="s">
        <v>537</v>
      </c>
      <c r="G224" s="189" t="s">
        <v>77</v>
      </c>
      <c r="H224" s="192" t="s">
        <v>322</v>
      </c>
      <c r="I224" s="192"/>
      <c r="J224" s="189"/>
      <c r="K224" s="189" t="s">
        <v>6</v>
      </c>
      <c r="L224" s="200"/>
      <c r="M224" s="202" t="s">
        <v>1712</v>
      </c>
    </row>
    <row r="225" spans="1:13" x14ac:dyDescent="0.2">
      <c r="A225" s="188" t="s">
        <v>277</v>
      </c>
      <c r="B225" s="189" t="s">
        <v>319</v>
      </c>
      <c r="C225" s="190" t="s">
        <v>547</v>
      </c>
      <c r="D225" s="191" t="s">
        <v>535</v>
      </c>
      <c r="E225" s="189" t="s">
        <v>536</v>
      </c>
      <c r="F225" s="191" t="s">
        <v>537</v>
      </c>
      <c r="G225" s="189" t="s">
        <v>77</v>
      </c>
      <c r="H225" s="192" t="s">
        <v>322</v>
      </c>
      <c r="I225" s="192">
        <v>0</v>
      </c>
      <c r="J225" s="189"/>
      <c r="K225" s="189" t="s">
        <v>6</v>
      </c>
      <c r="L225" s="200"/>
      <c r="M225" s="202" t="s">
        <v>1712</v>
      </c>
    </row>
    <row r="226" spans="1:13" x14ac:dyDescent="0.2">
      <c r="A226" s="188" t="s">
        <v>277</v>
      </c>
      <c r="B226" s="189" t="s">
        <v>319</v>
      </c>
      <c r="C226" s="190" t="s">
        <v>548</v>
      </c>
      <c r="D226" s="191" t="s">
        <v>535</v>
      </c>
      <c r="E226" s="189" t="s">
        <v>536</v>
      </c>
      <c r="F226" s="191" t="s">
        <v>537</v>
      </c>
      <c r="G226" s="189" t="s">
        <v>77</v>
      </c>
      <c r="H226" s="192" t="s">
        <v>327</v>
      </c>
      <c r="I226" s="192"/>
      <c r="J226" s="189"/>
      <c r="K226" s="189" t="s">
        <v>6</v>
      </c>
      <c r="L226" s="200"/>
      <c r="M226" s="202" t="s">
        <v>1949</v>
      </c>
    </row>
    <row r="227" spans="1:13" x14ac:dyDescent="0.2">
      <c r="A227" s="188" t="s">
        <v>277</v>
      </c>
      <c r="B227" s="189" t="s">
        <v>319</v>
      </c>
      <c r="C227" s="190" t="s">
        <v>549</v>
      </c>
      <c r="D227" s="191" t="s">
        <v>535</v>
      </c>
      <c r="E227" s="189" t="s">
        <v>536</v>
      </c>
      <c r="F227" s="191" t="s">
        <v>537</v>
      </c>
      <c r="G227" s="189" t="s">
        <v>77</v>
      </c>
      <c r="H227" s="192" t="s">
        <v>322</v>
      </c>
      <c r="I227" s="192"/>
      <c r="J227" s="189"/>
      <c r="K227" s="189" t="s">
        <v>6</v>
      </c>
      <c r="L227" s="200"/>
      <c r="M227" s="202" t="s">
        <v>1712</v>
      </c>
    </row>
    <row r="228" spans="1:13" x14ac:dyDescent="0.2">
      <c r="A228" s="188" t="s">
        <v>277</v>
      </c>
      <c r="B228" s="189" t="s">
        <v>319</v>
      </c>
      <c r="C228" s="190" t="s">
        <v>550</v>
      </c>
      <c r="D228" s="191" t="s">
        <v>535</v>
      </c>
      <c r="E228" s="189" t="s">
        <v>536</v>
      </c>
      <c r="F228" s="191" t="s">
        <v>537</v>
      </c>
      <c r="G228" s="189" t="s">
        <v>77</v>
      </c>
      <c r="H228" s="192" t="s">
        <v>322</v>
      </c>
      <c r="I228" s="192"/>
      <c r="J228" s="189"/>
      <c r="K228" s="189" t="s">
        <v>6</v>
      </c>
      <c r="L228" s="200"/>
      <c r="M228" s="202" t="s">
        <v>1712</v>
      </c>
    </row>
    <row r="229" spans="1:13" x14ac:dyDescent="0.2">
      <c r="A229" s="188" t="s">
        <v>277</v>
      </c>
      <c r="B229" s="189" t="s">
        <v>319</v>
      </c>
      <c r="C229" s="190" t="s">
        <v>551</v>
      </c>
      <c r="D229" s="191" t="s">
        <v>535</v>
      </c>
      <c r="E229" s="189" t="s">
        <v>536</v>
      </c>
      <c r="F229" s="191" t="s">
        <v>537</v>
      </c>
      <c r="G229" s="189" t="s">
        <v>77</v>
      </c>
      <c r="H229" s="192" t="s">
        <v>322</v>
      </c>
      <c r="I229" s="192"/>
      <c r="J229" s="189"/>
      <c r="K229" s="189" t="s">
        <v>6</v>
      </c>
      <c r="L229" s="200"/>
      <c r="M229" s="202" t="s">
        <v>1712</v>
      </c>
    </row>
    <row r="230" spans="1:13" x14ac:dyDescent="0.2">
      <c r="A230" s="188" t="s">
        <v>277</v>
      </c>
      <c r="B230" s="189" t="s">
        <v>319</v>
      </c>
      <c r="C230" s="190" t="s">
        <v>552</v>
      </c>
      <c r="D230" s="191" t="s">
        <v>535</v>
      </c>
      <c r="E230" s="189" t="s">
        <v>536</v>
      </c>
      <c r="F230" s="191" t="s">
        <v>537</v>
      </c>
      <c r="G230" s="189" t="s">
        <v>77</v>
      </c>
      <c r="H230" s="192" t="s">
        <v>322</v>
      </c>
      <c r="I230" s="192"/>
      <c r="J230" s="189"/>
      <c r="K230" s="189" t="s">
        <v>6</v>
      </c>
      <c r="L230" s="200"/>
      <c r="M230" s="202" t="s">
        <v>1712</v>
      </c>
    </row>
    <row r="231" spans="1:13" x14ac:dyDescent="0.2">
      <c r="A231" s="188" t="s">
        <v>277</v>
      </c>
      <c r="B231" s="189" t="s">
        <v>319</v>
      </c>
      <c r="C231" s="190" t="s">
        <v>553</v>
      </c>
      <c r="D231" s="191" t="s">
        <v>535</v>
      </c>
      <c r="E231" s="189" t="s">
        <v>536</v>
      </c>
      <c r="F231" s="191" t="s">
        <v>537</v>
      </c>
      <c r="G231" s="189" t="s">
        <v>77</v>
      </c>
      <c r="H231" s="192" t="s">
        <v>322</v>
      </c>
      <c r="I231" s="192"/>
      <c r="J231" s="189"/>
      <c r="K231" s="189" t="s">
        <v>6</v>
      </c>
      <c r="L231" s="200"/>
      <c r="M231" s="202" t="s">
        <v>1712</v>
      </c>
    </row>
    <row r="232" spans="1:13" x14ac:dyDescent="0.2">
      <c r="A232" s="188" t="s">
        <v>277</v>
      </c>
      <c r="B232" s="189" t="s">
        <v>319</v>
      </c>
      <c r="C232" s="190" t="s">
        <v>554</v>
      </c>
      <c r="D232" s="191" t="s">
        <v>535</v>
      </c>
      <c r="E232" s="189" t="s">
        <v>536</v>
      </c>
      <c r="F232" s="191" t="s">
        <v>537</v>
      </c>
      <c r="G232" s="189" t="s">
        <v>77</v>
      </c>
      <c r="H232" s="192" t="s">
        <v>322</v>
      </c>
      <c r="I232" s="192"/>
      <c r="J232" s="189"/>
      <c r="K232" s="189" t="s">
        <v>6</v>
      </c>
      <c r="L232" s="200"/>
      <c r="M232" s="202" t="s">
        <v>1712</v>
      </c>
    </row>
    <row r="233" spans="1:13" x14ac:dyDescent="0.2">
      <c r="A233" s="188" t="s">
        <v>277</v>
      </c>
      <c r="B233" s="189" t="s">
        <v>319</v>
      </c>
      <c r="C233" s="190" t="s">
        <v>555</v>
      </c>
      <c r="D233" s="191" t="s">
        <v>535</v>
      </c>
      <c r="E233" s="189" t="s">
        <v>536</v>
      </c>
      <c r="F233" s="191" t="s">
        <v>537</v>
      </c>
      <c r="G233" s="189" t="s">
        <v>77</v>
      </c>
      <c r="H233" s="192" t="s">
        <v>322</v>
      </c>
      <c r="I233" s="192"/>
      <c r="J233" s="189"/>
      <c r="K233" s="189" t="s">
        <v>6</v>
      </c>
      <c r="L233" s="200"/>
      <c r="M233" s="202" t="s">
        <v>1712</v>
      </c>
    </row>
    <row r="234" spans="1:13" x14ac:dyDescent="0.2">
      <c r="A234" s="188" t="s">
        <v>277</v>
      </c>
      <c r="B234" s="189" t="s">
        <v>319</v>
      </c>
      <c r="C234" s="190" t="s">
        <v>556</v>
      </c>
      <c r="D234" s="191" t="s">
        <v>535</v>
      </c>
      <c r="E234" s="189" t="s">
        <v>536</v>
      </c>
      <c r="F234" s="191" t="s">
        <v>537</v>
      </c>
      <c r="G234" s="189" t="s">
        <v>77</v>
      </c>
      <c r="H234" s="192" t="s">
        <v>322</v>
      </c>
      <c r="I234" s="192"/>
      <c r="J234" s="189"/>
      <c r="K234" s="189" t="s">
        <v>6</v>
      </c>
      <c r="L234" s="200"/>
      <c r="M234" s="202" t="s">
        <v>1712</v>
      </c>
    </row>
    <row r="235" spans="1:13" x14ac:dyDescent="0.2">
      <c r="A235" s="188" t="s">
        <v>277</v>
      </c>
      <c r="B235" s="189" t="s">
        <v>319</v>
      </c>
      <c r="C235" s="190" t="s">
        <v>557</v>
      </c>
      <c r="D235" s="191" t="s">
        <v>535</v>
      </c>
      <c r="E235" s="189" t="s">
        <v>536</v>
      </c>
      <c r="F235" s="191" t="s">
        <v>537</v>
      </c>
      <c r="G235" s="189" t="s">
        <v>77</v>
      </c>
      <c r="H235" s="192" t="s">
        <v>322</v>
      </c>
      <c r="I235" s="192"/>
      <c r="J235" s="189"/>
      <c r="K235" s="189" t="s">
        <v>6</v>
      </c>
      <c r="L235" s="200"/>
      <c r="M235" s="202" t="s">
        <v>1712</v>
      </c>
    </row>
    <row r="236" spans="1:13" x14ac:dyDescent="0.2">
      <c r="A236" s="188" t="s">
        <v>277</v>
      </c>
      <c r="B236" s="189" t="s">
        <v>319</v>
      </c>
      <c r="C236" s="190" t="s">
        <v>558</v>
      </c>
      <c r="D236" s="191" t="s">
        <v>535</v>
      </c>
      <c r="E236" s="189" t="s">
        <v>536</v>
      </c>
      <c r="F236" s="191" t="s">
        <v>537</v>
      </c>
      <c r="G236" s="189" t="s">
        <v>77</v>
      </c>
      <c r="H236" s="192" t="s">
        <v>322</v>
      </c>
      <c r="I236" s="192"/>
      <c r="J236" s="189"/>
      <c r="K236" s="189" t="s">
        <v>6</v>
      </c>
      <c r="L236" s="200"/>
      <c r="M236" s="202" t="s">
        <v>1712</v>
      </c>
    </row>
    <row r="237" spans="1:13" x14ac:dyDescent="0.2">
      <c r="A237" s="188" t="s">
        <v>277</v>
      </c>
      <c r="B237" s="189" t="s">
        <v>319</v>
      </c>
      <c r="C237" s="190" t="s">
        <v>559</v>
      </c>
      <c r="D237" s="191" t="s">
        <v>535</v>
      </c>
      <c r="E237" s="189" t="s">
        <v>536</v>
      </c>
      <c r="F237" s="191" t="s">
        <v>537</v>
      </c>
      <c r="G237" s="189" t="s">
        <v>77</v>
      </c>
      <c r="H237" s="192" t="s">
        <v>322</v>
      </c>
      <c r="I237" s="192"/>
      <c r="J237" s="189"/>
      <c r="K237" s="189" t="s">
        <v>6</v>
      </c>
      <c r="L237" s="200"/>
      <c r="M237" s="202" t="s">
        <v>1948</v>
      </c>
    </row>
    <row r="238" spans="1:13" x14ac:dyDescent="0.2">
      <c r="A238" s="188" t="s">
        <v>277</v>
      </c>
      <c r="B238" s="189" t="s">
        <v>319</v>
      </c>
      <c r="C238" s="190" t="s">
        <v>560</v>
      </c>
      <c r="D238" s="191" t="s">
        <v>535</v>
      </c>
      <c r="E238" s="189" t="s">
        <v>536</v>
      </c>
      <c r="F238" s="191" t="s">
        <v>537</v>
      </c>
      <c r="G238" s="189" t="s">
        <v>77</v>
      </c>
      <c r="H238" s="192" t="s">
        <v>322</v>
      </c>
      <c r="I238" s="192"/>
      <c r="J238" s="189"/>
      <c r="K238" s="189" t="s">
        <v>6</v>
      </c>
      <c r="L238" s="200"/>
      <c r="M238" s="202" t="s">
        <v>1712</v>
      </c>
    </row>
    <row r="239" spans="1:13" x14ac:dyDescent="0.2">
      <c r="A239" s="188" t="s">
        <v>277</v>
      </c>
      <c r="B239" s="189" t="s">
        <v>319</v>
      </c>
      <c r="C239" s="190" t="s">
        <v>561</v>
      </c>
      <c r="D239" s="191" t="s">
        <v>535</v>
      </c>
      <c r="E239" s="189" t="s">
        <v>536</v>
      </c>
      <c r="F239" s="191" t="s">
        <v>537</v>
      </c>
      <c r="G239" s="189" t="s">
        <v>77</v>
      </c>
      <c r="H239" s="192" t="s">
        <v>322</v>
      </c>
      <c r="I239" s="192"/>
      <c r="J239" s="189"/>
      <c r="K239" s="189" t="s">
        <v>6</v>
      </c>
      <c r="L239" s="200"/>
      <c r="M239" s="202" t="s">
        <v>1712</v>
      </c>
    </row>
    <row r="240" spans="1:13" x14ac:dyDescent="0.2">
      <c r="A240" s="1"/>
      <c r="B240" s="1"/>
      <c r="C240" s="1"/>
      <c r="D240" s="1"/>
      <c r="E240" s="1"/>
      <c r="F240" s="1"/>
      <c r="G240" s="1"/>
      <c r="H240" s="1"/>
      <c r="I240" s="1"/>
      <c r="J240" s="1"/>
      <c r="K240" s="1"/>
      <c r="L240" s="1"/>
    </row>
    <row r="241" spans="1:12" x14ac:dyDescent="0.2">
      <c r="A241" s="1"/>
      <c r="B241" s="1"/>
      <c r="C241" s="1"/>
      <c r="D241" s="1"/>
      <c r="E241" s="1"/>
      <c r="F241" s="1"/>
      <c r="G241" s="1"/>
      <c r="H241" s="1"/>
      <c r="I241" s="1"/>
      <c r="J241" s="1"/>
      <c r="K241" s="1"/>
      <c r="L241" s="1"/>
    </row>
    <row r="242" spans="1:12" x14ac:dyDescent="0.2">
      <c r="A242" s="1"/>
      <c r="B242" s="1"/>
      <c r="C242" s="1"/>
      <c r="D242" s="1"/>
      <c r="E242" s="1"/>
      <c r="F242" s="1"/>
      <c r="G242" s="1"/>
      <c r="H242" s="1"/>
      <c r="I242" s="1"/>
      <c r="J242" s="1"/>
      <c r="K242" s="1"/>
      <c r="L242" s="1"/>
    </row>
    <row r="243" spans="1:12" x14ac:dyDescent="0.2">
      <c r="A243" s="1"/>
      <c r="B243" s="1"/>
      <c r="C243" s="1"/>
      <c r="D243" s="1"/>
      <c r="E243" s="1"/>
      <c r="F243" s="1"/>
      <c r="G243" s="1"/>
      <c r="H243" s="1"/>
      <c r="I243" s="1"/>
      <c r="J243" s="1"/>
      <c r="K243" s="1"/>
      <c r="L243" s="1"/>
    </row>
    <row r="244" spans="1:12" x14ac:dyDescent="0.2">
      <c r="A244" s="1"/>
      <c r="B244" s="1"/>
      <c r="C244" s="1"/>
      <c r="D244" s="1"/>
      <c r="E244" s="1"/>
      <c r="F244" s="1"/>
      <c r="G244" s="1"/>
      <c r="H244" s="1"/>
      <c r="I244" s="1"/>
      <c r="J244" s="1"/>
      <c r="K244" s="1"/>
      <c r="L244" s="1"/>
    </row>
    <row r="245" spans="1:12" x14ac:dyDescent="0.2">
      <c r="A245" s="1"/>
      <c r="B245" s="1"/>
      <c r="C245" s="1"/>
      <c r="D245" s="1"/>
      <c r="E245" s="1"/>
      <c r="F245" s="1"/>
      <c r="G245" s="1"/>
      <c r="H245" s="1"/>
      <c r="I245" s="1"/>
      <c r="J245" s="1"/>
      <c r="K245" s="1"/>
      <c r="L245" s="1"/>
    </row>
    <row r="246" spans="1:12" x14ac:dyDescent="0.2">
      <c r="A246" s="1"/>
      <c r="B246" s="1"/>
      <c r="C246" s="1"/>
      <c r="D246" s="1"/>
      <c r="E246" s="1"/>
      <c r="F246" s="1"/>
      <c r="G246" s="1"/>
      <c r="H246" s="1"/>
      <c r="I246" s="1"/>
      <c r="J246" s="1"/>
      <c r="K246" s="1"/>
      <c r="L246" s="1"/>
    </row>
    <row r="247" spans="1:12" x14ac:dyDescent="0.2">
      <c r="A247" s="1"/>
      <c r="B247" s="1"/>
      <c r="C247" s="1"/>
      <c r="D247" s="1"/>
      <c r="E247" s="1"/>
      <c r="F247" s="1"/>
      <c r="G247" s="1"/>
      <c r="H247" s="1"/>
      <c r="I247" s="1"/>
      <c r="J247" s="1"/>
      <c r="K247" s="1"/>
      <c r="L247" s="1"/>
    </row>
    <row r="248" spans="1:12" x14ac:dyDescent="0.2">
      <c r="A248" s="1"/>
      <c r="B248" s="1"/>
      <c r="C248" s="1"/>
      <c r="D248" s="1"/>
      <c r="E248" s="1"/>
      <c r="F248" s="1"/>
      <c r="G248" s="1"/>
      <c r="H248" s="1"/>
      <c r="I248" s="1"/>
      <c r="J248" s="1"/>
      <c r="K248" s="1"/>
      <c r="L248" s="1"/>
    </row>
    <row r="249" spans="1:12" x14ac:dyDescent="0.2">
      <c r="A249" s="1"/>
      <c r="B249" s="1"/>
      <c r="C249" s="1"/>
      <c r="D249" s="1"/>
      <c r="E249" s="1"/>
      <c r="F249" s="1"/>
      <c r="G249" s="1"/>
      <c r="H249" s="1"/>
      <c r="I249" s="1"/>
      <c r="J249" s="1"/>
      <c r="K249" s="1"/>
      <c r="L249" s="1"/>
    </row>
  </sheetData>
  <pageMargins left="0.7" right="0.7" top="0.75" bottom="0.75" header="0.3" footer="0.3"/>
  <pageSetup paperSize="9" orientation="landscape"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Y463"/>
  <sheetViews>
    <sheetView topLeftCell="B1" zoomScaleNormal="100" workbookViewId="0">
      <pane ySplit="5" topLeftCell="A12" activePane="bottomLeft" state="frozen"/>
      <selection pane="bottomLeft" activeCell="AA12" sqref="AA12"/>
    </sheetView>
  </sheetViews>
  <sheetFormatPr defaultColWidth="8.85546875" defaultRowHeight="12.75" x14ac:dyDescent="0.2"/>
  <cols>
    <col min="1" max="1" width="8" style="1" customWidth="1"/>
    <col min="2" max="2" width="18" style="5" customWidth="1"/>
    <col min="3" max="3" width="18.7109375" style="1" customWidth="1"/>
    <col min="4" max="4" width="10.85546875" style="1" customWidth="1"/>
    <col min="5" max="5" width="11" style="1" customWidth="1"/>
    <col min="6" max="6" width="10.42578125" style="1" customWidth="1"/>
    <col min="7" max="7" width="3.28515625" style="1" bestFit="1" customWidth="1"/>
    <col min="8" max="8" width="3.28515625" style="1" customWidth="1"/>
    <col min="9" max="21" width="3.28515625" style="1" bestFit="1" customWidth="1"/>
    <col min="22" max="22" width="3.28515625" style="1" customWidth="1"/>
    <col min="23" max="23" width="3.28515625" style="1" bestFit="1" customWidth="1"/>
    <col min="24" max="24" width="4.28515625" style="1" customWidth="1"/>
    <col min="25" max="25" width="52.7109375" style="1" customWidth="1"/>
    <col min="26" max="26" width="19.42578125" style="1" customWidth="1"/>
    <col min="27" max="16384" width="8.85546875" style="1"/>
  </cols>
  <sheetData>
    <row r="1" spans="1:25" ht="13.5" thickBot="1" x14ac:dyDescent="0.25">
      <c r="A1" s="7" t="s">
        <v>47</v>
      </c>
      <c r="B1" s="1"/>
      <c r="C1" s="38"/>
    </row>
    <row r="2" spans="1:25" x14ac:dyDescent="0.2">
      <c r="A2" s="713"/>
      <c r="B2" s="714"/>
      <c r="C2" s="714"/>
      <c r="D2" s="714"/>
      <c r="E2" s="714"/>
      <c r="F2" s="714"/>
      <c r="G2" s="714"/>
      <c r="H2" s="714"/>
      <c r="I2" s="714"/>
      <c r="J2" s="714"/>
      <c r="K2" s="714"/>
      <c r="L2" s="714"/>
      <c r="M2" s="714"/>
      <c r="N2" s="714"/>
      <c r="O2" s="714"/>
      <c r="P2" s="714"/>
      <c r="Q2" s="715"/>
      <c r="R2" s="698" t="s">
        <v>569</v>
      </c>
      <c r="S2" s="699"/>
      <c r="T2" s="699"/>
      <c r="U2" s="699"/>
      <c r="V2" s="699"/>
      <c r="W2" s="699"/>
      <c r="X2" s="699"/>
      <c r="Y2" s="205">
        <v>2019</v>
      </c>
    </row>
    <row r="3" spans="1:25" ht="13.5" thickBot="1" x14ac:dyDescent="0.25">
      <c r="A3" s="716"/>
      <c r="B3" s="717"/>
      <c r="C3" s="717"/>
      <c r="D3" s="717"/>
      <c r="E3" s="717"/>
      <c r="F3" s="717"/>
      <c r="G3" s="717"/>
      <c r="H3" s="717"/>
      <c r="I3" s="717"/>
      <c r="J3" s="717"/>
      <c r="K3" s="717"/>
      <c r="L3" s="717"/>
      <c r="M3" s="717"/>
      <c r="N3" s="717"/>
      <c r="O3" s="717"/>
      <c r="P3" s="717"/>
      <c r="Q3" s="718"/>
      <c r="R3" s="696" t="s">
        <v>1876</v>
      </c>
      <c r="S3" s="697"/>
      <c r="T3" s="697"/>
      <c r="U3" s="697"/>
      <c r="V3" s="697"/>
      <c r="W3" s="697"/>
      <c r="X3" s="697"/>
      <c r="Y3" s="208" t="s">
        <v>1877</v>
      </c>
    </row>
    <row r="4" spans="1:25" ht="25.5" customHeight="1" x14ac:dyDescent="0.2">
      <c r="A4" s="694" t="s">
        <v>0</v>
      </c>
      <c r="B4" s="703" t="s">
        <v>8</v>
      </c>
      <c r="C4" s="705" t="s">
        <v>1</v>
      </c>
      <c r="D4" s="706" t="s">
        <v>5</v>
      </c>
      <c r="E4" s="703" t="s">
        <v>18</v>
      </c>
      <c r="F4" s="708" t="s">
        <v>9</v>
      </c>
      <c r="G4" s="700" t="s">
        <v>42</v>
      </c>
      <c r="H4" s="701"/>
      <c r="I4" s="702"/>
      <c r="J4" s="711" t="s">
        <v>19</v>
      </c>
      <c r="K4" s="703"/>
      <c r="L4" s="712"/>
      <c r="M4" s="694" t="s">
        <v>20</v>
      </c>
      <c r="N4" s="706"/>
      <c r="O4" s="710"/>
      <c r="P4" s="694" t="s">
        <v>21</v>
      </c>
      <c r="Q4" s="706"/>
      <c r="R4" s="710"/>
      <c r="S4" s="694" t="s">
        <v>22</v>
      </c>
      <c r="T4" s="706"/>
      <c r="U4" s="710"/>
      <c r="V4" s="694" t="s">
        <v>23</v>
      </c>
      <c r="W4" s="706"/>
      <c r="X4" s="710"/>
      <c r="Y4" s="609" t="s">
        <v>4</v>
      </c>
    </row>
    <row r="5" spans="1:25" s="608" customFormat="1" ht="27" thickBot="1" x14ac:dyDescent="0.25">
      <c r="A5" s="695"/>
      <c r="B5" s="704"/>
      <c r="C5" s="704"/>
      <c r="D5" s="704"/>
      <c r="E5" s="707"/>
      <c r="F5" s="709"/>
      <c r="G5" s="610">
        <v>2017</v>
      </c>
      <c r="H5" s="611">
        <v>2018</v>
      </c>
      <c r="I5" s="612">
        <v>2019</v>
      </c>
      <c r="J5" s="610">
        <v>2017</v>
      </c>
      <c r="K5" s="611">
        <v>2018</v>
      </c>
      <c r="L5" s="612">
        <v>2019</v>
      </c>
      <c r="M5" s="610">
        <v>2017</v>
      </c>
      <c r="N5" s="611">
        <v>2018</v>
      </c>
      <c r="O5" s="612">
        <v>2019</v>
      </c>
      <c r="P5" s="610">
        <v>2017</v>
      </c>
      <c r="Q5" s="611">
        <v>2018</v>
      </c>
      <c r="R5" s="612">
        <v>2019</v>
      </c>
      <c r="S5" s="610">
        <v>2017</v>
      </c>
      <c r="T5" s="611">
        <v>2018</v>
      </c>
      <c r="U5" s="612">
        <v>2019</v>
      </c>
      <c r="V5" s="610">
        <v>2017</v>
      </c>
      <c r="W5" s="611">
        <v>2018</v>
      </c>
      <c r="X5" s="612">
        <v>2019</v>
      </c>
      <c r="Y5" s="613"/>
    </row>
    <row r="6" spans="1:25" ht="30.75" customHeight="1" thickTop="1" x14ac:dyDescent="0.2">
      <c r="A6" s="209" t="s">
        <v>277</v>
      </c>
      <c r="B6" s="210" t="s">
        <v>395</v>
      </c>
      <c r="C6" s="209" t="s">
        <v>391</v>
      </c>
      <c r="D6" s="209" t="s">
        <v>74</v>
      </c>
      <c r="E6" s="209" t="s">
        <v>396</v>
      </c>
      <c r="F6" s="211" t="s">
        <v>196</v>
      </c>
      <c r="G6" s="212" t="s">
        <v>150</v>
      </c>
      <c r="H6" s="209" t="s">
        <v>150</v>
      </c>
      <c r="I6" s="213" t="s">
        <v>150</v>
      </c>
      <c r="J6" s="213" t="s">
        <v>150</v>
      </c>
      <c r="K6" s="213" t="s">
        <v>150</v>
      </c>
      <c r="L6" s="213" t="s">
        <v>150</v>
      </c>
      <c r="M6" s="212" t="s">
        <v>150</v>
      </c>
      <c r="N6" s="209" t="s">
        <v>150</v>
      </c>
      <c r="O6" s="213" t="s">
        <v>150</v>
      </c>
      <c r="P6" s="212" t="s">
        <v>150</v>
      </c>
      <c r="Q6" s="209" t="s">
        <v>150</v>
      </c>
      <c r="R6" s="213" t="s">
        <v>150</v>
      </c>
      <c r="S6" s="212" t="s">
        <v>150</v>
      </c>
      <c r="T6" s="209" t="s">
        <v>150</v>
      </c>
      <c r="U6" s="213" t="s">
        <v>150</v>
      </c>
      <c r="V6" s="214"/>
      <c r="W6" s="215"/>
      <c r="X6" s="216"/>
      <c r="Y6" s="217" t="s">
        <v>570</v>
      </c>
    </row>
    <row r="7" spans="1:25" x14ac:dyDescent="0.2">
      <c r="A7" s="209" t="s">
        <v>277</v>
      </c>
      <c r="B7" s="210" t="s">
        <v>373</v>
      </c>
      <c r="C7" s="209" t="s">
        <v>391</v>
      </c>
      <c r="D7" s="209" t="s">
        <v>7</v>
      </c>
      <c r="E7" s="209" t="s">
        <v>397</v>
      </c>
      <c r="F7" s="211" t="s">
        <v>196</v>
      </c>
      <c r="G7" s="212" t="s">
        <v>150</v>
      </c>
      <c r="H7" s="209" t="s">
        <v>150</v>
      </c>
      <c r="I7" s="213" t="s">
        <v>150</v>
      </c>
      <c r="J7" s="218"/>
      <c r="K7" s="211"/>
      <c r="L7" s="213"/>
      <c r="M7" s="212" t="s">
        <v>150</v>
      </c>
      <c r="N7" s="209" t="s">
        <v>150</v>
      </c>
      <c r="O7" s="213" t="s">
        <v>150</v>
      </c>
      <c r="P7" s="212"/>
      <c r="Q7" s="209"/>
      <c r="R7" s="213"/>
      <c r="S7" s="212"/>
      <c r="T7" s="209"/>
      <c r="U7" s="213"/>
      <c r="V7" s="214"/>
      <c r="W7" s="215"/>
      <c r="X7" s="216"/>
      <c r="Y7" s="217"/>
    </row>
    <row r="8" spans="1:25" x14ac:dyDescent="0.2">
      <c r="A8" s="209" t="s">
        <v>277</v>
      </c>
      <c r="B8" s="210" t="s">
        <v>399</v>
      </c>
      <c r="C8" s="209" t="s">
        <v>391</v>
      </c>
      <c r="D8" s="209" t="s">
        <v>7</v>
      </c>
      <c r="E8" s="209" t="s">
        <v>396</v>
      </c>
      <c r="F8" s="148" t="s">
        <v>571</v>
      </c>
      <c r="G8" s="219" t="s">
        <v>150</v>
      </c>
      <c r="H8" s="220" t="s">
        <v>150</v>
      </c>
      <c r="I8" s="221" t="s">
        <v>150</v>
      </c>
      <c r="J8" s="222"/>
      <c r="K8" s="223"/>
      <c r="L8" s="224"/>
      <c r="M8" s="219" t="s">
        <v>150</v>
      </c>
      <c r="N8" s="220" t="s">
        <v>150</v>
      </c>
      <c r="O8" s="221" t="s">
        <v>150</v>
      </c>
      <c r="P8" s="219" t="s">
        <v>150</v>
      </c>
      <c r="Q8" s="220" t="s">
        <v>150</v>
      </c>
      <c r="R8" s="221" t="s">
        <v>150</v>
      </c>
      <c r="S8" s="219"/>
      <c r="T8" s="220"/>
      <c r="U8" s="221"/>
      <c r="V8" s="214"/>
      <c r="W8" s="215"/>
      <c r="X8" s="216"/>
      <c r="Y8" s="217" t="s">
        <v>572</v>
      </c>
    </row>
    <row r="9" spans="1:25" x14ac:dyDescent="0.2">
      <c r="A9" s="209" t="s">
        <v>277</v>
      </c>
      <c r="B9" s="210" t="s">
        <v>409</v>
      </c>
      <c r="C9" s="209" t="s">
        <v>391</v>
      </c>
      <c r="D9" s="209" t="s">
        <v>74</v>
      </c>
      <c r="E9" s="209" t="s">
        <v>400</v>
      </c>
      <c r="F9" s="148" t="s">
        <v>571</v>
      </c>
      <c r="G9" s="219" t="s">
        <v>150</v>
      </c>
      <c r="H9" s="220" t="s">
        <v>150</v>
      </c>
      <c r="I9" s="221" t="s">
        <v>150</v>
      </c>
      <c r="J9" s="222"/>
      <c r="K9" s="223"/>
      <c r="L9" s="224"/>
      <c r="M9" s="219" t="s">
        <v>150</v>
      </c>
      <c r="N9" s="220" t="s">
        <v>150</v>
      </c>
      <c r="O9" s="221" t="s">
        <v>150</v>
      </c>
      <c r="P9" s="219" t="s">
        <v>150</v>
      </c>
      <c r="Q9" s="220" t="s">
        <v>150</v>
      </c>
      <c r="R9" s="221" t="s">
        <v>150</v>
      </c>
      <c r="S9" s="219"/>
      <c r="T9" s="220"/>
      <c r="U9" s="221"/>
      <c r="V9" s="214"/>
      <c r="W9" s="215"/>
      <c r="X9" s="216"/>
      <c r="Y9" s="217"/>
    </row>
    <row r="10" spans="1:25" x14ac:dyDescent="0.2">
      <c r="A10" s="209" t="s">
        <v>277</v>
      </c>
      <c r="B10" s="210" t="s">
        <v>324</v>
      </c>
      <c r="C10" s="209" t="s">
        <v>391</v>
      </c>
      <c r="D10" s="209" t="s">
        <v>74</v>
      </c>
      <c r="E10" s="209" t="s">
        <v>411</v>
      </c>
      <c r="F10" s="211" t="s">
        <v>573</v>
      </c>
      <c r="G10" s="212"/>
      <c r="H10" s="209"/>
      <c r="I10" s="213"/>
      <c r="J10" s="213"/>
      <c r="K10" s="213"/>
      <c r="L10" s="213"/>
      <c r="M10" s="212"/>
      <c r="N10" s="209"/>
      <c r="O10" s="213"/>
      <c r="P10" s="212"/>
      <c r="Q10" s="209"/>
      <c r="R10" s="213"/>
      <c r="S10" s="212"/>
      <c r="T10" s="209"/>
      <c r="U10" s="213"/>
      <c r="V10" s="214"/>
      <c r="W10" s="215"/>
      <c r="X10" s="216"/>
      <c r="Y10" s="217" t="s">
        <v>750</v>
      </c>
    </row>
    <row r="11" spans="1:25" x14ac:dyDescent="0.2">
      <c r="A11" s="209" t="s">
        <v>277</v>
      </c>
      <c r="B11" s="210" t="s">
        <v>324</v>
      </c>
      <c r="C11" s="209" t="s">
        <v>391</v>
      </c>
      <c r="D11" s="209" t="s">
        <v>74</v>
      </c>
      <c r="E11" s="209" t="s">
        <v>413</v>
      </c>
      <c r="F11" s="211" t="s">
        <v>573</v>
      </c>
      <c r="G11" s="212" t="s">
        <v>150</v>
      </c>
      <c r="H11" s="209" t="s">
        <v>150</v>
      </c>
      <c r="I11" s="213" t="s">
        <v>150</v>
      </c>
      <c r="J11" s="213" t="s">
        <v>150</v>
      </c>
      <c r="K11" s="213" t="s">
        <v>150</v>
      </c>
      <c r="L11" s="213" t="s">
        <v>150</v>
      </c>
      <c r="M11" s="212" t="s">
        <v>150</v>
      </c>
      <c r="N11" s="209" t="s">
        <v>150</v>
      </c>
      <c r="O11" s="213" t="s">
        <v>150</v>
      </c>
      <c r="P11" s="212" t="s">
        <v>150</v>
      </c>
      <c r="Q11" s="209" t="s">
        <v>150</v>
      </c>
      <c r="R11" s="213" t="s">
        <v>150</v>
      </c>
      <c r="S11" s="212" t="s">
        <v>150</v>
      </c>
      <c r="T11" s="209" t="s">
        <v>150</v>
      </c>
      <c r="U11" s="213" t="s">
        <v>150</v>
      </c>
      <c r="V11" s="214"/>
      <c r="W11" s="215"/>
      <c r="X11" s="216"/>
      <c r="Y11" s="217"/>
    </row>
    <row r="12" spans="1:25" x14ac:dyDescent="0.2">
      <c r="A12" s="209" t="s">
        <v>277</v>
      </c>
      <c r="B12" s="210" t="s">
        <v>324</v>
      </c>
      <c r="C12" s="209" t="s">
        <v>391</v>
      </c>
      <c r="D12" s="209" t="s">
        <v>74</v>
      </c>
      <c r="E12" s="209" t="s">
        <v>415</v>
      </c>
      <c r="F12" s="211" t="s">
        <v>573</v>
      </c>
      <c r="G12" s="212" t="s">
        <v>150</v>
      </c>
      <c r="H12" s="209" t="s">
        <v>150</v>
      </c>
      <c r="I12" s="213" t="s">
        <v>150</v>
      </c>
      <c r="J12" s="213" t="s">
        <v>150</v>
      </c>
      <c r="K12" s="213" t="s">
        <v>150</v>
      </c>
      <c r="L12" s="213" t="s">
        <v>150</v>
      </c>
      <c r="M12" s="212" t="s">
        <v>150</v>
      </c>
      <c r="N12" s="209" t="s">
        <v>150</v>
      </c>
      <c r="O12" s="213" t="s">
        <v>150</v>
      </c>
      <c r="P12" s="212" t="s">
        <v>150</v>
      </c>
      <c r="Q12" s="209" t="s">
        <v>150</v>
      </c>
      <c r="R12" s="213" t="s">
        <v>150</v>
      </c>
      <c r="S12" s="212" t="s">
        <v>150</v>
      </c>
      <c r="T12" s="209" t="s">
        <v>150</v>
      </c>
      <c r="U12" s="213" t="s">
        <v>150</v>
      </c>
      <c r="V12" s="214"/>
      <c r="W12" s="215"/>
      <c r="X12" s="216"/>
      <c r="Y12" s="217"/>
    </row>
    <row r="13" spans="1:25" x14ac:dyDescent="0.2">
      <c r="A13" s="209" t="s">
        <v>277</v>
      </c>
      <c r="B13" s="210" t="s">
        <v>324</v>
      </c>
      <c r="C13" s="209" t="s">
        <v>391</v>
      </c>
      <c r="D13" s="209" t="s">
        <v>74</v>
      </c>
      <c r="E13" s="209" t="s">
        <v>416</v>
      </c>
      <c r="F13" s="211" t="s">
        <v>573</v>
      </c>
      <c r="G13" s="212" t="s">
        <v>150</v>
      </c>
      <c r="H13" s="209" t="s">
        <v>150</v>
      </c>
      <c r="I13" s="213" t="s">
        <v>150</v>
      </c>
      <c r="J13" s="213" t="s">
        <v>150</v>
      </c>
      <c r="K13" s="213" t="s">
        <v>150</v>
      </c>
      <c r="L13" s="213" t="s">
        <v>150</v>
      </c>
      <c r="M13" s="212" t="s">
        <v>150</v>
      </c>
      <c r="N13" s="209" t="s">
        <v>150</v>
      </c>
      <c r="O13" s="213" t="s">
        <v>150</v>
      </c>
      <c r="P13" s="212" t="s">
        <v>150</v>
      </c>
      <c r="Q13" s="209" t="s">
        <v>150</v>
      </c>
      <c r="R13" s="213" t="s">
        <v>150</v>
      </c>
      <c r="S13" s="212" t="s">
        <v>150</v>
      </c>
      <c r="T13" s="209" t="s">
        <v>150</v>
      </c>
      <c r="U13" s="213" t="s">
        <v>150</v>
      </c>
      <c r="V13" s="214"/>
      <c r="W13" s="215"/>
      <c r="X13" s="216"/>
      <c r="Y13" s="195" t="s">
        <v>417</v>
      </c>
    </row>
    <row r="14" spans="1:25" x14ac:dyDescent="0.2">
      <c r="A14" s="209" t="s">
        <v>277</v>
      </c>
      <c r="B14" s="210" t="s">
        <v>75</v>
      </c>
      <c r="C14" s="209" t="s">
        <v>391</v>
      </c>
      <c r="D14" s="209" t="s">
        <v>74</v>
      </c>
      <c r="E14" s="209" t="s">
        <v>394</v>
      </c>
      <c r="F14" s="211" t="s">
        <v>573</v>
      </c>
      <c r="G14" s="212" t="s">
        <v>150</v>
      </c>
      <c r="H14" s="209" t="s">
        <v>150</v>
      </c>
      <c r="I14" s="213" t="s">
        <v>150</v>
      </c>
      <c r="J14" s="213" t="s">
        <v>150</v>
      </c>
      <c r="K14" s="213" t="s">
        <v>150</v>
      </c>
      <c r="L14" s="213" t="s">
        <v>150</v>
      </c>
      <c r="M14" s="212" t="s">
        <v>150</v>
      </c>
      <c r="N14" s="209" t="s">
        <v>150</v>
      </c>
      <c r="O14" s="213" t="s">
        <v>150</v>
      </c>
      <c r="P14" s="212" t="s">
        <v>150</v>
      </c>
      <c r="Q14" s="209" t="s">
        <v>150</v>
      </c>
      <c r="R14" s="213" t="s">
        <v>150</v>
      </c>
      <c r="S14" s="212" t="s">
        <v>150</v>
      </c>
      <c r="T14" s="209" t="s">
        <v>150</v>
      </c>
      <c r="U14" s="213" t="s">
        <v>150</v>
      </c>
      <c r="V14" s="214"/>
      <c r="W14" s="215"/>
      <c r="X14" s="216"/>
      <c r="Y14" s="217"/>
    </row>
    <row r="15" spans="1:25" x14ac:dyDescent="0.2">
      <c r="A15" s="209" t="s">
        <v>277</v>
      </c>
      <c r="B15" s="210" t="s">
        <v>75</v>
      </c>
      <c r="C15" s="209" t="s">
        <v>391</v>
      </c>
      <c r="D15" s="209" t="s">
        <v>74</v>
      </c>
      <c r="E15" s="209" t="s">
        <v>415</v>
      </c>
      <c r="F15" s="211" t="s">
        <v>573</v>
      </c>
      <c r="G15" s="212" t="s">
        <v>150</v>
      </c>
      <c r="H15" s="209" t="s">
        <v>150</v>
      </c>
      <c r="I15" s="213" t="s">
        <v>150</v>
      </c>
      <c r="J15" s="213" t="s">
        <v>150</v>
      </c>
      <c r="K15" s="213" t="s">
        <v>150</v>
      </c>
      <c r="L15" s="213" t="s">
        <v>150</v>
      </c>
      <c r="M15" s="212" t="s">
        <v>150</v>
      </c>
      <c r="N15" s="209" t="s">
        <v>150</v>
      </c>
      <c r="O15" s="213" t="s">
        <v>150</v>
      </c>
      <c r="P15" s="212" t="s">
        <v>150</v>
      </c>
      <c r="Q15" s="209" t="s">
        <v>150</v>
      </c>
      <c r="R15" s="213" t="s">
        <v>150</v>
      </c>
      <c r="S15" s="212" t="s">
        <v>150</v>
      </c>
      <c r="T15" s="209" t="s">
        <v>150</v>
      </c>
      <c r="U15" s="213" t="s">
        <v>150</v>
      </c>
      <c r="V15" s="214"/>
      <c r="W15" s="215"/>
      <c r="X15" s="216"/>
      <c r="Y15" s="217"/>
    </row>
    <row r="16" spans="1:25" x14ac:dyDescent="0.2">
      <c r="A16" s="209" t="s">
        <v>277</v>
      </c>
      <c r="B16" s="210" t="s">
        <v>75</v>
      </c>
      <c r="C16" s="209" t="s">
        <v>391</v>
      </c>
      <c r="D16" s="209" t="s">
        <v>74</v>
      </c>
      <c r="E16" s="209" t="s">
        <v>442</v>
      </c>
      <c r="F16" s="211" t="s">
        <v>573</v>
      </c>
      <c r="G16" s="212" t="s">
        <v>150</v>
      </c>
      <c r="H16" s="209" t="s">
        <v>150</v>
      </c>
      <c r="I16" s="213" t="s">
        <v>150</v>
      </c>
      <c r="J16" s="213" t="s">
        <v>150</v>
      </c>
      <c r="K16" s="213" t="s">
        <v>150</v>
      </c>
      <c r="L16" s="213" t="s">
        <v>150</v>
      </c>
      <c r="M16" s="212" t="s">
        <v>150</v>
      </c>
      <c r="N16" s="209" t="s">
        <v>150</v>
      </c>
      <c r="O16" s="213" t="s">
        <v>150</v>
      </c>
      <c r="P16" s="212" t="s">
        <v>150</v>
      </c>
      <c r="Q16" s="209" t="s">
        <v>150</v>
      </c>
      <c r="R16" s="213" t="s">
        <v>150</v>
      </c>
      <c r="S16" s="212" t="s">
        <v>150</v>
      </c>
      <c r="T16" s="209" t="s">
        <v>150</v>
      </c>
      <c r="U16" s="213" t="s">
        <v>150</v>
      </c>
      <c r="V16" s="214"/>
      <c r="W16" s="215"/>
      <c r="X16" s="216"/>
      <c r="Y16" s="217"/>
    </row>
    <row r="17" spans="1:25" x14ac:dyDescent="0.2">
      <c r="A17" s="209" t="s">
        <v>277</v>
      </c>
      <c r="B17" s="210" t="s">
        <v>353</v>
      </c>
      <c r="C17" s="209" t="s">
        <v>391</v>
      </c>
      <c r="D17" s="209" t="s">
        <v>7</v>
      </c>
      <c r="E17" s="209" t="s">
        <v>443</v>
      </c>
      <c r="F17" s="211" t="s">
        <v>196</v>
      </c>
      <c r="G17" s="212" t="s">
        <v>150</v>
      </c>
      <c r="H17" s="209" t="s">
        <v>150</v>
      </c>
      <c r="I17" s="213" t="s">
        <v>150</v>
      </c>
      <c r="J17" s="225"/>
      <c r="K17" s="226"/>
      <c r="L17" s="282"/>
      <c r="M17" s="212" t="s">
        <v>150</v>
      </c>
      <c r="N17" s="209" t="s">
        <v>150</v>
      </c>
      <c r="O17" s="213" t="s">
        <v>150</v>
      </c>
      <c r="P17" s="212" t="s">
        <v>150</v>
      </c>
      <c r="Q17" s="209" t="s">
        <v>150</v>
      </c>
      <c r="R17" s="213" t="s">
        <v>150</v>
      </c>
      <c r="S17" s="212"/>
      <c r="T17" s="209"/>
      <c r="U17" s="213"/>
      <c r="V17" s="214"/>
      <c r="W17" s="215"/>
      <c r="X17" s="216"/>
      <c r="Y17" s="217"/>
    </row>
    <row r="18" spans="1:25" x14ac:dyDescent="0.2">
      <c r="A18" s="209" t="s">
        <v>277</v>
      </c>
      <c r="B18" s="210" t="s">
        <v>444</v>
      </c>
      <c r="C18" s="209" t="s">
        <v>391</v>
      </c>
      <c r="D18" s="209" t="s">
        <v>7</v>
      </c>
      <c r="E18" s="209" t="s">
        <v>400</v>
      </c>
      <c r="F18" s="148" t="s">
        <v>571</v>
      </c>
      <c r="G18" s="219" t="s">
        <v>150</v>
      </c>
      <c r="H18" s="220" t="s">
        <v>150</v>
      </c>
      <c r="I18" s="221" t="s">
        <v>150</v>
      </c>
      <c r="J18" s="222"/>
      <c r="K18" s="223"/>
      <c r="L18" s="224"/>
      <c r="M18" s="219" t="s">
        <v>150</v>
      </c>
      <c r="N18" s="220" t="s">
        <v>150</v>
      </c>
      <c r="O18" s="221" t="s">
        <v>150</v>
      </c>
      <c r="P18" s="219" t="s">
        <v>150</v>
      </c>
      <c r="Q18" s="220" t="s">
        <v>150</v>
      </c>
      <c r="R18" s="221" t="s">
        <v>150</v>
      </c>
      <c r="S18" s="220"/>
      <c r="T18" s="220"/>
      <c r="U18" s="221"/>
      <c r="V18" s="214"/>
      <c r="W18" s="215"/>
      <c r="X18" s="216"/>
      <c r="Y18" s="217"/>
    </row>
    <row r="19" spans="1:25" x14ac:dyDescent="0.2">
      <c r="A19" s="209" t="s">
        <v>277</v>
      </c>
      <c r="B19" s="210" t="s">
        <v>356</v>
      </c>
      <c r="C19" s="209" t="s">
        <v>391</v>
      </c>
      <c r="D19" s="209" t="s">
        <v>74</v>
      </c>
      <c r="E19" s="209" t="s">
        <v>451</v>
      </c>
      <c r="F19" s="211" t="s">
        <v>196</v>
      </c>
      <c r="G19" s="212" t="s">
        <v>150</v>
      </c>
      <c r="H19" s="209" t="s">
        <v>150</v>
      </c>
      <c r="I19" s="213" t="s">
        <v>150</v>
      </c>
      <c r="J19" s="213" t="s">
        <v>150</v>
      </c>
      <c r="K19" s="213" t="s">
        <v>150</v>
      </c>
      <c r="L19" s="213" t="s">
        <v>150</v>
      </c>
      <c r="M19" s="212" t="s">
        <v>150</v>
      </c>
      <c r="N19" s="209" t="s">
        <v>150</v>
      </c>
      <c r="O19" s="213" t="s">
        <v>150</v>
      </c>
      <c r="P19" s="212" t="s">
        <v>150</v>
      </c>
      <c r="Q19" s="209" t="s">
        <v>150</v>
      </c>
      <c r="R19" s="213" t="s">
        <v>150</v>
      </c>
      <c r="S19" s="212" t="s">
        <v>150</v>
      </c>
      <c r="T19" s="209" t="s">
        <v>150</v>
      </c>
      <c r="U19" s="213" t="s">
        <v>150</v>
      </c>
      <c r="V19" s="214"/>
      <c r="W19" s="215"/>
      <c r="X19" s="216"/>
      <c r="Y19" s="217"/>
    </row>
    <row r="20" spans="1:25" x14ac:dyDescent="0.2">
      <c r="A20" s="209" t="s">
        <v>277</v>
      </c>
      <c r="B20" s="210" t="s">
        <v>356</v>
      </c>
      <c r="C20" s="209" t="s">
        <v>391</v>
      </c>
      <c r="D20" s="209" t="s">
        <v>74</v>
      </c>
      <c r="E20" s="209" t="s">
        <v>452</v>
      </c>
      <c r="F20" s="211" t="s">
        <v>196</v>
      </c>
      <c r="G20" s="212" t="s">
        <v>150</v>
      </c>
      <c r="H20" s="209" t="s">
        <v>150</v>
      </c>
      <c r="I20" s="213" t="s">
        <v>150</v>
      </c>
      <c r="J20" s="213" t="s">
        <v>150</v>
      </c>
      <c r="K20" s="213" t="s">
        <v>150</v>
      </c>
      <c r="L20" s="213" t="s">
        <v>150</v>
      </c>
      <c r="M20" s="212" t="s">
        <v>150</v>
      </c>
      <c r="N20" s="209" t="s">
        <v>150</v>
      </c>
      <c r="O20" s="213" t="s">
        <v>150</v>
      </c>
      <c r="P20" s="212" t="s">
        <v>150</v>
      </c>
      <c r="Q20" s="209" t="s">
        <v>150</v>
      </c>
      <c r="R20" s="213" t="s">
        <v>150</v>
      </c>
      <c r="S20" s="212" t="s">
        <v>150</v>
      </c>
      <c r="T20" s="209" t="s">
        <v>150</v>
      </c>
      <c r="U20" s="213" t="s">
        <v>150</v>
      </c>
      <c r="V20" s="214"/>
      <c r="W20" s="215"/>
      <c r="X20" s="216"/>
      <c r="Y20" s="217"/>
    </row>
    <row r="21" spans="1:25" x14ac:dyDescent="0.2">
      <c r="A21" s="209" t="s">
        <v>277</v>
      </c>
      <c r="B21" s="210" t="s">
        <v>358</v>
      </c>
      <c r="C21" s="209" t="s">
        <v>391</v>
      </c>
      <c r="D21" s="209" t="s">
        <v>74</v>
      </c>
      <c r="E21" s="209" t="s">
        <v>458</v>
      </c>
      <c r="F21" s="211" t="s">
        <v>574</v>
      </c>
      <c r="G21" s="212" t="s">
        <v>575</v>
      </c>
      <c r="H21" s="212" t="s">
        <v>575</v>
      </c>
      <c r="I21" s="212" t="s">
        <v>575</v>
      </c>
      <c r="J21" s="212" t="s">
        <v>575</v>
      </c>
      <c r="K21" s="212" t="s">
        <v>575</v>
      </c>
      <c r="L21" s="212" t="s">
        <v>575</v>
      </c>
      <c r="M21" s="212" t="s">
        <v>575</v>
      </c>
      <c r="N21" s="212" t="s">
        <v>575</v>
      </c>
      <c r="O21" s="212" t="s">
        <v>575</v>
      </c>
      <c r="P21" s="212" t="s">
        <v>196</v>
      </c>
      <c r="Q21" s="212" t="s">
        <v>196</v>
      </c>
      <c r="R21" s="212" t="s">
        <v>196</v>
      </c>
      <c r="S21" s="212" t="s">
        <v>196</v>
      </c>
      <c r="T21" s="212" t="s">
        <v>196</v>
      </c>
      <c r="U21" s="212" t="s">
        <v>196</v>
      </c>
      <c r="V21" s="214"/>
      <c r="W21" s="215"/>
      <c r="X21" s="216"/>
      <c r="Y21" s="217" t="s">
        <v>576</v>
      </c>
    </row>
    <row r="22" spans="1:25" x14ac:dyDescent="0.2">
      <c r="A22" s="209" t="s">
        <v>277</v>
      </c>
      <c r="B22" s="210" t="s">
        <v>358</v>
      </c>
      <c r="C22" s="209" t="s">
        <v>391</v>
      </c>
      <c r="D22" s="209" t="s">
        <v>74</v>
      </c>
      <c r="E22" s="209" t="s">
        <v>459</v>
      </c>
      <c r="F22" s="211" t="s">
        <v>574</v>
      </c>
      <c r="G22" s="212" t="s">
        <v>575</v>
      </c>
      <c r="H22" s="212" t="s">
        <v>575</v>
      </c>
      <c r="I22" s="212" t="s">
        <v>575</v>
      </c>
      <c r="J22" s="212" t="s">
        <v>575</v>
      </c>
      <c r="K22" s="212" t="s">
        <v>575</v>
      </c>
      <c r="L22" s="212" t="s">
        <v>575</v>
      </c>
      <c r="M22" s="212" t="s">
        <v>575</v>
      </c>
      <c r="N22" s="212" t="s">
        <v>575</v>
      </c>
      <c r="O22" s="212" t="s">
        <v>575</v>
      </c>
      <c r="P22" s="212" t="s">
        <v>196</v>
      </c>
      <c r="Q22" s="212" t="s">
        <v>196</v>
      </c>
      <c r="R22" s="212" t="s">
        <v>196</v>
      </c>
      <c r="S22" s="212" t="s">
        <v>196</v>
      </c>
      <c r="T22" s="212" t="s">
        <v>196</v>
      </c>
      <c r="U22" s="212" t="s">
        <v>196</v>
      </c>
      <c r="V22" s="214"/>
      <c r="W22" s="215"/>
      <c r="X22" s="216"/>
      <c r="Y22" s="217" t="s">
        <v>576</v>
      </c>
    </row>
    <row r="23" spans="1:25" x14ac:dyDescent="0.2">
      <c r="A23" s="209" t="s">
        <v>277</v>
      </c>
      <c r="B23" s="210" t="s">
        <v>461</v>
      </c>
      <c r="C23" s="209" t="s">
        <v>391</v>
      </c>
      <c r="D23" s="209" t="s">
        <v>74</v>
      </c>
      <c r="E23" s="209" t="s">
        <v>458</v>
      </c>
      <c r="F23" s="211" t="s">
        <v>574</v>
      </c>
      <c r="G23" s="212" t="s">
        <v>575</v>
      </c>
      <c r="H23" s="212" t="s">
        <v>575</v>
      </c>
      <c r="I23" s="212" t="s">
        <v>575</v>
      </c>
      <c r="J23" s="212" t="s">
        <v>575</v>
      </c>
      <c r="K23" s="212" t="s">
        <v>575</v>
      </c>
      <c r="L23" s="212" t="s">
        <v>575</v>
      </c>
      <c r="M23" s="212" t="s">
        <v>575</v>
      </c>
      <c r="N23" s="212" t="s">
        <v>575</v>
      </c>
      <c r="O23" s="212" t="s">
        <v>575</v>
      </c>
      <c r="P23" s="212" t="s">
        <v>196</v>
      </c>
      <c r="Q23" s="212" t="s">
        <v>196</v>
      </c>
      <c r="R23" s="212" t="s">
        <v>196</v>
      </c>
      <c r="S23" s="212" t="s">
        <v>196</v>
      </c>
      <c r="T23" s="212" t="s">
        <v>196</v>
      </c>
      <c r="U23" s="212" t="s">
        <v>196</v>
      </c>
      <c r="V23" s="214"/>
      <c r="W23" s="215"/>
      <c r="X23" s="216"/>
      <c r="Y23" s="217" t="s">
        <v>576</v>
      </c>
    </row>
    <row r="24" spans="1:25" x14ac:dyDescent="0.2">
      <c r="A24" s="209" t="s">
        <v>277</v>
      </c>
      <c r="B24" s="210" t="s">
        <v>461</v>
      </c>
      <c r="C24" s="209" t="s">
        <v>391</v>
      </c>
      <c r="D24" s="209" t="s">
        <v>74</v>
      </c>
      <c r="E24" s="209" t="s">
        <v>459</v>
      </c>
      <c r="F24" s="211" t="s">
        <v>574</v>
      </c>
      <c r="G24" s="212" t="s">
        <v>575</v>
      </c>
      <c r="H24" s="212" t="s">
        <v>575</v>
      </c>
      <c r="I24" s="212" t="s">
        <v>575</v>
      </c>
      <c r="J24" s="212" t="s">
        <v>575</v>
      </c>
      <c r="K24" s="212" t="s">
        <v>575</v>
      </c>
      <c r="L24" s="212" t="s">
        <v>575</v>
      </c>
      <c r="M24" s="212" t="s">
        <v>575</v>
      </c>
      <c r="N24" s="212" t="s">
        <v>575</v>
      </c>
      <c r="O24" s="212" t="s">
        <v>575</v>
      </c>
      <c r="P24" s="212" t="s">
        <v>196</v>
      </c>
      <c r="Q24" s="212" t="s">
        <v>196</v>
      </c>
      <c r="R24" s="212" t="s">
        <v>196</v>
      </c>
      <c r="S24" s="212" t="s">
        <v>196</v>
      </c>
      <c r="T24" s="212" t="s">
        <v>196</v>
      </c>
      <c r="U24" s="212" t="s">
        <v>196</v>
      </c>
      <c r="V24" s="214"/>
      <c r="W24" s="215"/>
      <c r="X24" s="216"/>
      <c r="Y24" s="217" t="s">
        <v>576</v>
      </c>
    </row>
    <row r="25" spans="1:25" x14ac:dyDescent="0.2">
      <c r="A25" s="209" t="s">
        <v>277</v>
      </c>
      <c r="B25" s="210" t="s">
        <v>329</v>
      </c>
      <c r="C25" s="209" t="s">
        <v>391</v>
      </c>
      <c r="D25" s="209" t="s">
        <v>74</v>
      </c>
      <c r="E25" s="209" t="s">
        <v>394</v>
      </c>
      <c r="F25" s="211" t="s">
        <v>574</v>
      </c>
      <c r="G25" s="212" t="s">
        <v>575</v>
      </c>
      <c r="H25" s="212" t="s">
        <v>575</v>
      </c>
      <c r="I25" s="212" t="s">
        <v>575</v>
      </c>
      <c r="J25" s="212" t="s">
        <v>575</v>
      </c>
      <c r="K25" s="212" t="s">
        <v>575</v>
      </c>
      <c r="L25" s="212" t="s">
        <v>575</v>
      </c>
      <c r="M25" s="212" t="s">
        <v>575</v>
      </c>
      <c r="N25" s="212" t="s">
        <v>575</v>
      </c>
      <c r="O25" s="212" t="s">
        <v>575</v>
      </c>
      <c r="P25" s="212" t="s">
        <v>196</v>
      </c>
      <c r="Q25" s="212" t="s">
        <v>196</v>
      </c>
      <c r="R25" s="212" t="s">
        <v>196</v>
      </c>
      <c r="S25" s="212" t="s">
        <v>196</v>
      </c>
      <c r="T25" s="212" t="s">
        <v>196</v>
      </c>
      <c r="U25" s="212" t="s">
        <v>196</v>
      </c>
      <c r="V25" s="214"/>
      <c r="W25" s="215"/>
      <c r="X25" s="216"/>
      <c r="Y25" s="217" t="s">
        <v>577</v>
      </c>
    </row>
    <row r="26" spans="1:25" x14ac:dyDescent="0.2">
      <c r="A26" s="209" t="s">
        <v>277</v>
      </c>
      <c r="B26" s="210" t="s">
        <v>329</v>
      </c>
      <c r="C26" s="209" t="s">
        <v>391</v>
      </c>
      <c r="D26" s="209" t="s">
        <v>74</v>
      </c>
      <c r="E26" s="209" t="s">
        <v>440</v>
      </c>
      <c r="F26" s="211" t="s">
        <v>574</v>
      </c>
      <c r="G26" s="212" t="s">
        <v>575</v>
      </c>
      <c r="H26" s="212" t="s">
        <v>575</v>
      </c>
      <c r="I26" s="212" t="s">
        <v>575</v>
      </c>
      <c r="J26" s="212" t="s">
        <v>575</v>
      </c>
      <c r="K26" s="212" t="s">
        <v>575</v>
      </c>
      <c r="L26" s="212" t="s">
        <v>575</v>
      </c>
      <c r="M26" s="212" t="s">
        <v>575</v>
      </c>
      <c r="N26" s="212" t="s">
        <v>575</v>
      </c>
      <c r="O26" s="212" t="s">
        <v>575</v>
      </c>
      <c r="P26" s="212"/>
      <c r="Q26" s="209"/>
      <c r="R26" s="213"/>
      <c r="S26" s="212"/>
      <c r="T26" s="209"/>
      <c r="U26" s="213"/>
      <c r="V26" s="214"/>
      <c r="W26" s="215"/>
      <c r="X26" s="216"/>
      <c r="Y26" s="217" t="s">
        <v>577</v>
      </c>
    </row>
    <row r="27" spans="1:25" x14ac:dyDescent="0.2">
      <c r="A27" s="209" t="s">
        <v>277</v>
      </c>
      <c r="B27" s="210" t="s">
        <v>329</v>
      </c>
      <c r="C27" s="209" t="s">
        <v>391</v>
      </c>
      <c r="D27" s="209" t="s">
        <v>74</v>
      </c>
      <c r="E27" s="209" t="s">
        <v>415</v>
      </c>
      <c r="F27" s="211" t="s">
        <v>574</v>
      </c>
      <c r="G27" s="212" t="s">
        <v>575</v>
      </c>
      <c r="H27" s="212" t="s">
        <v>575</v>
      </c>
      <c r="I27" s="212" t="s">
        <v>575</v>
      </c>
      <c r="J27" s="212" t="s">
        <v>575</v>
      </c>
      <c r="K27" s="212" t="s">
        <v>575</v>
      </c>
      <c r="L27" s="212" t="s">
        <v>575</v>
      </c>
      <c r="M27" s="212" t="s">
        <v>575</v>
      </c>
      <c r="N27" s="212" t="s">
        <v>575</v>
      </c>
      <c r="O27" s="212" t="s">
        <v>575</v>
      </c>
      <c r="P27" s="212" t="s">
        <v>196</v>
      </c>
      <c r="Q27" s="212" t="s">
        <v>196</v>
      </c>
      <c r="R27" s="212" t="s">
        <v>196</v>
      </c>
      <c r="S27" s="212" t="s">
        <v>196</v>
      </c>
      <c r="T27" s="212" t="s">
        <v>196</v>
      </c>
      <c r="U27" s="212" t="s">
        <v>196</v>
      </c>
      <c r="V27" s="214"/>
      <c r="W27" s="215"/>
      <c r="X27" s="216"/>
      <c r="Y27" s="217" t="s">
        <v>577</v>
      </c>
    </row>
    <row r="28" spans="1:25" x14ac:dyDescent="0.2">
      <c r="A28" s="209" t="s">
        <v>277</v>
      </c>
      <c r="B28" s="210" t="s">
        <v>329</v>
      </c>
      <c r="C28" s="209" t="s">
        <v>391</v>
      </c>
      <c r="D28" s="209" t="s">
        <v>74</v>
      </c>
      <c r="E28" s="209" t="s">
        <v>464</v>
      </c>
      <c r="F28" s="211" t="s">
        <v>574</v>
      </c>
      <c r="G28" s="212" t="s">
        <v>575</v>
      </c>
      <c r="H28" s="212" t="s">
        <v>575</v>
      </c>
      <c r="I28" s="212" t="s">
        <v>575</v>
      </c>
      <c r="J28" s="212" t="s">
        <v>575</v>
      </c>
      <c r="K28" s="212" t="s">
        <v>575</v>
      </c>
      <c r="L28" s="212" t="s">
        <v>575</v>
      </c>
      <c r="M28" s="212" t="s">
        <v>575</v>
      </c>
      <c r="N28" s="212" t="s">
        <v>575</v>
      </c>
      <c r="O28" s="212" t="s">
        <v>575</v>
      </c>
      <c r="P28" s="212" t="s">
        <v>196</v>
      </c>
      <c r="Q28" s="212" t="s">
        <v>196</v>
      </c>
      <c r="R28" s="212" t="s">
        <v>196</v>
      </c>
      <c r="S28" s="212" t="s">
        <v>196</v>
      </c>
      <c r="T28" s="212" t="s">
        <v>196</v>
      </c>
      <c r="U28" s="212" t="s">
        <v>196</v>
      </c>
      <c r="V28" s="214"/>
      <c r="W28" s="215"/>
      <c r="X28" s="216"/>
      <c r="Y28" s="217" t="s">
        <v>577</v>
      </c>
    </row>
    <row r="29" spans="1:25" x14ac:dyDescent="0.2">
      <c r="A29" s="209" t="s">
        <v>277</v>
      </c>
      <c r="B29" s="210" t="s">
        <v>361</v>
      </c>
      <c r="C29" s="209" t="s">
        <v>391</v>
      </c>
      <c r="D29" s="209" t="s">
        <v>74</v>
      </c>
      <c r="E29" s="209" t="s">
        <v>394</v>
      </c>
      <c r="F29" s="211" t="s">
        <v>574</v>
      </c>
      <c r="G29" s="212" t="s">
        <v>575</v>
      </c>
      <c r="H29" s="212" t="s">
        <v>575</v>
      </c>
      <c r="I29" s="212" t="s">
        <v>575</v>
      </c>
      <c r="J29" s="212" t="s">
        <v>575</v>
      </c>
      <c r="K29" s="212" t="s">
        <v>575</v>
      </c>
      <c r="L29" s="212" t="s">
        <v>575</v>
      </c>
      <c r="M29" s="212" t="s">
        <v>575</v>
      </c>
      <c r="N29" s="212" t="s">
        <v>575</v>
      </c>
      <c r="O29" s="212" t="s">
        <v>575</v>
      </c>
      <c r="P29" s="212" t="s">
        <v>196</v>
      </c>
      <c r="Q29" s="212" t="s">
        <v>196</v>
      </c>
      <c r="R29" s="212" t="s">
        <v>196</v>
      </c>
      <c r="S29" s="212" t="s">
        <v>196</v>
      </c>
      <c r="T29" s="212" t="s">
        <v>196</v>
      </c>
      <c r="U29" s="212" t="s">
        <v>196</v>
      </c>
      <c r="V29" s="214"/>
      <c r="W29" s="215"/>
      <c r="X29" s="216"/>
      <c r="Y29" s="217" t="s">
        <v>577</v>
      </c>
    </row>
    <row r="30" spans="1:25" x14ac:dyDescent="0.2">
      <c r="A30" s="209" t="s">
        <v>277</v>
      </c>
      <c r="B30" s="210" t="s">
        <v>361</v>
      </c>
      <c r="C30" s="209" t="s">
        <v>391</v>
      </c>
      <c r="D30" s="209" t="s">
        <v>74</v>
      </c>
      <c r="E30" s="209" t="s">
        <v>415</v>
      </c>
      <c r="F30" s="211" t="s">
        <v>574</v>
      </c>
      <c r="G30" s="212" t="s">
        <v>575</v>
      </c>
      <c r="H30" s="212" t="s">
        <v>575</v>
      </c>
      <c r="I30" s="212" t="s">
        <v>575</v>
      </c>
      <c r="J30" s="212" t="s">
        <v>575</v>
      </c>
      <c r="K30" s="212" t="s">
        <v>575</v>
      </c>
      <c r="L30" s="212" t="s">
        <v>575</v>
      </c>
      <c r="M30" s="212" t="s">
        <v>575</v>
      </c>
      <c r="N30" s="212" t="s">
        <v>575</v>
      </c>
      <c r="O30" s="212" t="s">
        <v>575</v>
      </c>
      <c r="P30" s="212" t="s">
        <v>196</v>
      </c>
      <c r="Q30" s="212" t="s">
        <v>196</v>
      </c>
      <c r="R30" s="212" t="s">
        <v>196</v>
      </c>
      <c r="S30" s="212" t="s">
        <v>196</v>
      </c>
      <c r="T30" s="212" t="s">
        <v>196</v>
      </c>
      <c r="U30" s="212" t="s">
        <v>196</v>
      </c>
      <c r="V30" s="214"/>
      <c r="W30" s="215"/>
      <c r="X30" s="216"/>
      <c r="Y30" s="217" t="s">
        <v>577</v>
      </c>
    </row>
    <row r="31" spans="1:25" x14ac:dyDescent="0.2">
      <c r="A31" s="209" t="s">
        <v>277</v>
      </c>
      <c r="B31" s="210" t="s">
        <v>361</v>
      </c>
      <c r="C31" s="209" t="s">
        <v>391</v>
      </c>
      <c r="D31" s="209" t="s">
        <v>74</v>
      </c>
      <c r="E31" s="209" t="s">
        <v>442</v>
      </c>
      <c r="F31" s="211" t="s">
        <v>574</v>
      </c>
      <c r="G31" s="212" t="s">
        <v>575</v>
      </c>
      <c r="H31" s="212" t="s">
        <v>575</v>
      </c>
      <c r="I31" s="212" t="s">
        <v>575</v>
      </c>
      <c r="J31" s="212" t="s">
        <v>575</v>
      </c>
      <c r="K31" s="212" t="s">
        <v>575</v>
      </c>
      <c r="L31" s="212" t="s">
        <v>575</v>
      </c>
      <c r="M31" s="212" t="s">
        <v>575</v>
      </c>
      <c r="N31" s="212" t="s">
        <v>575</v>
      </c>
      <c r="O31" s="212" t="s">
        <v>575</v>
      </c>
      <c r="P31" s="212" t="s">
        <v>196</v>
      </c>
      <c r="Q31" s="212" t="s">
        <v>196</v>
      </c>
      <c r="R31" s="212" t="s">
        <v>196</v>
      </c>
      <c r="S31" s="212" t="s">
        <v>196</v>
      </c>
      <c r="T31" s="212" t="s">
        <v>196</v>
      </c>
      <c r="U31" s="212" t="s">
        <v>196</v>
      </c>
      <c r="V31" s="214"/>
      <c r="W31" s="215"/>
      <c r="X31" s="216"/>
      <c r="Y31" s="217" t="s">
        <v>577</v>
      </c>
    </row>
    <row r="32" spans="1:25" x14ac:dyDescent="0.2">
      <c r="A32" s="209" t="s">
        <v>277</v>
      </c>
      <c r="B32" s="210" t="s">
        <v>362</v>
      </c>
      <c r="C32" s="209" t="s">
        <v>391</v>
      </c>
      <c r="D32" s="209" t="s">
        <v>74</v>
      </c>
      <c r="E32" s="209" t="s">
        <v>467</v>
      </c>
      <c r="F32" s="211" t="s">
        <v>574</v>
      </c>
      <c r="G32" s="212" t="s">
        <v>575</v>
      </c>
      <c r="H32" s="212" t="s">
        <v>575</v>
      </c>
      <c r="I32" s="212" t="s">
        <v>575</v>
      </c>
      <c r="J32" s="212" t="s">
        <v>575</v>
      </c>
      <c r="K32" s="212" t="s">
        <v>575</v>
      </c>
      <c r="L32" s="212" t="s">
        <v>575</v>
      </c>
      <c r="M32" s="212" t="s">
        <v>575</v>
      </c>
      <c r="N32" s="212" t="s">
        <v>575</v>
      </c>
      <c r="O32" s="212" t="s">
        <v>575</v>
      </c>
      <c r="P32" s="212" t="s">
        <v>196</v>
      </c>
      <c r="Q32" s="212" t="s">
        <v>196</v>
      </c>
      <c r="R32" s="212" t="s">
        <v>196</v>
      </c>
      <c r="S32" s="212" t="s">
        <v>196</v>
      </c>
      <c r="T32" s="212" t="s">
        <v>196</v>
      </c>
      <c r="U32" s="212" t="s">
        <v>196</v>
      </c>
      <c r="V32" s="214"/>
      <c r="W32" s="215"/>
      <c r="X32" s="216"/>
      <c r="Y32" s="217" t="s">
        <v>578</v>
      </c>
    </row>
    <row r="33" spans="1:25" x14ac:dyDescent="0.2">
      <c r="A33" s="209" t="s">
        <v>277</v>
      </c>
      <c r="B33" s="210" t="s">
        <v>330</v>
      </c>
      <c r="C33" s="209" t="s">
        <v>391</v>
      </c>
      <c r="D33" s="209" t="s">
        <v>74</v>
      </c>
      <c r="E33" s="209" t="s">
        <v>471</v>
      </c>
      <c r="F33" s="211" t="s">
        <v>573</v>
      </c>
      <c r="G33" s="212" t="s">
        <v>150</v>
      </c>
      <c r="H33" s="209" t="s">
        <v>150</v>
      </c>
      <c r="I33" s="213" t="s">
        <v>150</v>
      </c>
      <c r="J33" s="213" t="s">
        <v>150</v>
      </c>
      <c r="K33" s="213" t="s">
        <v>150</v>
      </c>
      <c r="L33" s="213" t="s">
        <v>150</v>
      </c>
      <c r="M33" s="212" t="s">
        <v>150</v>
      </c>
      <c r="N33" s="209" t="s">
        <v>150</v>
      </c>
      <c r="O33" s="213" t="s">
        <v>150</v>
      </c>
      <c r="P33" s="212" t="s">
        <v>150</v>
      </c>
      <c r="Q33" s="209" t="s">
        <v>150</v>
      </c>
      <c r="R33" s="213" t="s">
        <v>150</v>
      </c>
      <c r="S33" s="212" t="s">
        <v>150</v>
      </c>
      <c r="T33" s="209" t="s">
        <v>150</v>
      </c>
      <c r="U33" s="213" t="s">
        <v>150</v>
      </c>
      <c r="V33" s="214"/>
      <c r="W33" s="215"/>
      <c r="X33" s="216"/>
      <c r="Y33" s="217"/>
    </row>
    <row r="34" spans="1:25" x14ac:dyDescent="0.2">
      <c r="A34" s="209" t="s">
        <v>277</v>
      </c>
      <c r="B34" s="210" t="s">
        <v>370</v>
      </c>
      <c r="C34" s="209" t="s">
        <v>391</v>
      </c>
      <c r="D34" s="209" t="s">
        <v>74</v>
      </c>
      <c r="E34" s="209" t="s">
        <v>480</v>
      </c>
      <c r="F34" s="211" t="s">
        <v>574</v>
      </c>
      <c r="G34" s="212" t="s">
        <v>575</v>
      </c>
      <c r="H34" s="212" t="s">
        <v>575</v>
      </c>
      <c r="I34" s="212" t="s">
        <v>575</v>
      </c>
      <c r="J34" s="225"/>
      <c r="K34" s="226"/>
      <c r="L34" s="282"/>
      <c r="M34" s="212" t="s">
        <v>196</v>
      </c>
      <c r="N34" s="212" t="s">
        <v>196</v>
      </c>
      <c r="O34" s="212" t="s">
        <v>196</v>
      </c>
      <c r="P34" s="212" t="s">
        <v>575</v>
      </c>
      <c r="Q34" s="212" t="s">
        <v>575</v>
      </c>
      <c r="R34" s="212" t="s">
        <v>575</v>
      </c>
      <c r="S34" s="212" t="s">
        <v>575</v>
      </c>
      <c r="T34" s="212" t="s">
        <v>575</v>
      </c>
      <c r="U34" s="212" t="s">
        <v>575</v>
      </c>
      <c r="V34" s="214"/>
      <c r="W34" s="215"/>
      <c r="X34" s="216"/>
      <c r="Y34" s="217" t="s">
        <v>579</v>
      </c>
    </row>
    <row r="35" spans="1:25" x14ac:dyDescent="0.2">
      <c r="A35" s="209" t="s">
        <v>277</v>
      </c>
      <c r="B35" s="210" t="s">
        <v>378</v>
      </c>
      <c r="C35" s="209" t="s">
        <v>391</v>
      </c>
      <c r="D35" s="209" t="s">
        <v>74</v>
      </c>
      <c r="E35" s="209" t="s">
        <v>415</v>
      </c>
      <c r="F35" s="211" t="s">
        <v>196</v>
      </c>
      <c r="G35" s="212" t="s">
        <v>150</v>
      </c>
      <c r="H35" s="209" t="s">
        <v>150</v>
      </c>
      <c r="I35" s="213" t="s">
        <v>150</v>
      </c>
      <c r="J35" s="213" t="s">
        <v>150</v>
      </c>
      <c r="K35" s="213" t="s">
        <v>150</v>
      </c>
      <c r="L35" s="213" t="s">
        <v>150</v>
      </c>
      <c r="M35" s="212" t="s">
        <v>150</v>
      </c>
      <c r="N35" s="209" t="s">
        <v>150</v>
      </c>
      <c r="O35" s="213" t="s">
        <v>150</v>
      </c>
      <c r="P35" s="212" t="s">
        <v>150</v>
      </c>
      <c r="Q35" s="209" t="s">
        <v>150</v>
      </c>
      <c r="R35" s="213" t="s">
        <v>150</v>
      </c>
      <c r="S35" s="212" t="s">
        <v>150</v>
      </c>
      <c r="T35" s="209" t="s">
        <v>150</v>
      </c>
      <c r="U35" s="213" t="s">
        <v>150</v>
      </c>
      <c r="V35" s="214"/>
      <c r="W35" s="215"/>
      <c r="X35" s="216"/>
      <c r="Y35" s="217"/>
    </row>
    <row r="36" spans="1:25" x14ac:dyDescent="0.2">
      <c r="A36" s="209" t="s">
        <v>277</v>
      </c>
      <c r="B36" s="210" t="s">
        <v>378</v>
      </c>
      <c r="C36" s="209" t="s">
        <v>391</v>
      </c>
      <c r="D36" s="209" t="s">
        <v>74</v>
      </c>
      <c r="E36" s="209" t="s">
        <v>488</v>
      </c>
      <c r="F36" s="211" t="s">
        <v>196</v>
      </c>
      <c r="G36" s="212" t="s">
        <v>150</v>
      </c>
      <c r="H36" s="209" t="s">
        <v>150</v>
      </c>
      <c r="I36" s="213" t="s">
        <v>150</v>
      </c>
      <c r="J36" s="213"/>
      <c r="K36" s="213"/>
      <c r="L36" s="213"/>
      <c r="M36" s="212" t="s">
        <v>150</v>
      </c>
      <c r="N36" s="209" t="s">
        <v>150</v>
      </c>
      <c r="O36" s="213" t="s">
        <v>150</v>
      </c>
      <c r="P36" s="212" t="s">
        <v>150</v>
      </c>
      <c r="Q36" s="209" t="s">
        <v>150</v>
      </c>
      <c r="R36" s="213" t="s">
        <v>150</v>
      </c>
      <c r="S36" s="212" t="s">
        <v>150</v>
      </c>
      <c r="T36" s="209" t="s">
        <v>150</v>
      </c>
      <c r="U36" s="213" t="s">
        <v>150</v>
      </c>
      <c r="V36" s="214"/>
      <c r="W36" s="215"/>
      <c r="X36" s="216"/>
      <c r="Y36" s="217" t="s">
        <v>580</v>
      </c>
    </row>
    <row r="37" spans="1:25" x14ac:dyDescent="0.2">
      <c r="A37" s="209" t="s">
        <v>277</v>
      </c>
      <c r="B37" s="210" t="s">
        <v>378</v>
      </c>
      <c r="C37" s="209" t="s">
        <v>391</v>
      </c>
      <c r="D37" s="209" t="s">
        <v>74</v>
      </c>
      <c r="E37" s="209" t="s">
        <v>487</v>
      </c>
      <c r="F37" s="211" t="s">
        <v>196</v>
      </c>
      <c r="G37" s="212" t="s">
        <v>150</v>
      </c>
      <c r="H37" s="209" t="s">
        <v>150</v>
      </c>
      <c r="I37" s="213" t="s">
        <v>150</v>
      </c>
      <c r="J37" s="213" t="s">
        <v>150</v>
      </c>
      <c r="K37" s="213" t="s">
        <v>150</v>
      </c>
      <c r="L37" s="213" t="s">
        <v>150</v>
      </c>
      <c r="M37" s="212" t="s">
        <v>150</v>
      </c>
      <c r="N37" s="209" t="s">
        <v>150</v>
      </c>
      <c r="O37" s="213" t="s">
        <v>150</v>
      </c>
      <c r="P37" s="212" t="s">
        <v>150</v>
      </c>
      <c r="Q37" s="209" t="s">
        <v>150</v>
      </c>
      <c r="R37" s="213" t="s">
        <v>150</v>
      </c>
      <c r="S37" s="212" t="s">
        <v>150</v>
      </c>
      <c r="T37" s="209" t="s">
        <v>150</v>
      </c>
      <c r="U37" s="213" t="s">
        <v>150</v>
      </c>
      <c r="V37" s="214"/>
      <c r="W37" s="215"/>
      <c r="X37" s="216"/>
      <c r="Y37" s="217"/>
    </row>
    <row r="38" spans="1:25" x14ac:dyDescent="0.2">
      <c r="A38" s="209" t="s">
        <v>277</v>
      </c>
      <c r="B38" s="210" t="s">
        <v>378</v>
      </c>
      <c r="C38" s="209" t="s">
        <v>391</v>
      </c>
      <c r="D38" s="209" t="s">
        <v>74</v>
      </c>
      <c r="E38" s="209" t="s">
        <v>489</v>
      </c>
      <c r="F38" s="211" t="s">
        <v>196</v>
      </c>
      <c r="G38" s="212" t="s">
        <v>150</v>
      </c>
      <c r="H38" s="209" t="s">
        <v>150</v>
      </c>
      <c r="I38" s="213" t="s">
        <v>150</v>
      </c>
      <c r="J38" s="213" t="s">
        <v>150</v>
      </c>
      <c r="K38" s="213" t="s">
        <v>150</v>
      </c>
      <c r="L38" s="213" t="s">
        <v>150</v>
      </c>
      <c r="M38" s="212" t="s">
        <v>150</v>
      </c>
      <c r="N38" s="209" t="s">
        <v>150</v>
      </c>
      <c r="O38" s="213" t="s">
        <v>150</v>
      </c>
      <c r="P38" s="212" t="s">
        <v>150</v>
      </c>
      <c r="Q38" s="209" t="s">
        <v>150</v>
      </c>
      <c r="R38" s="213" t="s">
        <v>150</v>
      </c>
      <c r="S38" s="212" t="s">
        <v>150</v>
      </c>
      <c r="T38" s="209" t="s">
        <v>150</v>
      </c>
      <c r="U38" s="213" t="s">
        <v>150</v>
      </c>
      <c r="V38" s="214"/>
      <c r="W38" s="215"/>
      <c r="X38" s="216"/>
      <c r="Y38" s="217"/>
    </row>
    <row r="39" spans="1:25" x14ac:dyDescent="0.2">
      <c r="A39" s="209" t="s">
        <v>277</v>
      </c>
      <c r="B39" s="210" t="s">
        <v>491</v>
      </c>
      <c r="C39" s="209" t="s">
        <v>391</v>
      </c>
      <c r="D39" s="209" t="s">
        <v>74</v>
      </c>
      <c r="E39" s="209" t="s">
        <v>492</v>
      </c>
      <c r="F39" s="211" t="s">
        <v>574</v>
      </c>
      <c r="G39" s="212" t="s">
        <v>575</v>
      </c>
      <c r="H39" s="212" t="s">
        <v>575</v>
      </c>
      <c r="I39" s="212" t="s">
        <v>575</v>
      </c>
      <c r="J39" s="212" t="s">
        <v>575</v>
      </c>
      <c r="K39" s="212" t="s">
        <v>575</v>
      </c>
      <c r="L39" s="212" t="s">
        <v>575</v>
      </c>
      <c r="M39" s="212" t="s">
        <v>575</v>
      </c>
      <c r="N39" s="212" t="s">
        <v>575</v>
      </c>
      <c r="O39" s="212" t="s">
        <v>575</v>
      </c>
      <c r="P39" s="212" t="s">
        <v>196</v>
      </c>
      <c r="Q39" s="212" t="s">
        <v>196</v>
      </c>
      <c r="R39" s="212" t="s">
        <v>196</v>
      </c>
      <c r="S39" s="212" t="s">
        <v>196</v>
      </c>
      <c r="T39" s="212" t="s">
        <v>196</v>
      </c>
      <c r="U39" s="212" t="s">
        <v>196</v>
      </c>
      <c r="V39" s="214"/>
      <c r="W39" s="215"/>
      <c r="X39" s="216"/>
      <c r="Y39" s="217" t="s">
        <v>577</v>
      </c>
    </row>
    <row r="40" spans="1:25" x14ac:dyDescent="0.2">
      <c r="A40" s="209" t="s">
        <v>277</v>
      </c>
      <c r="B40" s="210" t="s">
        <v>335</v>
      </c>
      <c r="C40" s="209" t="s">
        <v>391</v>
      </c>
      <c r="D40" s="209" t="s">
        <v>74</v>
      </c>
      <c r="E40" s="209" t="s">
        <v>424</v>
      </c>
      <c r="F40" s="211" t="s">
        <v>574</v>
      </c>
      <c r="G40" s="212" t="s">
        <v>575</v>
      </c>
      <c r="H40" s="212" t="s">
        <v>575</v>
      </c>
      <c r="I40" s="212" t="s">
        <v>575</v>
      </c>
      <c r="J40" s="212" t="s">
        <v>575</v>
      </c>
      <c r="K40" s="212" t="s">
        <v>575</v>
      </c>
      <c r="L40" s="212" t="s">
        <v>575</v>
      </c>
      <c r="M40" s="212" t="s">
        <v>575</v>
      </c>
      <c r="N40" s="212" t="s">
        <v>575</v>
      </c>
      <c r="O40" s="212" t="s">
        <v>575</v>
      </c>
      <c r="P40" s="212" t="s">
        <v>196</v>
      </c>
      <c r="Q40" s="212" t="s">
        <v>196</v>
      </c>
      <c r="R40" s="212" t="s">
        <v>196</v>
      </c>
      <c r="S40" s="212"/>
      <c r="T40" s="209"/>
      <c r="U40" s="213"/>
      <c r="V40" s="214"/>
      <c r="W40" s="215"/>
      <c r="X40" s="216"/>
      <c r="Y40" s="217" t="s">
        <v>581</v>
      </c>
    </row>
    <row r="41" spans="1:25" x14ac:dyDescent="0.2">
      <c r="A41" s="209" t="s">
        <v>277</v>
      </c>
      <c r="B41" s="210" t="s">
        <v>337</v>
      </c>
      <c r="C41" s="209" t="s">
        <v>391</v>
      </c>
      <c r="D41" s="209" t="s">
        <v>74</v>
      </c>
      <c r="E41" s="209" t="s">
        <v>502</v>
      </c>
      <c r="F41" s="211" t="s">
        <v>574</v>
      </c>
      <c r="G41" s="212" t="s">
        <v>575</v>
      </c>
      <c r="H41" s="212" t="s">
        <v>575</v>
      </c>
      <c r="I41" s="212" t="s">
        <v>575</v>
      </c>
      <c r="J41" s="212" t="s">
        <v>575</v>
      </c>
      <c r="K41" s="212" t="s">
        <v>575</v>
      </c>
      <c r="L41" s="212" t="s">
        <v>575</v>
      </c>
      <c r="M41" s="212" t="s">
        <v>575</v>
      </c>
      <c r="N41" s="212" t="s">
        <v>575</v>
      </c>
      <c r="O41" s="212" t="s">
        <v>575</v>
      </c>
      <c r="P41" s="212" t="s">
        <v>196</v>
      </c>
      <c r="Q41" s="212" t="s">
        <v>196</v>
      </c>
      <c r="R41" s="212" t="s">
        <v>196</v>
      </c>
      <c r="S41" s="212" t="s">
        <v>196</v>
      </c>
      <c r="T41" s="212" t="s">
        <v>196</v>
      </c>
      <c r="U41" s="212" t="s">
        <v>196</v>
      </c>
      <c r="V41" s="212"/>
      <c r="W41" s="209"/>
      <c r="X41" s="213" t="s">
        <v>196</v>
      </c>
      <c r="Y41" s="217" t="s">
        <v>577</v>
      </c>
    </row>
    <row r="42" spans="1:25" x14ac:dyDescent="0.2">
      <c r="A42" s="209" t="s">
        <v>277</v>
      </c>
      <c r="B42" s="210" t="s">
        <v>381</v>
      </c>
      <c r="C42" s="209" t="s">
        <v>391</v>
      </c>
      <c r="D42" s="209" t="s">
        <v>74</v>
      </c>
      <c r="E42" s="209" t="s">
        <v>415</v>
      </c>
      <c r="F42" s="211" t="s">
        <v>196</v>
      </c>
      <c r="G42" s="212" t="s">
        <v>150</v>
      </c>
      <c r="H42" s="209" t="s">
        <v>150</v>
      </c>
      <c r="I42" s="213" t="s">
        <v>150</v>
      </c>
      <c r="J42" s="213" t="s">
        <v>150</v>
      </c>
      <c r="K42" s="213" t="s">
        <v>150</v>
      </c>
      <c r="L42" s="213" t="s">
        <v>150</v>
      </c>
      <c r="M42" s="212" t="s">
        <v>150</v>
      </c>
      <c r="N42" s="209" t="s">
        <v>150</v>
      </c>
      <c r="O42" s="213" t="s">
        <v>150</v>
      </c>
      <c r="P42" s="212" t="s">
        <v>150</v>
      </c>
      <c r="Q42" s="209" t="s">
        <v>150</v>
      </c>
      <c r="R42" s="213" t="s">
        <v>150</v>
      </c>
      <c r="S42" s="212" t="s">
        <v>150</v>
      </c>
      <c r="T42" s="209" t="s">
        <v>150</v>
      </c>
      <c r="U42" s="213" t="s">
        <v>150</v>
      </c>
      <c r="V42" s="214"/>
      <c r="W42" s="215"/>
      <c r="X42" s="216"/>
      <c r="Y42" s="217"/>
    </row>
    <row r="43" spans="1:25" x14ac:dyDescent="0.2">
      <c r="A43" s="209" t="s">
        <v>277</v>
      </c>
      <c r="B43" s="210" t="s">
        <v>381</v>
      </c>
      <c r="C43" s="209" t="s">
        <v>391</v>
      </c>
      <c r="D43" s="209" t="s">
        <v>74</v>
      </c>
      <c r="E43" s="209" t="s">
        <v>488</v>
      </c>
      <c r="F43" s="211" t="s">
        <v>196</v>
      </c>
      <c r="G43" s="212" t="s">
        <v>150</v>
      </c>
      <c r="H43" s="209" t="s">
        <v>150</v>
      </c>
      <c r="I43" s="213" t="s">
        <v>150</v>
      </c>
      <c r="J43" s="213"/>
      <c r="K43" s="213"/>
      <c r="L43" s="213"/>
      <c r="M43" s="212" t="s">
        <v>150</v>
      </c>
      <c r="N43" s="209" t="s">
        <v>150</v>
      </c>
      <c r="O43" s="213" t="s">
        <v>150</v>
      </c>
      <c r="P43" s="212" t="s">
        <v>150</v>
      </c>
      <c r="Q43" s="209" t="s">
        <v>150</v>
      </c>
      <c r="R43" s="213" t="s">
        <v>150</v>
      </c>
      <c r="S43" s="212" t="s">
        <v>150</v>
      </c>
      <c r="T43" s="209" t="s">
        <v>150</v>
      </c>
      <c r="U43" s="213" t="s">
        <v>150</v>
      </c>
      <c r="V43" s="214"/>
      <c r="W43" s="215"/>
      <c r="X43" s="216"/>
      <c r="Y43" s="217" t="s">
        <v>580</v>
      </c>
    </row>
    <row r="44" spans="1:25" x14ac:dyDescent="0.2">
      <c r="A44" s="209" t="s">
        <v>277</v>
      </c>
      <c r="B44" s="210" t="s">
        <v>381</v>
      </c>
      <c r="C44" s="209" t="s">
        <v>391</v>
      </c>
      <c r="D44" s="209" t="s">
        <v>74</v>
      </c>
      <c r="E44" s="209" t="s">
        <v>508</v>
      </c>
      <c r="F44" s="211" t="s">
        <v>196</v>
      </c>
      <c r="G44" s="212" t="s">
        <v>150</v>
      </c>
      <c r="H44" s="209" t="s">
        <v>150</v>
      </c>
      <c r="I44" s="213" t="s">
        <v>150</v>
      </c>
      <c r="J44" s="213" t="s">
        <v>150</v>
      </c>
      <c r="K44" s="213" t="s">
        <v>150</v>
      </c>
      <c r="L44" s="213" t="s">
        <v>150</v>
      </c>
      <c r="M44" s="212" t="s">
        <v>150</v>
      </c>
      <c r="N44" s="209" t="s">
        <v>150</v>
      </c>
      <c r="O44" s="213" t="s">
        <v>150</v>
      </c>
      <c r="P44" s="212" t="s">
        <v>150</v>
      </c>
      <c r="Q44" s="209" t="s">
        <v>150</v>
      </c>
      <c r="R44" s="213" t="s">
        <v>150</v>
      </c>
      <c r="S44" s="212" t="s">
        <v>150</v>
      </c>
      <c r="T44" s="209" t="s">
        <v>150</v>
      </c>
      <c r="U44" s="213" t="s">
        <v>150</v>
      </c>
      <c r="V44" s="214"/>
      <c r="W44" s="215"/>
      <c r="X44" s="216"/>
      <c r="Y44" s="217"/>
    </row>
    <row r="45" spans="1:25" x14ac:dyDescent="0.2">
      <c r="A45" s="209" t="s">
        <v>277</v>
      </c>
      <c r="B45" s="210" t="s">
        <v>342</v>
      </c>
      <c r="C45" s="209" t="s">
        <v>391</v>
      </c>
      <c r="D45" s="209" t="s">
        <v>74</v>
      </c>
      <c r="E45" s="209" t="s">
        <v>515</v>
      </c>
      <c r="F45" s="211" t="s">
        <v>574</v>
      </c>
      <c r="G45" s="212" t="s">
        <v>575</v>
      </c>
      <c r="H45" s="212" t="s">
        <v>575</v>
      </c>
      <c r="I45" s="212" t="s">
        <v>575</v>
      </c>
      <c r="J45" s="212" t="s">
        <v>575</v>
      </c>
      <c r="K45" s="212" t="s">
        <v>575</v>
      </c>
      <c r="L45" s="212" t="s">
        <v>575</v>
      </c>
      <c r="M45" s="212" t="s">
        <v>575</v>
      </c>
      <c r="N45" s="212" t="s">
        <v>575</v>
      </c>
      <c r="O45" s="212" t="s">
        <v>575</v>
      </c>
      <c r="P45" s="212" t="s">
        <v>575</v>
      </c>
      <c r="Q45" s="212" t="s">
        <v>575</v>
      </c>
      <c r="R45" s="212" t="s">
        <v>575</v>
      </c>
      <c r="S45" s="212" t="s">
        <v>575</v>
      </c>
      <c r="T45" s="212" t="s">
        <v>575</v>
      </c>
      <c r="U45" s="212" t="s">
        <v>575</v>
      </c>
      <c r="V45" s="212"/>
      <c r="W45" s="209"/>
      <c r="X45" s="213" t="s">
        <v>196</v>
      </c>
      <c r="Y45" s="217"/>
    </row>
    <row r="46" spans="1:25" x14ac:dyDescent="0.2">
      <c r="A46" s="209" t="s">
        <v>277</v>
      </c>
      <c r="B46" s="210" t="s">
        <v>518</v>
      </c>
      <c r="C46" s="209" t="s">
        <v>391</v>
      </c>
      <c r="D46" s="209" t="s">
        <v>74</v>
      </c>
      <c r="E46" s="209" t="s">
        <v>519</v>
      </c>
      <c r="F46" s="211" t="s">
        <v>196</v>
      </c>
      <c r="G46" s="212" t="s">
        <v>150</v>
      </c>
      <c r="H46" s="209" t="s">
        <v>150</v>
      </c>
      <c r="I46" s="213" t="s">
        <v>150</v>
      </c>
      <c r="J46" s="213"/>
      <c r="K46" s="213"/>
      <c r="L46" s="213"/>
      <c r="M46" s="212" t="s">
        <v>150</v>
      </c>
      <c r="N46" s="209" t="s">
        <v>150</v>
      </c>
      <c r="O46" s="213" t="s">
        <v>150</v>
      </c>
      <c r="P46" s="212" t="s">
        <v>150</v>
      </c>
      <c r="Q46" s="209" t="s">
        <v>150</v>
      </c>
      <c r="R46" s="213" t="s">
        <v>150</v>
      </c>
      <c r="S46" s="212" t="s">
        <v>150</v>
      </c>
      <c r="T46" s="209" t="s">
        <v>150</v>
      </c>
      <c r="U46" s="213" t="s">
        <v>150</v>
      </c>
      <c r="V46" s="214"/>
      <c r="W46" s="215"/>
      <c r="X46" s="216"/>
      <c r="Y46" s="217"/>
    </row>
    <row r="47" spans="1:25" x14ac:dyDescent="0.2">
      <c r="A47" s="209" t="s">
        <v>277</v>
      </c>
      <c r="B47" s="210" t="s">
        <v>521</v>
      </c>
      <c r="C47" s="209" t="s">
        <v>391</v>
      </c>
      <c r="D47" s="209" t="s">
        <v>74</v>
      </c>
      <c r="E47" s="209" t="s">
        <v>522</v>
      </c>
      <c r="F47" s="211" t="s">
        <v>196</v>
      </c>
      <c r="G47" s="212" t="s">
        <v>150</v>
      </c>
      <c r="H47" s="209" t="s">
        <v>150</v>
      </c>
      <c r="I47" s="213" t="s">
        <v>150</v>
      </c>
      <c r="J47" s="213"/>
      <c r="K47" s="213"/>
      <c r="L47" s="213"/>
      <c r="M47" s="212" t="s">
        <v>150</v>
      </c>
      <c r="N47" s="209" t="s">
        <v>150</v>
      </c>
      <c r="O47" s="213" t="s">
        <v>150</v>
      </c>
      <c r="P47" s="212" t="s">
        <v>150</v>
      </c>
      <c r="Q47" s="209" t="s">
        <v>150</v>
      </c>
      <c r="R47" s="213" t="s">
        <v>150</v>
      </c>
      <c r="S47" s="212" t="s">
        <v>150</v>
      </c>
      <c r="T47" s="209" t="s">
        <v>150</v>
      </c>
      <c r="U47" s="213" t="s">
        <v>150</v>
      </c>
      <c r="V47" s="214"/>
      <c r="W47" s="215"/>
      <c r="X47" s="216"/>
      <c r="Y47" s="217"/>
    </row>
    <row r="48" spans="1:25" x14ac:dyDescent="0.2">
      <c r="A48" s="209" t="s">
        <v>277</v>
      </c>
      <c r="B48" s="210" t="s">
        <v>527</v>
      </c>
      <c r="C48" s="209" t="s">
        <v>391</v>
      </c>
      <c r="D48" s="209" t="s">
        <v>74</v>
      </c>
      <c r="E48" s="209" t="s">
        <v>528</v>
      </c>
      <c r="F48" s="211" t="s">
        <v>196</v>
      </c>
      <c r="G48" s="212" t="s">
        <v>150</v>
      </c>
      <c r="H48" s="209" t="s">
        <v>150</v>
      </c>
      <c r="I48" s="213" t="s">
        <v>150</v>
      </c>
      <c r="J48" s="213"/>
      <c r="K48" s="213"/>
      <c r="L48" s="213"/>
      <c r="M48" s="212" t="s">
        <v>150</v>
      </c>
      <c r="N48" s="209" t="s">
        <v>150</v>
      </c>
      <c r="O48" s="213" t="s">
        <v>150</v>
      </c>
      <c r="P48" s="212" t="s">
        <v>150</v>
      </c>
      <c r="Q48" s="209" t="s">
        <v>150</v>
      </c>
      <c r="R48" s="213" t="s">
        <v>150</v>
      </c>
      <c r="S48" s="212" t="s">
        <v>150</v>
      </c>
      <c r="T48" s="209" t="s">
        <v>150</v>
      </c>
      <c r="U48" s="213" t="s">
        <v>150</v>
      </c>
      <c r="V48" s="214"/>
      <c r="W48" s="215"/>
      <c r="X48" s="216"/>
      <c r="Y48" s="217" t="s">
        <v>582</v>
      </c>
    </row>
    <row r="49" spans="1:25" x14ac:dyDescent="0.2">
      <c r="A49" s="209" t="s">
        <v>277</v>
      </c>
      <c r="B49" s="210" t="s">
        <v>529</v>
      </c>
      <c r="C49" s="209" t="s">
        <v>391</v>
      </c>
      <c r="D49" s="209" t="s">
        <v>74</v>
      </c>
      <c r="E49" s="209" t="s">
        <v>519</v>
      </c>
      <c r="F49" s="211" t="s">
        <v>196</v>
      </c>
      <c r="G49" s="212" t="s">
        <v>150</v>
      </c>
      <c r="H49" s="209" t="s">
        <v>150</v>
      </c>
      <c r="I49" s="213" t="s">
        <v>150</v>
      </c>
      <c r="J49" s="213"/>
      <c r="K49" s="213"/>
      <c r="L49" s="213"/>
      <c r="M49" s="212" t="s">
        <v>150</v>
      </c>
      <c r="N49" s="209" t="s">
        <v>150</v>
      </c>
      <c r="O49" s="213" t="s">
        <v>150</v>
      </c>
      <c r="P49" s="212" t="s">
        <v>150</v>
      </c>
      <c r="Q49" s="209" t="s">
        <v>150</v>
      </c>
      <c r="R49" s="213" t="s">
        <v>150</v>
      </c>
      <c r="S49" s="212" t="s">
        <v>150</v>
      </c>
      <c r="T49" s="209" t="s">
        <v>150</v>
      </c>
      <c r="U49" s="213" t="s">
        <v>150</v>
      </c>
      <c r="V49" s="214"/>
      <c r="W49" s="215"/>
      <c r="X49" s="216"/>
      <c r="Y49" s="217" t="s">
        <v>582</v>
      </c>
    </row>
    <row r="50" spans="1:25" x14ac:dyDescent="0.2">
      <c r="A50" s="209" t="s">
        <v>277</v>
      </c>
      <c r="B50" s="210" t="s">
        <v>529</v>
      </c>
      <c r="C50" s="209" t="s">
        <v>391</v>
      </c>
      <c r="D50" s="209" t="s">
        <v>74</v>
      </c>
      <c r="E50" s="209" t="s">
        <v>451</v>
      </c>
      <c r="F50" s="211" t="s">
        <v>196</v>
      </c>
      <c r="G50" s="212" t="s">
        <v>150</v>
      </c>
      <c r="H50" s="209" t="s">
        <v>150</v>
      </c>
      <c r="I50" s="213" t="s">
        <v>150</v>
      </c>
      <c r="J50" s="213"/>
      <c r="K50" s="213"/>
      <c r="L50" s="213"/>
      <c r="M50" s="212" t="s">
        <v>150</v>
      </c>
      <c r="N50" s="209" t="s">
        <v>150</v>
      </c>
      <c r="O50" s="213" t="s">
        <v>150</v>
      </c>
      <c r="P50" s="212" t="s">
        <v>150</v>
      </c>
      <c r="Q50" s="209" t="s">
        <v>150</v>
      </c>
      <c r="R50" s="213" t="s">
        <v>150</v>
      </c>
      <c r="S50" s="212" t="s">
        <v>150</v>
      </c>
      <c r="T50" s="209" t="s">
        <v>150</v>
      </c>
      <c r="U50" s="213" t="s">
        <v>150</v>
      </c>
      <c r="V50" s="214"/>
      <c r="W50" s="215"/>
      <c r="X50" s="216"/>
      <c r="Y50" s="217" t="s">
        <v>582</v>
      </c>
    </row>
    <row r="51" spans="1:25" x14ac:dyDescent="0.2">
      <c r="A51" s="209" t="s">
        <v>277</v>
      </c>
      <c r="B51" s="210" t="s">
        <v>533</v>
      </c>
      <c r="C51" s="209" t="s">
        <v>391</v>
      </c>
      <c r="D51" s="209" t="s">
        <v>74</v>
      </c>
      <c r="E51" s="209" t="s">
        <v>524</v>
      </c>
      <c r="F51" s="211" t="s">
        <v>196</v>
      </c>
      <c r="G51" s="212" t="s">
        <v>150</v>
      </c>
      <c r="H51" s="209" t="s">
        <v>150</v>
      </c>
      <c r="I51" s="213" t="s">
        <v>150</v>
      </c>
      <c r="J51" s="213"/>
      <c r="K51" s="213"/>
      <c r="L51" s="213"/>
      <c r="M51" s="212" t="s">
        <v>150</v>
      </c>
      <c r="N51" s="209" t="s">
        <v>150</v>
      </c>
      <c r="O51" s="213" t="s">
        <v>150</v>
      </c>
      <c r="P51" s="212" t="s">
        <v>150</v>
      </c>
      <c r="Q51" s="209" t="s">
        <v>150</v>
      </c>
      <c r="R51" s="213" t="s">
        <v>150</v>
      </c>
      <c r="S51" s="212" t="s">
        <v>150</v>
      </c>
      <c r="T51" s="209" t="s">
        <v>150</v>
      </c>
      <c r="U51" s="213" t="s">
        <v>150</v>
      </c>
      <c r="V51" s="214"/>
      <c r="W51" s="215"/>
      <c r="X51" s="216"/>
      <c r="Y51" s="217" t="s">
        <v>582</v>
      </c>
    </row>
    <row r="52" spans="1:25" x14ac:dyDescent="0.2">
      <c r="A52" s="209" t="s">
        <v>277</v>
      </c>
      <c r="B52" s="210" t="s">
        <v>540</v>
      </c>
      <c r="C52" s="209" t="s">
        <v>535</v>
      </c>
      <c r="D52" s="209" t="s">
        <v>536</v>
      </c>
      <c r="E52" s="209" t="s">
        <v>537</v>
      </c>
      <c r="F52" s="211" t="s">
        <v>196</v>
      </c>
      <c r="G52" s="212" t="s">
        <v>150</v>
      </c>
      <c r="H52" s="209" t="s">
        <v>150</v>
      </c>
      <c r="I52" s="213" t="s">
        <v>150</v>
      </c>
      <c r="J52" s="213"/>
      <c r="K52" s="213"/>
      <c r="L52" s="213"/>
      <c r="M52" s="212" t="s">
        <v>150</v>
      </c>
      <c r="N52" s="209" t="s">
        <v>150</v>
      </c>
      <c r="O52" s="213" t="s">
        <v>150</v>
      </c>
      <c r="P52" s="212"/>
      <c r="Q52" s="209"/>
      <c r="R52" s="213"/>
      <c r="S52" s="212"/>
      <c r="T52" s="209"/>
      <c r="U52" s="213"/>
      <c r="V52" s="214"/>
      <c r="W52" s="215"/>
      <c r="X52" s="216"/>
      <c r="Y52" s="217"/>
    </row>
    <row r="53" spans="1:25" x14ac:dyDescent="0.2">
      <c r="B53" s="1"/>
      <c r="C53" s="38"/>
    </row>
    <row r="54" spans="1:25" x14ac:dyDescent="0.2">
      <c r="B54" s="1"/>
      <c r="C54" s="38"/>
    </row>
    <row r="55" spans="1:25" x14ac:dyDescent="0.2">
      <c r="B55" s="1"/>
      <c r="C55" s="38"/>
      <c r="M55" s="3"/>
      <c r="N55" s="3"/>
      <c r="O55" s="3"/>
      <c r="P55" s="3"/>
      <c r="Q55" s="3"/>
    </row>
    <row r="56" spans="1:25" x14ac:dyDescent="0.2">
      <c r="B56" s="1"/>
      <c r="C56" s="38"/>
      <c r="M56" s="3"/>
      <c r="N56" s="3"/>
      <c r="O56" s="3"/>
      <c r="P56" s="3"/>
      <c r="Q56" s="3"/>
    </row>
    <row r="57" spans="1:25" x14ac:dyDescent="0.2">
      <c r="M57" s="3"/>
      <c r="N57" s="3"/>
      <c r="O57" s="3"/>
      <c r="P57" s="3"/>
      <c r="Q57" s="3"/>
    </row>
    <row r="58" spans="1:25" x14ac:dyDescent="0.2">
      <c r="M58" s="3"/>
      <c r="N58" s="3"/>
      <c r="O58" s="3"/>
      <c r="P58" s="3"/>
      <c r="Q58" s="3"/>
    </row>
    <row r="59" spans="1:25" x14ac:dyDescent="0.2">
      <c r="M59" s="3"/>
      <c r="N59" s="3"/>
      <c r="O59" s="3"/>
      <c r="P59" s="3"/>
      <c r="Q59" s="3"/>
    </row>
    <row r="60" spans="1:25" x14ac:dyDescent="0.2">
      <c r="M60" s="3"/>
      <c r="N60" s="3"/>
      <c r="O60" s="3"/>
      <c r="P60" s="3"/>
      <c r="Q60" s="3"/>
    </row>
    <row r="61" spans="1:25" x14ac:dyDescent="0.2">
      <c r="M61" s="3"/>
      <c r="N61" s="3"/>
      <c r="O61" s="3"/>
      <c r="P61" s="3"/>
      <c r="Q61" s="3"/>
    </row>
    <row r="62" spans="1:25" x14ac:dyDescent="0.2">
      <c r="M62" s="3"/>
      <c r="N62" s="3"/>
      <c r="O62" s="3"/>
      <c r="P62" s="3"/>
      <c r="Q62" s="3"/>
    </row>
    <row r="63" spans="1:25" x14ac:dyDescent="0.2">
      <c r="M63" s="3"/>
      <c r="N63" s="3"/>
      <c r="O63" s="3"/>
      <c r="P63" s="3"/>
      <c r="Q63" s="3"/>
    </row>
    <row r="64" spans="1:25" x14ac:dyDescent="0.2">
      <c r="M64" s="3"/>
      <c r="N64" s="3"/>
      <c r="O64" s="3"/>
      <c r="P64" s="3"/>
      <c r="Q64" s="3"/>
    </row>
    <row r="65" spans="13:17" x14ac:dyDescent="0.2">
      <c r="M65" s="3"/>
      <c r="N65" s="3"/>
      <c r="O65" s="3"/>
      <c r="P65" s="3"/>
      <c r="Q65" s="3"/>
    </row>
    <row r="66" spans="13:17" x14ac:dyDescent="0.2">
      <c r="M66" s="3"/>
      <c r="N66" s="3"/>
      <c r="O66" s="3"/>
      <c r="P66" s="3"/>
      <c r="Q66" s="3"/>
    </row>
    <row r="67" spans="13:17" x14ac:dyDescent="0.2">
      <c r="M67" s="3"/>
      <c r="N67" s="3"/>
      <c r="O67" s="3"/>
      <c r="P67" s="3"/>
      <c r="Q67" s="3"/>
    </row>
    <row r="68" spans="13:17" x14ac:dyDescent="0.2">
      <c r="M68" s="3"/>
      <c r="N68" s="3"/>
      <c r="O68" s="3"/>
      <c r="P68" s="3"/>
      <c r="Q68" s="3"/>
    </row>
    <row r="69" spans="13:17" x14ac:dyDescent="0.2">
      <c r="M69" s="3"/>
      <c r="N69" s="3"/>
      <c r="O69" s="3"/>
      <c r="P69" s="3"/>
      <c r="Q69" s="3"/>
    </row>
    <row r="70" spans="13:17" x14ac:dyDescent="0.2">
      <c r="M70" s="3"/>
      <c r="N70" s="3"/>
      <c r="O70" s="3"/>
      <c r="P70" s="3"/>
      <c r="Q70" s="3"/>
    </row>
    <row r="71" spans="13:17" x14ac:dyDescent="0.2">
      <c r="M71" s="3"/>
      <c r="N71" s="3"/>
      <c r="O71" s="3"/>
      <c r="P71" s="3"/>
      <c r="Q71" s="3"/>
    </row>
    <row r="72" spans="13:17" x14ac:dyDescent="0.2">
      <c r="M72" s="3"/>
      <c r="N72" s="3"/>
      <c r="O72" s="3"/>
      <c r="P72" s="3"/>
      <c r="Q72" s="3"/>
    </row>
    <row r="73" spans="13:17" x14ac:dyDescent="0.2">
      <c r="M73" s="3"/>
      <c r="N73" s="3"/>
      <c r="O73" s="3"/>
      <c r="P73" s="3"/>
      <c r="Q73" s="3"/>
    </row>
    <row r="74" spans="13:17" x14ac:dyDescent="0.2">
      <c r="M74" s="3"/>
      <c r="N74" s="3"/>
      <c r="O74" s="3"/>
      <c r="P74" s="3"/>
      <c r="Q74" s="3"/>
    </row>
    <row r="75" spans="13:17" x14ac:dyDescent="0.2">
      <c r="M75" s="3"/>
      <c r="N75" s="3"/>
      <c r="O75" s="3"/>
      <c r="P75" s="3"/>
      <c r="Q75" s="3"/>
    </row>
    <row r="76" spans="13:17" x14ac:dyDescent="0.2">
      <c r="M76" s="3"/>
      <c r="N76" s="3"/>
      <c r="O76" s="3"/>
      <c r="P76" s="3"/>
      <c r="Q76" s="3"/>
    </row>
    <row r="77" spans="13:17" x14ac:dyDescent="0.2">
      <c r="M77" s="3"/>
      <c r="N77" s="3"/>
      <c r="O77" s="3"/>
      <c r="P77" s="3"/>
      <c r="Q77" s="3"/>
    </row>
    <row r="78" spans="13:17" x14ac:dyDescent="0.2">
      <c r="M78" s="3"/>
      <c r="N78" s="3"/>
      <c r="O78" s="3"/>
      <c r="P78" s="3"/>
      <c r="Q78" s="3"/>
    </row>
    <row r="79" spans="13:17" x14ac:dyDescent="0.2">
      <c r="M79" s="3"/>
      <c r="N79" s="3"/>
      <c r="O79" s="3"/>
      <c r="P79" s="3"/>
      <c r="Q79" s="3"/>
    </row>
    <row r="80" spans="13:17" x14ac:dyDescent="0.2">
      <c r="M80" s="3"/>
      <c r="N80" s="3"/>
      <c r="O80" s="3"/>
      <c r="P80" s="3"/>
      <c r="Q80" s="3"/>
    </row>
    <row r="81" spans="13:17" x14ac:dyDescent="0.2">
      <c r="M81" s="3"/>
      <c r="N81" s="3"/>
      <c r="O81" s="3"/>
      <c r="P81" s="3"/>
      <c r="Q81" s="3"/>
    </row>
    <row r="82" spans="13:17" x14ac:dyDescent="0.2">
      <c r="M82" s="3"/>
      <c r="N82" s="3"/>
      <c r="O82" s="3"/>
      <c r="P82" s="3"/>
      <c r="Q82" s="3"/>
    </row>
    <row r="83" spans="13:17" x14ac:dyDescent="0.2">
      <c r="M83" s="3"/>
      <c r="N83" s="3"/>
      <c r="O83" s="3"/>
      <c r="P83" s="3"/>
      <c r="Q83" s="3"/>
    </row>
    <row r="84" spans="13:17" x14ac:dyDescent="0.2">
      <c r="M84" s="3"/>
      <c r="N84" s="3"/>
      <c r="O84" s="3"/>
      <c r="P84" s="3"/>
      <c r="Q84" s="3"/>
    </row>
    <row r="85" spans="13:17" x14ac:dyDescent="0.2">
      <c r="M85" s="3"/>
      <c r="N85" s="3"/>
      <c r="O85" s="3"/>
      <c r="P85" s="3"/>
      <c r="Q85" s="3"/>
    </row>
    <row r="86" spans="13:17" x14ac:dyDescent="0.2">
      <c r="M86" s="3"/>
      <c r="N86" s="3"/>
      <c r="O86" s="3"/>
      <c r="P86" s="3"/>
      <c r="Q86" s="3"/>
    </row>
    <row r="87" spans="13:17" x14ac:dyDescent="0.2">
      <c r="M87" s="3"/>
      <c r="N87" s="3"/>
      <c r="O87" s="3"/>
      <c r="P87" s="3"/>
      <c r="Q87" s="3"/>
    </row>
    <row r="88" spans="13:17" x14ac:dyDescent="0.2">
      <c r="M88" s="3"/>
      <c r="N88" s="3"/>
      <c r="O88" s="3"/>
      <c r="P88" s="3"/>
      <c r="Q88" s="3"/>
    </row>
    <row r="89" spans="13:17" x14ac:dyDescent="0.2">
      <c r="M89" s="3"/>
      <c r="N89" s="3"/>
      <c r="O89" s="3"/>
      <c r="P89" s="3"/>
      <c r="Q89" s="3"/>
    </row>
    <row r="90" spans="13:17" x14ac:dyDescent="0.2">
      <c r="M90" s="3"/>
      <c r="N90" s="3"/>
      <c r="O90" s="3"/>
      <c r="P90" s="3"/>
      <c r="Q90" s="3"/>
    </row>
    <row r="91" spans="13:17" x14ac:dyDescent="0.2">
      <c r="M91" s="3"/>
      <c r="N91" s="3"/>
      <c r="O91" s="3"/>
      <c r="P91" s="3"/>
      <c r="Q91" s="3"/>
    </row>
    <row r="92" spans="13:17" x14ac:dyDescent="0.2">
      <c r="M92" s="3"/>
      <c r="N92" s="3"/>
      <c r="O92" s="3"/>
      <c r="P92" s="3"/>
      <c r="Q92" s="3"/>
    </row>
    <row r="93" spans="13:17" x14ac:dyDescent="0.2">
      <c r="M93" s="3"/>
      <c r="N93" s="3"/>
      <c r="O93" s="3"/>
      <c r="P93" s="3"/>
      <c r="Q93" s="3"/>
    </row>
    <row r="94" spans="13:17" x14ac:dyDescent="0.2">
      <c r="M94" s="3"/>
      <c r="N94" s="3"/>
      <c r="O94" s="3"/>
      <c r="P94" s="3"/>
      <c r="Q94" s="3"/>
    </row>
    <row r="95" spans="13:17" x14ac:dyDescent="0.2">
      <c r="M95" s="3"/>
      <c r="N95" s="3"/>
      <c r="O95" s="3"/>
      <c r="P95" s="3"/>
      <c r="Q95" s="3"/>
    </row>
    <row r="96" spans="13:17" x14ac:dyDescent="0.2">
      <c r="M96" s="3"/>
      <c r="N96" s="3"/>
      <c r="O96" s="3"/>
      <c r="P96" s="3"/>
      <c r="Q96" s="3"/>
    </row>
    <row r="97" spans="13:17" x14ac:dyDescent="0.2">
      <c r="M97" s="3"/>
      <c r="N97" s="3"/>
      <c r="O97" s="3"/>
      <c r="P97" s="3"/>
      <c r="Q97" s="3"/>
    </row>
    <row r="98" spans="13:17" x14ac:dyDescent="0.2">
      <c r="M98" s="3"/>
      <c r="N98" s="3"/>
      <c r="O98" s="3"/>
      <c r="P98" s="3"/>
      <c r="Q98" s="3"/>
    </row>
    <row r="99" spans="13:17" x14ac:dyDescent="0.2">
      <c r="M99" s="3"/>
      <c r="N99" s="3"/>
      <c r="O99" s="3"/>
      <c r="P99" s="3"/>
      <c r="Q99" s="3"/>
    </row>
    <row r="100" spans="13:17" x14ac:dyDescent="0.2">
      <c r="M100" s="3"/>
      <c r="N100" s="3"/>
      <c r="O100" s="3"/>
      <c r="P100" s="3"/>
      <c r="Q100" s="3"/>
    </row>
    <row r="101" spans="13:17" x14ac:dyDescent="0.2">
      <c r="M101" s="3"/>
      <c r="N101" s="3"/>
      <c r="O101" s="3"/>
      <c r="P101" s="3"/>
      <c r="Q101" s="3"/>
    </row>
    <row r="102" spans="13:17" x14ac:dyDescent="0.2">
      <c r="M102" s="3"/>
      <c r="N102" s="3"/>
      <c r="O102" s="3"/>
      <c r="P102" s="3"/>
      <c r="Q102" s="3"/>
    </row>
    <row r="103" spans="13:17" x14ac:dyDescent="0.2">
      <c r="M103" s="3"/>
      <c r="N103" s="3"/>
      <c r="O103" s="3"/>
      <c r="P103" s="3"/>
      <c r="Q103" s="3"/>
    </row>
    <row r="104" spans="13:17" x14ac:dyDescent="0.2">
      <c r="M104" s="3"/>
      <c r="N104" s="3"/>
      <c r="O104" s="3"/>
      <c r="P104" s="3"/>
      <c r="Q104" s="3"/>
    </row>
    <row r="105" spans="13:17" x14ac:dyDescent="0.2">
      <c r="M105" s="3"/>
      <c r="N105" s="3"/>
      <c r="O105" s="3"/>
      <c r="P105" s="3"/>
      <c r="Q105" s="3"/>
    </row>
    <row r="106" spans="13:17" x14ac:dyDescent="0.2">
      <c r="M106" s="3"/>
      <c r="N106" s="3"/>
      <c r="O106" s="3"/>
      <c r="P106" s="3"/>
      <c r="Q106" s="3"/>
    </row>
    <row r="107" spans="13:17" x14ac:dyDescent="0.2">
      <c r="M107" s="3"/>
      <c r="N107" s="3"/>
      <c r="O107" s="3"/>
      <c r="P107" s="3"/>
      <c r="Q107" s="3"/>
    </row>
    <row r="108" spans="13:17" x14ac:dyDescent="0.2">
      <c r="M108" s="3"/>
      <c r="N108" s="3"/>
      <c r="O108" s="3"/>
      <c r="P108" s="3"/>
      <c r="Q108" s="3"/>
    </row>
    <row r="109" spans="13:17" x14ac:dyDescent="0.2">
      <c r="M109" s="3"/>
      <c r="N109" s="3"/>
      <c r="O109" s="3"/>
      <c r="P109" s="3"/>
      <c r="Q109" s="3"/>
    </row>
    <row r="110" spans="13:17" x14ac:dyDescent="0.2">
      <c r="M110" s="3"/>
      <c r="N110" s="3"/>
      <c r="O110" s="3"/>
      <c r="P110" s="3"/>
      <c r="Q110" s="3"/>
    </row>
    <row r="111" spans="13:17" x14ac:dyDescent="0.2">
      <c r="M111" s="3"/>
      <c r="N111" s="3"/>
      <c r="O111" s="3"/>
      <c r="P111" s="3"/>
      <c r="Q111" s="3"/>
    </row>
    <row r="112" spans="13:17" x14ac:dyDescent="0.2">
      <c r="M112" s="3"/>
      <c r="N112" s="3"/>
      <c r="O112" s="3"/>
      <c r="P112" s="3"/>
      <c r="Q112" s="3"/>
    </row>
    <row r="113" spans="13:17" x14ac:dyDescent="0.2">
      <c r="M113" s="3"/>
      <c r="N113" s="3"/>
      <c r="O113" s="3"/>
      <c r="P113" s="3"/>
      <c r="Q113" s="3"/>
    </row>
    <row r="114" spans="13:17" x14ac:dyDescent="0.2">
      <c r="M114" s="3"/>
      <c r="N114" s="3"/>
      <c r="O114" s="3"/>
      <c r="P114" s="3"/>
      <c r="Q114" s="3"/>
    </row>
    <row r="115" spans="13:17" x14ac:dyDescent="0.2">
      <c r="M115" s="3"/>
      <c r="N115" s="3"/>
      <c r="O115" s="3"/>
      <c r="P115" s="3"/>
      <c r="Q115" s="3"/>
    </row>
    <row r="116" spans="13:17" x14ac:dyDescent="0.2">
      <c r="M116" s="3"/>
      <c r="N116" s="3"/>
      <c r="O116" s="3"/>
      <c r="P116" s="3"/>
      <c r="Q116" s="3"/>
    </row>
    <row r="117" spans="13:17" x14ac:dyDescent="0.2">
      <c r="M117" s="3"/>
      <c r="N117" s="3"/>
      <c r="O117" s="3"/>
      <c r="P117" s="3"/>
      <c r="Q117" s="3"/>
    </row>
    <row r="118" spans="13:17" x14ac:dyDescent="0.2">
      <c r="M118" s="3"/>
      <c r="N118" s="3"/>
      <c r="O118" s="3"/>
      <c r="P118" s="3"/>
      <c r="Q118" s="3"/>
    </row>
    <row r="119" spans="13:17" x14ac:dyDescent="0.2">
      <c r="M119" s="3"/>
      <c r="N119" s="3"/>
      <c r="O119" s="3"/>
      <c r="P119" s="3"/>
      <c r="Q119" s="3"/>
    </row>
    <row r="120" spans="13:17" x14ac:dyDescent="0.2">
      <c r="M120" s="3"/>
      <c r="N120" s="3"/>
      <c r="O120" s="3"/>
      <c r="P120" s="3"/>
      <c r="Q120" s="3"/>
    </row>
    <row r="121" spans="13:17" x14ac:dyDescent="0.2">
      <c r="M121" s="3"/>
      <c r="N121" s="3"/>
      <c r="O121" s="3"/>
      <c r="P121" s="3"/>
      <c r="Q121" s="3"/>
    </row>
    <row r="122" spans="13:17" x14ac:dyDescent="0.2">
      <c r="M122" s="3"/>
      <c r="N122" s="3"/>
      <c r="O122" s="3"/>
      <c r="P122" s="3"/>
      <c r="Q122" s="3"/>
    </row>
    <row r="123" spans="13:17" x14ac:dyDescent="0.2">
      <c r="M123" s="3"/>
      <c r="N123" s="3"/>
      <c r="O123" s="3"/>
      <c r="P123" s="3"/>
      <c r="Q123" s="3"/>
    </row>
    <row r="124" spans="13:17" x14ac:dyDescent="0.2">
      <c r="M124" s="3"/>
      <c r="N124" s="3"/>
      <c r="O124" s="3"/>
      <c r="P124" s="3"/>
      <c r="Q124" s="3"/>
    </row>
    <row r="125" spans="13:17" x14ac:dyDescent="0.2">
      <c r="M125" s="3"/>
      <c r="N125" s="3"/>
      <c r="O125" s="3"/>
      <c r="P125" s="3"/>
      <c r="Q125" s="3"/>
    </row>
    <row r="126" spans="13:17" x14ac:dyDescent="0.2">
      <c r="M126" s="3"/>
      <c r="N126" s="3"/>
      <c r="O126" s="3"/>
      <c r="P126" s="3"/>
      <c r="Q126" s="3"/>
    </row>
    <row r="127" spans="13:17" x14ac:dyDescent="0.2">
      <c r="M127" s="3"/>
      <c r="N127" s="3"/>
      <c r="O127" s="3"/>
      <c r="P127" s="3"/>
      <c r="Q127" s="3"/>
    </row>
    <row r="128" spans="13:17" x14ac:dyDescent="0.2">
      <c r="M128" s="3"/>
      <c r="N128" s="3"/>
      <c r="O128" s="3"/>
      <c r="P128" s="3"/>
      <c r="Q128" s="3"/>
    </row>
    <row r="129" spans="13:17" x14ac:dyDescent="0.2">
      <c r="M129" s="3"/>
      <c r="N129" s="3"/>
      <c r="O129" s="3"/>
      <c r="P129" s="3"/>
      <c r="Q129" s="3"/>
    </row>
    <row r="130" spans="13:17" x14ac:dyDescent="0.2">
      <c r="M130" s="3"/>
      <c r="N130" s="3"/>
      <c r="O130" s="3"/>
      <c r="P130" s="3"/>
      <c r="Q130" s="3"/>
    </row>
    <row r="131" spans="13:17" x14ac:dyDescent="0.2">
      <c r="M131" s="3"/>
      <c r="N131" s="3"/>
      <c r="O131" s="3"/>
      <c r="P131" s="3"/>
      <c r="Q131" s="3"/>
    </row>
    <row r="132" spans="13:17" x14ac:dyDescent="0.2">
      <c r="M132" s="3"/>
      <c r="N132" s="3"/>
      <c r="O132" s="3"/>
      <c r="P132" s="3"/>
      <c r="Q132" s="3"/>
    </row>
    <row r="133" spans="13:17" x14ac:dyDescent="0.2">
      <c r="M133" s="3"/>
      <c r="N133" s="3"/>
      <c r="O133" s="3"/>
      <c r="P133" s="3"/>
      <c r="Q133" s="3"/>
    </row>
    <row r="134" spans="13:17" x14ac:dyDescent="0.2">
      <c r="M134" s="3"/>
      <c r="N134" s="3"/>
      <c r="O134" s="3"/>
      <c r="P134" s="3"/>
      <c r="Q134" s="3"/>
    </row>
    <row r="135" spans="13:17" x14ac:dyDescent="0.2">
      <c r="M135" s="3"/>
      <c r="N135" s="3"/>
      <c r="O135" s="3"/>
      <c r="P135" s="3"/>
      <c r="Q135" s="3"/>
    </row>
    <row r="136" spans="13:17" x14ac:dyDescent="0.2">
      <c r="M136" s="3"/>
      <c r="N136" s="3"/>
      <c r="O136" s="3"/>
      <c r="P136" s="3"/>
      <c r="Q136" s="3"/>
    </row>
    <row r="137" spans="13:17" x14ac:dyDescent="0.2">
      <c r="M137" s="3"/>
      <c r="N137" s="3"/>
      <c r="O137" s="3"/>
      <c r="P137" s="3"/>
      <c r="Q137" s="3"/>
    </row>
    <row r="138" spans="13:17" x14ac:dyDescent="0.2">
      <c r="M138" s="3"/>
      <c r="N138" s="3"/>
      <c r="O138" s="3"/>
      <c r="P138" s="3"/>
      <c r="Q138" s="3"/>
    </row>
    <row r="139" spans="13:17" x14ac:dyDescent="0.2">
      <c r="M139" s="3"/>
      <c r="N139" s="3"/>
      <c r="O139" s="3"/>
      <c r="P139" s="3"/>
      <c r="Q139" s="3"/>
    </row>
    <row r="140" spans="13:17" x14ac:dyDescent="0.2">
      <c r="M140" s="3"/>
      <c r="N140" s="3"/>
      <c r="O140" s="3"/>
      <c r="P140" s="3"/>
      <c r="Q140" s="3"/>
    </row>
    <row r="141" spans="13:17" x14ac:dyDescent="0.2">
      <c r="M141" s="3"/>
      <c r="N141" s="3"/>
      <c r="O141" s="3"/>
      <c r="P141" s="3"/>
      <c r="Q141" s="3"/>
    </row>
    <row r="142" spans="13:17" x14ac:dyDescent="0.2">
      <c r="M142" s="3"/>
      <c r="N142" s="3"/>
      <c r="O142" s="3"/>
      <c r="P142" s="3"/>
      <c r="Q142" s="3"/>
    </row>
    <row r="143" spans="13:17" x14ac:dyDescent="0.2">
      <c r="M143" s="3"/>
      <c r="N143" s="3"/>
      <c r="O143" s="3"/>
      <c r="P143" s="3"/>
      <c r="Q143" s="3"/>
    </row>
    <row r="144" spans="13:17" x14ac:dyDescent="0.2">
      <c r="M144" s="3"/>
      <c r="N144" s="3"/>
      <c r="O144" s="3"/>
      <c r="P144" s="3"/>
      <c r="Q144" s="3"/>
    </row>
    <row r="145" spans="13:17" x14ac:dyDescent="0.2">
      <c r="M145" s="3"/>
      <c r="N145" s="3"/>
      <c r="O145" s="3"/>
      <c r="P145" s="3"/>
      <c r="Q145" s="3"/>
    </row>
    <row r="146" spans="13:17" x14ac:dyDescent="0.2">
      <c r="M146" s="3"/>
      <c r="N146" s="3"/>
      <c r="O146" s="3"/>
      <c r="P146" s="3"/>
      <c r="Q146" s="3"/>
    </row>
    <row r="147" spans="13:17" x14ac:dyDescent="0.2">
      <c r="M147" s="3"/>
      <c r="N147" s="3"/>
      <c r="O147" s="3"/>
      <c r="P147" s="3"/>
      <c r="Q147" s="3"/>
    </row>
    <row r="148" spans="13:17" x14ac:dyDescent="0.2">
      <c r="M148" s="3"/>
      <c r="N148" s="3"/>
      <c r="O148" s="3"/>
      <c r="P148" s="3"/>
      <c r="Q148" s="3"/>
    </row>
    <row r="149" spans="13:17" x14ac:dyDescent="0.2">
      <c r="M149" s="3"/>
      <c r="N149" s="3"/>
      <c r="O149" s="3"/>
      <c r="P149" s="3"/>
      <c r="Q149" s="3"/>
    </row>
    <row r="150" spans="13:17" x14ac:dyDescent="0.2">
      <c r="M150" s="3"/>
      <c r="N150" s="3"/>
      <c r="O150" s="3"/>
      <c r="P150" s="3"/>
      <c r="Q150" s="3"/>
    </row>
    <row r="151" spans="13:17" x14ac:dyDescent="0.2">
      <c r="M151" s="3"/>
      <c r="N151" s="3"/>
      <c r="O151" s="3"/>
      <c r="P151" s="3"/>
      <c r="Q151" s="3"/>
    </row>
    <row r="152" spans="13:17" x14ac:dyDescent="0.2">
      <c r="M152" s="3"/>
      <c r="N152" s="3"/>
      <c r="O152" s="3"/>
      <c r="P152" s="3"/>
      <c r="Q152" s="3"/>
    </row>
    <row r="153" spans="13:17" x14ac:dyDescent="0.2">
      <c r="M153" s="3"/>
      <c r="N153" s="3"/>
      <c r="O153" s="3"/>
      <c r="P153" s="3"/>
      <c r="Q153" s="3"/>
    </row>
    <row r="154" spans="13:17" x14ac:dyDescent="0.2">
      <c r="M154" s="3"/>
      <c r="N154" s="3"/>
      <c r="O154" s="3"/>
      <c r="P154" s="3"/>
      <c r="Q154" s="3"/>
    </row>
    <row r="155" spans="13:17" x14ac:dyDescent="0.2">
      <c r="M155" s="3"/>
      <c r="N155" s="3"/>
      <c r="O155" s="3"/>
      <c r="P155" s="3"/>
      <c r="Q155" s="3"/>
    </row>
    <row r="156" spans="13:17" x14ac:dyDescent="0.2">
      <c r="M156" s="3"/>
      <c r="N156" s="3"/>
      <c r="O156" s="3"/>
      <c r="P156" s="3"/>
      <c r="Q156" s="3"/>
    </row>
    <row r="157" spans="13:17" x14ac:dyDescent="0.2">
      <c r="M157" s="3"/>
      <c r="N157" s="3"/>
      <c r="O157" s="3"/>
      <c r="P157" s="3"/>
      <c r="Q157" s="3"/>
    </row>
    <row r="158" spans="13:17" x14ac:dyDescent="0.2">
      <c r="M158" s="3"/>
      <c r="N158" s="3"/>
      <c r="O158" s="3"/>
      <c r="P158" s="3"/>
      <c r="Q158" s="3"/>
    </row>
    <row r="159" spans="13:17" x14ac:dyDescent="0.2">
      <c r="M159" s="3"/>
      <c r="N159" s="3"/>
      <c r="O159" s="3"/>
      <c r="P159" s="3"/>
      <c r="Q159" s="3"/>
    </row>
    <row r="160" spans="13:17" x14ac:dyDescent="0.2">
      <c r="M160" s="3"/>
      <c r="N160" s="3"/>
      <c r="O160" s="3"/>
      <c r="P160" s="3"/>
      <c r="Q160" s="3"/>
    </row>
    <row r="161" spans="13:17" x14ac:dyDescent="0.2">
      <c r="M161" s="3"/>
      <c r="N161" s="3"/>
      <c r="O161" s="3"/>
      <c r="P161" s="3"/>
      <c r="Q161" s="3"/>
    </row>
    <row r="162" spans="13:17" x14ac:dyDescent="0.2">
      <c r="M162" s="3"/>
      <c r="N162" s="3"/>
      <c r="O162" s="3"/>
      <c r="P162" s="3"/>
      <c r="Q162" s="3"/>
    </row>
    <row r="163" spans="13:17" x14ac:dyDescent="0.2">
      <c r="M163" s="3"/>
      <c r="N163" s="3"/>
      <c r="O163" s="3"/>
      <c r="P163" s="3"/>
      <c r="Q163" s="3"/>
    </row>
    <row r="164" spans="13:17" x14ac:dyDescent="0.2">
      <c r="M164" s="3"/>
      <c r="N164" s="3"/>
      <c r="O164" s="3"/>
      <c r="P164" s="3"/>
      <c r="Q164" s="3"/>
    </row>
    <row r="165" spans="13:17" x14ac:dyDescent="0.2">
      <c r="M165" s="3"/>
      <c r="N165" s="3"/>
      <c r="O165" s="3"/>
      <c r="P165" s="3"/>
      <c r="Q165" s="3"/>
    </row>
    <row r="166" spans="13:17" x14ac:dyDescent="0.2">
      <c r="M166" s="3"/>
      <c r="N166" s="3"/>
      <c r="O166" s="3"/>
      <c r="P166" s="3"/>
      <c r="Q166" s="3"/>
    </row>
    <row r="167" spans="13:17" x14ac:dyDescent="0.2">
      <c r="M167" s="3"/>
      <c r="N167" s="3"/>
      <c r="O167" s="3"/>
      <c r="P167" s="3"/>
      <c r="Q167" s="3"/>
    </row>
    <row r="168" spans="13:17" x14ac:dyDescent="0.2">
      <c r="M168" s="3"/>
      <c r="N168" s="3"/>
      <c r="O168" s="3"/>
      <c r="P168" s="3"/>
      <c r="Q168" s="3"/>
    </row>
    <row r="169" spans="13:17" x14ac:dyDescent="0.2">
      <c r="M169" s="3"/>
      <c r="N169" s="3"/>
      <c r="O169" s="3"/>
      <c r="P169" s="3"/>
      <c r="Q169" s="3"/>
    </row>
    <row r="170" spans="13:17" x14ac:dyDescent="0.2">
      <c r="M170" s="3"/>
      <c r="N170" s="3"/>
      <c r="O170" s="3"/>
      <c r="P170" s="3"/>
      <c r="Q170" s="3"/>
    </row>
    <row r="171" spans="13:17" x14ac:dyDescent="0.2">
      <c r="M171" s="3"/>
      <c r="N171" s="3"/>
      <c r="O171" s="3"/>
      <c r="P171" s="3"/>
      <c r="Q171" s="3"/>
    </row>
    <row r="172" spans="13:17" x14ac:dyDescent="0.2">
      <c r="M172" s="3"/>
      <c r="N172" s="3"/>
      <c r="O172" s="3"/>
      <c r="P172" s="3"/>
      <c r="Q172" s="3"/>
    </row>
    <row r="173" spans="13:17" x14ac:dyDescent="0.2">
      <c r="M173" s="3"/>
      <c r="N173" s="3"/>
      <c r="O173" s="3"/>
      <c r="P173" s="3"/>
      <c r="Q173" s="3"/>
    </row>
    <row r="174" spans="13:17" x14ac:dyDescent="0.2">
      <c r="M174" s="3"/>
      <c r="N174" s="3"/>
      <c r="O174" s="3"/>
      <c r="P174" s="3"/>
      <c r="Q174" s="3"/>
    </row>
    <row r="175" spans="13:17" x14ac:dyDescent="0.2">
      <c r="M175" s="3"/>
      <c r="N175" s="3"/>
      <c r="O175" s="3"/>
      <c r="P175" s="3"/>
      <c r="Q175" s="3"/>
    </row>
    <row r="176" spans="13:17" x14ac:dyDescent="0.2">
      <c r="M176" s="3"/>
      <c r="N176" s="3"/>
      <c r="O176" s="3"/>
      <c r="P176" s="3"/>
      <c r="Q176" s="3"/>
    </row>
    <row r="177" spans="13:17" x14ac:dyDescent="0.2">
      <c r="M177" s="3"/>
      <c r="N177" s="3"/>
      <c r="O177" s="3"/>
      <c r="P177" s="3"/>
      <c r="Q177" s="3"/>
    </row>
    <row r="178" spans="13:17" x14ac:dyDescent="0.2">
      <c r="M178" s="3"/>
      <c r="N178" s="3"/>
      <c r="O178" s="3"/>
      <c r="P178" s="3"/>
      <c r="Q178" s="3"/>
    </row>
    <row r="179" spans="13:17" x14ac:dyDescent="0.2">
      <c r="M179" s="3"/>
      <c r="N179" s="3"/>
      <c r="O179" s="3"/>
      <c r="P179" s="3"/>
      <c r="Q179" s="3"/>
    </row>
    <row r="180" spans="13:17" x14ac:dyDescent="0.2">
      <c r="M180" s="3"/>
      <c r="N180" s="3"/>
      <c r="O180" s="3"/>
      <c r="P180" s="3"/>
      <c r="Q180" s="3"/>
    </row>
    <row r="181" spans="13:17" x14ac:dyDescent="0.2">
      <c r="M181" s="3"/>
      <c r="N181" s="3"/>
      <c r="O181" s="3"/>
      <c r="P181" s="3"/>
      <c r="Q181" s="3"/>
    </row>
    <row r="182" spans="13:17" x14ac:dyDescent="0.2">
      <c r="M182" s="3"/>
      <c r="N182" s="3"/>
      <c r="O182" s="3"/>
      <c r="P182" s="3"/>
      <c r="Q182" s="3"/>
    </row>
    <row r="183" spans="13:17" x14ac:dyDescent="0.2">
      <c r="M183" s="3"/>
      <c r="N183" s="3"/>
      <c r="O183" s="3"/>
      <c r="P183" s="3"/>
      <c r="Q183" s="3"/>
    </row>
    <row r="184" spans="13:17" x14ac:dyDescent="0.2">
      <c r="M184" s="3"/>
      <c r="N184" s="3"/>
      <c r="O184" s="3"/>
      <c r="P184" s="3"/>
      <c r="Q184" s="3"/>
    </row>
    <row r="185" spans="13:17" x14ac:dyDescent="0.2">
      <c r="M185" s="3"/>
      <c r="N185" s="3"/>
      <c r="O185" s="3"/>
      <c r="P185" s="3"/>
      <c r="Q185" s="3"/>
    </row>
    <row r="186" spans="13:17" x14ac:dyDescent="0.2">
      <c r="M186" s="3"/>
      <c r="N186" s="3"/>
      <c r="O186" s="3"/>
      <c r="P186" s="3"/>
      <c r="Q186" s="3"/>
    </row>
    <row r="187" spans="13:17" x14ac:dyDescent="0.2">
      <c r="M187" s="3"/>
      <c r="N187" s="3"/>
      <c r="O187" s="3"/>
      <c r="P187" s="3"/>
      <c r="Q187" s="3"/>
    </row>
    <row r="188" spans="13:17" x14ac:dyDescent="0.2">
      <c r="M188" s="3"/>
      <c r="N188" s="3"/>
      <c r="O188" s="3"/>
      <c r="P188" s="3"/>
      <c r="Q188" s="3"/>
    </row>
    <row r="189" spans="13:17" x14ac:dyDescent="0.2">
      <c r="M189" s="3"/>
      <c r="N189" s="3"/>
      <c r="O189" s="3"/>
      <c r="P189" s="3"/>
      <c r="Q189" s="3"/>
    </row>
    <row r="190" spans="13:17" x14ac:dyDescent="0.2">
      <c r="M190" s="3"/>
      <c r="N190" s="3"/>
      <c r="O190" s="3"/>
      <c r="P190" s="3"/>
      <c r="Q190" s="3"/>
    </row>
    <row r="191" spans="13:17" x14ac:dyDescent="0.2">
      <c r="M191" s="3"/>
      <c r="N191" s="3"/>
      <c r="O191" s="3"/>
      <c r="P191" s="3"/>
      <c r="Q191" s="3"/>
    </row>
    <row r="192" spans="13:17" x14ac:dyDescent="0.2">
      <c r="M192" s="3"/>
      <c r="N192" s="3"/>
      <c r="O192" s="3"/>
      <c r="P192" s="3"/>
      <c r="Q192" s="3"/>
    </row>
    <row r="193" spans="13:17" x14ac:dyDescent="0.2">
      <c r="M193" s="3"/>
      <c r="N193" s="3"/>
      <c r="O193" s="3"/>
      <c r="P193" s="3"/>
      <c r="Q193" s="3"/>
    </row>
    <row r="194" spans="13:17" x14ac:dyDescent="0.2">
      <c r="M194" s="3"/>
      <c r="N194" s="3"/>
      <c r="O194" s="3"/>
      <c r="P194" s="3"/>
      <c r="Q194" s="3"/>
    </row>
    <row r="195" spans="13:17" x14ac:dyDescent="0.2">
      <c r="M195" s="3"/>
      <c r="N195" s="3"/>
      <c r="O195" s="3"/>
      <c r="P195" s="3"/>
      <c r="Q195" s="3"/>
    </row>
    <row r="196" spans="13:17" x14ac:dyDescent="0.2">
      <c r="M196" s="3"/>
      <c r="N196" s="3"/>
      <c r="O196" s="3"/>
      <c r="P196" s="3"/>
      <c r="Q196" s="3"/>
    </row>
    <row r="197" spans="13:17" x14ac:dyDescent="0.2">
      <c r="M197" s="3"/>
      <c r="N197" s="3"/>
      <c r="O197" s="3"/>
      <c r="P197" s="3"/>
      <c r="Q197" s="3"/>
    </row>
    <row r="198" spans="13:17" x14ac:dyDescent="0.2">
      <c r="M198" s="3"/>
      <c r="N198" s="3"/>
      <c r="O198" s="3"/>
      <c r="P198" s="3"/>
      <c r="Q198" s="3"/>
    </row>
    <row r="199" spans="13:17" x14ac:dyDescent="0.2">
      <c r="M199" s="3"/>
      <c r="N199" s="3"/>
      <c r="O199" s="3"/>
      <c r="P199" s="3"/>
      <c r="Q199" s="3"/>
    </row>
    <row r="200" spans="13:17" x14ac:dyDescent="0.2">
      <c r="M200" s="3"/>
      <c r="N200" s="3"/>
      <c r="O200" s="3"/>
      <c r="P200" s="3"/>
      <c r="Q200" s="3"/>
    </row>
    <row r="201" spans="13:17" x14ac:dyDescent="0.2">
      <c r="M201" s="3"/>
      <c r="N201" s="3"/>
      <c r="O201" s="3"/>
      <c r="P201" s="3"/>
      <c r="Q201" s="3"/>
    </row>
    <row r="202" spans="13:17" x14ac:dyDescent="0.2">
      <c r="M202" s="3"/>
      <c r="N202" s="3"/>
      <c r="O202" s="3"/>
      <c r="P202" s="3"/>
      <c r="Q202" s="3"/>
    </row>
    <row r="203" spans="13:17" x14ac:dyDescent="0.2">
      <c r="M203" s="3"/>
      <c r="N203" s="3"/>
      <c r="O203" s="3"/>
      <c r="P203" s="3"/>
      <c r="Q203" s="3"/>
    </row>
    <row r="204" spans="13:17" x14ac:dyDescent="0.2">
      <c r="M204" s="3"/>
      <c r="N204" s="3"/>
      <c r="O204" s="3"/>
      <c r="P204" s="3"/>
      <c r="Q204" s="3"/>
    </row>
    <row r="205" spans="13:17" x14ac:dyDescent="0.2">
      <c r="M205" s="3"/>
      <c r="N205" s="3"/>
      <c r="O205" s="3"/>
      <c r="P205" s="3"/>
      <c r="Q205" s="3"/>
    </row>
    <row r="206" spans="13:17" x14ac:dyDescent="0.2">
      <c r="M206" s="3"/>
      <c r="N206" s="3"/>
      <c r="O206" s="3"/>
      <c r="P206" s="3"/>
      <c r="Q206" s="3"/>
    </row>
    <row r="207" spans="13:17" x14ac:dyDescent="0.2">
      <c r="M207" s="3"/>
      <c r="N207" s="3"/>
      <c r="O207" s="3"/>
      <c r="P207" s="3"/>
      <c r="Q207" s="3"/>
    </row>
    <row r="208" spans="13:17" x14ac:dyDescent="0.2">
      <c r="M208" s="3"/>
      <c r="N208" s="3"/>
      <c r="O208" s="3"/>
      <c r="P208" s="3"/>
      <c r="Q208" s="3"/>
    </row>
    <row r="209" spans="13:17" x14ac:dyDescent="0.2">
      <c r="M209" s="3"/>
      <c r="N209" s="3"/>
      <c r="O209" s="3"/>
      <c r="P209" s="3"/>
      <c r="Q209" s="3"/>
    </row>
    <row r="210" spans="13:17" x14ac:dyDescent="0.2">
      <c r="M210" s="3"/>
      <c r="N210" s="3"/>
      <c r="O210" s="3"/>
      <c r="P210" s="3"/>
      <c r="Q210" s="3"/>
    </row>
    <row r="211" spans="13:17" x14ac:dyDescent="0.2">
      <c r="M211" s="3"/>
      <c r="N211" s="3"/>
      <c r="O211" s="3"/>
      <c r="P211" s="3"/>
      <c r="Q211" s="3"/>
    </row>
    <row r="212" spans="13:17" x14ac:dyDescent="0.2">
      <c r="M212" s="3"/>
      <c r="N212" s="3"/>
      <c r="O212" s="3"/>
      <c r="P212" s="3"/>
      <c r="Q212" s="3"/>
    </row>
    <row r="213" spans="13:17" x14ac:dyDescent="0.2">
      <c r="M213" s="3"/>
      <c r="N213" s="3"/>
      <c r="O213" s="3"/>
      <c r="P213" s="3"/>
      <c r="Q213" s="3"/>
    </row>
    <row r="214" spans="13:17" x14ac:dyDescent="0.2">
      <c r="M214" s="3"/>
      <c r="N214" s="3"/>
      <c r="O214" s="3"/>
      <c r="P214" s="3"/>
      <c r="Q214" s="3"/>
    </row>
    <row r="215" spans="13:17" x14ac:dyDescent="0.2">
      <c r="M215" s="3"/>
      <c r="N215" s="3"/>
      <c r="O215" s="3"/>
      <c r="P215" s="3"/>
      <c r="Q215" s="3"/>
    </row>
    <row r="216" spans="13:17" x14ac:dyDescent="0.2">
      <c r="M216" s="3"/>
      <c r="N216" s="3"/>
      <c r="O216" s="3"/>
      <c r="P216" s="3"/>
      <c r="Q216" s="3"/>
    </row>
    <row r="217" spans="13:17" x14ac:dyDescent="0.2">
      <c r="M217" s="3"/>
      <c r="N217" s="3"/>
      <c r="O217" s="3"/>
      <c r="P217" s="3"/>
      <c r="Q217" s="3"/>
    </row>
    <row r="218" spans="13:17" x14ac:dyDescent="0.2">
      <c r="M218" s="3"/>
      <c r="N218" s="3"/>
      <c r="O218" s="3"/>
      <c r="P218" s="3"/>
      <c r="Q218" s="3"/>
    </row>
    <row r="219" spans="13:17" x14ac:dyDescent="0.2">
      <c r="M219" s="3"/>
      <c r="N219" s="3"/>
      <c r="O219" s="3"/>
      <c r="P219" s="3"/>
      <c r="Q219" s="3"/>
    </row>
    <row r="220" spans="13:17" x14ac:dyDescent="0.2">
      <c r="M220" s="3"/>
      <c r="N220" s="3"/>
      <c r="O220" s="3"/>
      <c r="P220" s="3"/>
      <c r="Q220" s="3"/>
    </row>
    <row r="221" spans="13:17" x14ac:dyDescent="0.2">
      <c r="M221" s="3"/>
      <c r="N221" s="3"/>
      <c r="O221" s="3"/>
      <c r="P221" s="3"/>
      <c r="Q221" s="3"/>
    </row>
    <row r="222" spans="13:17" x14ac:dyDescent="0.2">
      <c r="M222" s="3"/>
      <c r="N222" s="3"/>
      <c r="O222" s="3"/>
      <c r="P222" s="3"/>
      <c r="Q222" s="3"/>
    </row>
    <row r="223" spans="13:17" x14ac:dyDescent="0.2">
      <c r="M223" s="3"/>
      <c r="N223" s="3"/>
      <c r="O223" s="3"/>
      <c r="P223" s="3"/>
      <c r="Q223" s="3"/>
    </row>
    <row r="224" spans="13:17" x14ac:dyDescent="0.2">
      <c r="M224" s="3"/>
      <c r="N224" s="3"/>
      <c r="O224" s="3"/>
      <c r="P224" s="3"/>
      <c r="Q224" s="3"/>
    </row>
    <row r="225" spans="13:17" x14ac:dyDescent="0.2">
      <c r="M225" s="3"/>
      <c r="N225" s="3"/>
      <c r="O225" s="3"/>
      <c r="P225" s="3"/>
      <c r="Q225" s="3"/>
    </row>
    <row r="226" spans="13:17" x14ac:dyDescent="0.2">
      <c r="M226" s="3"/>
      <c r="N226" s="3"/>
      <c r="O226" s="3"/>
      <c r="P226" s="3"/>
      <c r="Q226" s="3"/>
    </row>
    <row r="227" spans="13:17" x14ac:dyDescent="0.2">
      <c r="M227" s="3"/>
      <c r="N227" s="3"/>
      <c r="O227" s="3"/>
      <c r="P227" s="3"/>
      <c r="Q227" s="3"/>
    </row>
    <row r="228" spans="13:17" x14ac:dyDescent="0.2">
      <c r="M228" s="3"/>
      <c r="N228" s="3"/>
      <c r="O228" s="3"/>
      <c r="P228" s="3"/>
      <c r="Q228" s="3"/>
    </row>
    <row r="229" spans="13:17" x14ac:dyDescent="0.2">
      <c r="M229" s="3"/>
      <c r="N229" s="3"/>
      <c r="O229" s="3"/>
      <c r="P229" s="3"/>
      <c r="Q229" s="3"/>
    </row>
    <row r="230" spans="13:17" x14ac:dyDescent="0.2">
      <c r="M230" s="3"/>
      <c r="N230" s="3"/>
      <c r="O230" s="3"/>
      <c r="P230" s="3"/>
      <c r="Q230" s="3"/>
    </row>
    <row r="231" spans="13:17" x14ac:dyDescent="0.2">
      <c r="M231" s="3"/>
      <c r="N231" s="3"/>
      <c r="O231" s="3"/>
      <c r="P231" s="3"/>
      <c r="Q231" s="3"/>
    </row>
    <row r="232" spans="13:17" x14ac:dyDescent="0.2">
      <c r="M232" s="3"/>
      <c r="N232" s="3"/>
      <c r="O232" s="3"/>
      <c r="P232" s="3"/>
      <c r="Q232" s="3"/>
    </row>
    <row r="233" spans="13:17" x14ac:dyDescent="0.2">
      <c r="M233" s="3"/>
      <c r="N233" s="3"/>
      <c r="O233" s="3"/>
      <c r="P233" s="3"/>
      <c r="Q233" s="3"/>
    </row>
    <row r="234" spans="13:17" x14ac:dyDescent="0.2">
      <c r="M234" s="3"/>
      <c r="N234" s="3"/>
      <c r="O234" s="3"/>
      <c r="P234" s="3"/>
      <c r="Q234" s="3"/>
    </row>
    <row r="235" spans="13:17" x14ac:dyDescent="0.2">
      <c r="M235" s="3"/>
      <c r="N235" s="3"/>
      <c r="O235" s="3"/>
      <c r="P235" s="3"/>
      <c r="Q235" s="3"/>
    </row>
    <row r="236" spans="13:17" x14ac:dyDescent="0.2">
      <c r="M236" s="3"/>
      <c r="N236" s="3"/>
      <c r="O236" s="3"/>
      <c r="P236" s="3"/>
      <c r="Q236" s="3"/>
    </row>
    <row r="237" spans="13:17" x14ac:dyDescent="0.2">
      <c r="M237" s="3"/>
      <c r="N237" s="3"/>
      <c r="O237" s="3"/>
      <c r="P237" s="3"/>
      <c r="Q237" s="3"/>
    </row>
    <row r="238" spans="13:17" x14ac:dyDescent="0.2">
      <c r="M238" s="3"/>
      <c r="N238" s="3"/>
      <c r="O238" s="3"/>
      <c r="P238" s="3"/>
      <c r="Q238" s="3"/>
    </row>
    <row r="239" spans="13:17" x14ac:dyDescent="0.2">
      <c r="M239" s="3"/>
      <c r="N239" s="3"/>
      <c r="O239" s="3"/>
      <c r="P239" s="3"/>
      <c r="Q239" s="3"/>
    </row>
    <row r="240" spans="13:17" x14ac:dyDescent="0.2">
      <c r="M240" s="3"/>
      <c r="N240" s="3"/>
      <c r="O240" s="3"/>
      <c r="P240" s="3"/>
      <c r="Q240" s="3"/>
    </row>
    <row r="241" spans="13:17" x14ac:dyDescent="0.2">
      <c r="M241" s="3"/>
      <c r="N241" s="3"/>
      <c r="O241" s="3"/>
      <c r="P241" s="3"/>
      <c r="Q241" s="3"/>
    </row>
    <row r="242" spans="13:17" x14ac:dyDescent="0.2">
      <c r="M242" s="3"/>
      <c r="N242" s="3"/>
      <c r="O242" s="3"/>
      <c r="P242" s="3"/>
      <c r="Q242" s="3"/>
    </row>
    <row r="243" spans="13:17" x14ac:dyDescent="0.2">
      <c r="M243" s="3"/>
      <c r="N243" s="3"/>
      <c r="O243" s="3"/>
      <c r="P243" s="3"/>
      <c r="Q243" s="3"/>
    </row>
    <row r="244" spans="13:17" x14ac:dyDescent="0.2">
      <c r="M244" s="3"/>
      <c r="N244" s="3"/>
      <c r="O244" s="3"/>
      <c r="P244" s="3"/>
      <c r="Q244" s="3"/>
    </row>
    <row r="245" spans="13:17" x14ac:dyDescent="0.2">
      <c r="M245" s="3"/>
      <c r="N245" s="3"/>
      <c r="O245" s="3"/>
      <c r="P245" s="3"/>
      <c r="Q245" s="3"/>
    </row>
    <row r="246" spans="13:17" x14ac:dyDescent="0.2">
      <c r="M246" s="3"/>
      <c r="N246" s="3"/>
      <c r="O246" s="3"/>
      <c r="P246" s="3"/>
      <c r="Q246" s="3"/>
    </row>
    <row r="247" spans="13:17" x14ac:dyDescent="0.2">
      <c r="M247" s="3"/>
      <c r="N247" s="3"/>
      <c r="O247" s="3"/>
      <c r="P247" s="3"/>
      <c r="Q247" s="3"/>
    </row>
    <row r="248" spans="13:17" x14ac:dyDescent="0.2">
      <c r="M248" s="3"/>
      <c r="N248" s="3"/>
      <c r="O248" s="3"/>
      <c r="P248" s="3"/>
      <c r="Q248" s="3"/>
    </row>
    <row r="249" spans="13:17" x14ac:dyDescent="0.2">
      <c r="M249" s="3"/>
      <c r="N249" s="3"/>
      <c r="O249" s="3"/>
      <c r="P249" s="3"/>
      <c r="Q249" s="3"/>
    </row>
    <row r="250" spans="13:17" x14ac:dyDescent="0.2">
      <c r="M250" s="3"/>
      <c r="N250" s="3"/>
      <c r="O250" s="3"/>
      <c r="P250" s="3"/>
      <c r="Q250" s="3"/>
    </row>
    <row r="251" spans="13:17" x14ac:dyDescent="0.2">
      <c r="M251" s="3"/>
      <c r="N251" s="3"/>
      <c r="O251" s="3"/>
      <c r="P251" s="3"/>
      <c r="Q251" s="3"/>
    </row>
    <row r="252" spans="13:17" x14ac:dyDescent="0.2">
      <c r="M252" s="3"/>
      <c r="N252" s="3"/>
      <c r="O252" s="3"/>
      <c r="P252" s="3"/>
      <c r="Q252" s="3"/>
    </row>
    <row r="253" spans="13:17" x14ac:dyDescent="0.2">
      <c r="M253" s="3"/>
      <c r="N253" s="3"/>
      <c r="O253" s="3"/>
      <c r="P253" s="3"/>
      <c r="Q253" s="3"/>
    </row>
    <row r="254" spans="13:17" x14ac:dyDescent="0.2">
      <c r="M254" s="3"/>
      <c r="N254" s="3"/>
      <c r="O254" s="3"/>
      <c r="P254" s="3"/>
      <c r="Q254" s="3"/>
    </row>
    <row r="255" spans="13:17" x14ac:dyDescent="0.2">
      <c r="M255" s="3"/>
      <c r="N255" s="3"/>
      <c r="O255" s="3"/>
      <c r="P255" s="3"/>
      <c r="Q255" s="3"/>
    </row>
    <row r="256" spans="13:17" x14ac:dyDescent="0.2">
      <c r="M256" s="3"/>
      <c r="N256" s="3"/>
      <c r="O256" s="3"/>
      <c r="P256" s="3"/>
      <c r="Q256" s="3"/>
    </row>
    <row r="257" spans="13:17" x14ac:dyDescent="0.2">
      <c r="M257" s="3"/>
      <c r="N257" s="3"/>
      <c r="O257" s="3"/>
      <c r="P257" s="3"/>
      <c r="Q257" s="3"/>
    </row>
    <row r="258" spans="13:17" x14ac:dyDescent="0.2">
      <c r="M258" s="3"/>
      <c r="N258" s="3"/>
      <c r="O258" s="3"/>
      <c r="P258" s="3"/>
      <c r="Q258" s="3"/>
    </row>
    <row r="259" spans="13:17" x14ac:dyDescent="0.2">
      <c r="M259" s="3"/>
      <c r="N259" s="3"/>
      <c r="O259" s="3"/>
      <c r="P259" s="3"/>
      <c r="Q259" s="3"/>
    </row>
    <row r="260" spans="13:17" x14ac:dyDescent="0.2">
      <c r="M260" s="3"/>
      <c r="N260" s="3"/>
      <c r="O260" s="3"/>
      <c r="P260" s="3"/>
      <c r="Q260" s="3"/>
    </row>
    <row r="261" spans="13:17" x14ac:dyDescent="0.2">
      <c r="M261" s="3"/>
      <c r="N261" s="3"/>
      <c r="O261" s="3"/>
      <c r="P261" s="3"/>
      <c r="Q261" s="3"/>
    </row>
    <row r="262" spans="13:17" x14ac:dyDescent="0.2">
      <c r="M262" s="3"/>
      <c r="N262" s="3"/>
      <c r="O262" s="3"/>
      <c r="P262" s="3"/>
      <c r="Q262" s="3"/>
    </row>
    <row r="263" spans="13:17" x14ac:dyDescent="0.2">
      <c r="M263" s="3"/>
      <c r="N263" s="3"/>
      <c r="O263" s="3"/>
      <c r="P263" s="3"/>
      <c r="Q263" s="3"/>
    </row>
    <row r="264" spans="13:17" x14ac:dyDescent="0.2">
      <c r="M264" s="3"/>
      <c r="N264" s="3"/>
      <c r="O264" s="3"/>
      <c r="P264" s="3"/>
      <c r="Q264" s="3"/>
    </row>
    <row r="265" spans="13:17" x14ac:dyDescent="0.2">
      <c r="M265" s="3"/>
      <c r="N265" s="3"/>
      <c r="O265" s="3"/>
      <c r="P265" s="3"/>
      <c r="Q265" s="3"/>
    </row>
    <row r="266" spans="13:17" x14ac:dyDescent="0.2">
      <c r="M266" s="3"/>
      <c r="N266" s="3"/>
      <c r="O266" s="3"/>
      <c r="P266" s="3"/>
      <c r="Q266" s="3"/>
    </row>
    <row r="267" spans="13:17" x14ac:dyDescent="0.2">
      <c r="M267" s="3"/>
      <c r="N267" s="3"/>
      <c r="O267" s="3"/>
      <c r="P267" s="3"/>
      <c r="Q267" s="3"/>
    </row>
    <row r="268" spans="13:17" x14ac:dyDescent="0.2">
      <c r="M268" s="3"/>
      <c r="N268" s="3"/>
      <c r="O268" s="3"/>
      <c r="P268" s="3"/>
      <c r="Q268" s="3"/>
    </row>
    <row r="269" spans="13:17" x14ac:dyDescent="0.2">
      <c r="M269" s="3"/>
      <c r="N269" s="3"/>
      <c r="O269" s="3"/>
      <c r="P269" s="3"/>
      <c r="Q269" s="3"/>
    </row>
    <row r="270" spans="13:17" x14ac:dyDescent="0.2">
      <c r="M270" s="3"/>
      <c r="N270" s="3"/>
      <c r="O270" s="3"/>
      <c r="P270" s="3"/>
      <c r="Q270" s="3"/>
    </row>
    <row r="271" spans="13:17" x14ac:dyDescent="0.2">
      <c r="M271" s="3"/>
      <c r="N271" s="3"/>
      <c r="O271" s="3"/>
      <c r="P271" s="3"/>
      <c r="Q271" s="3"/>
    </row>
    <row r="272" spans="13:17" x14ac:dyDescent="0.2">
      <c r="M272" s="3"/>
      <c r="N272" s="3"/>
      <c r="O272" s="3"/>
      <c r="P272" s="3"/>
      <c r="Q272" s="3"/>
    </row>
    <row r="273" spans="13:17" x14ac:dyDescent="0.2">
      <c r="M273" s="3"/>
      <c r="N273" s="3"/>
      <c r="O273" s="3"/>
      <c r="P273" s="3"/>
      <c r="Q273" s="3"/>
    </row>
    <row r="274" spans="13:17" x14ac:dyDescent="0.2">
      <c r="M274" s="3"/>
      <c r="N274" s="3"/>
      <c r="O274" s="3"/>
      <c r="P274" s="3"/>
      <c r="Q274" s="3"/>
    </row>
    <row r="275" spans="13:17" x14ac:dyDescent="0.2">
      <c r="M275" s="3"/>
      <c r="N275" s="3"/>
      <c r="O275" s="3"/>
      <c r="P275" s="3"/>
      <c r="Q275" s="3"/>
    </row>
    <row r="276" spans="13:17" x14ac:dyDescent="0.2">
      <c r="M276" s="3"/>
      <c r="N276" s="3"/>
      <c r="O276" s="3"/>
      <c r="P276" s="3"/>
      <c r="Q276" s="3"/>
    </row>
    <row r="277" spans="13:17" x14ac:dyDescent="0.2">
      <c r="M277" s="3"/>
      <c r="N277" s="3"/>
      <c r="O277" s="3"/>
      <c r="P277" s="3"/>
      <c r="Q277" s="3"/>
    </row>
    <row r="278" spans="13:17" x14ac:dyDescent="0.2">
      <c r="M278" s="3"/>
      <c r="N278" s="3"/>
      <c r="O278" s="3"/>
      <c r="P278" s="3"/>
      <c r="Q278" s="3"/>
    </row>
    <row r="279" spans="13:17" x14ac:dyDescent="0.2">
      <c r="M279" s="3"/>
      <c r="N279" s="3"/>
      <c r="O279" s="3"/>
      <c r="P279" s="3"/>
      <c r="Q279" s="3"/>
    </row>
    <row r="280" spans="13:17" x14ac:dyDescent="0.2">
      <c r="M280" s="3"/>
      <c r="N280" s="3"/>
      <c r="O280" s="3"/>
      <c r="P280" s="3"/>
      <c r="Q280" s="3"/>
    </row>
    <row r="281" spans="13:17" x14ac:dyDescent="0.2">
      <c r="M281" s="3"/>
      <c r="N281" s="3"/>
      <c r="O281" s="3"/>
      <c r="P281" s="3"/>
      <c r="Q281" s="3"/>
    </row>
    <row r="282" spans="13:17" x14ac:dyDescent="0.2">
      <c r="M282" s="3"/>
      <c r="N282" s="3"/>
      <c r="O282" s="3"/>
      <c r="P282" s="3"/>
      <c r="Q282" s="3"/>
    </row>
    <row r="283" spans="13:17" x14ac:dyDescent="0.2">
      <c r="M283" s="3"/>
      <c r="N283" s="3"/>
      <c r="O283" s="3"/>
      <c r="P283" s="3"/>
      <c r="Q283" s="3"/>
    </row>
    <row r="284" spans="13:17" x14ac:dyDescent="0.2">
      <c r="M284" s="3"/>
      <c r="N284" s="3"/>
      <c r="O284" s="3"/>
      <c r="P284" s="3"/>
      <c r="Q284" s="3"/>
    </row>
    <row r="285" spans="13:17" x14ac:dyDescent="0.2">
      <c r="M285" s="3"/>
      <c r="N285" s="3"/>
      <c r="O285" s="3"/>
      <c r="P285" s="3"/>
      <c r="Q285" s="3"/>
    </row>
    <row r="286" spans="13:17" x14ac:dyDescent="0.2">
      <c r="M286" s="3"/>
      <c r="N286" s="3"/>
      <c r="O286" s="3"/>
      <c r="P286" s="3"/>
      <c r="Q286" s="3"/>
    </row>
    <row r="287" spans="13:17" x14ac:dyDescent="0.2">
      <c r="M287" s="3"/>
      <c r="N287" s="3"/>
      <c r="O287" s="3"/>
      <c r="P287" s="3"/>
      <c r="Q287" s="3"/>
    </row>
    <row r="288" spans="13:17" x14ac:dyDescent="0.2">
      <c r="M288" s="3"/>
      <c r="N288" s="3"/>
      <c r="O288" s="3"/>
      <c r="P288" s="3"/>
      <c r="Q288" s="3"/>
    </row>
    <row r="289" spans="13:17" x14ac:dyDescent="0.2">
      <c r="M289" s="3"/>
      <c r="N289" s="3"/>
      <c r="O289" s="3"/>
      <c r="P289" s="3"/>
      <c r="Q289" s="3"/>
    </row>
    <row r="290" spans="13:17" x14ac:dyDescent="0.2">
      <c r="M290" s="3"/>
      <c r="N290" s="3"/>
      <c r="O290" s="3"/>
      <c r="P290" s="3"/>
      <c r="Q290" s="3"/>
    </row>
    <row r="291" spans="13:17" x14ac:dyDescent="0.2">
      <c r="M291" s="3"/>
      <c r="N291" s="3"/>
      <c r="O291" s="3"/>
      <c r="P291" s="3"/>
      <c r="Q291" s="3"/>
    </row>
    <row r="292" spans="13:17" x14ac:dyDescent="0.2">
      <c r="M292" s="3"/>
      <c r="N292" s="3"/>
      <c r="O292" s="3"/>
      <c r="P292" s="3"/>
      <c r="Q292" s="3"/>
    </row>
    <row r="293" spans="13:17" x14ac:dyDescent="0.2">
      <c r="M293" s="3"/>
      <c r="N293" s="3"/>
      <c r="O293" s="3"/>
      <c r="P293" s="3"/>
      <c r="Q293" s="3"/>
    </row>
    <row r="294" spans="13:17" x14ac:dyDescent="0.2">
      <c r="M294" s="3"/>
      <c r="N294" s="3"/>
      <c r="O294" s="3"/>
      <c r="P294" s="3"/>
      <c r="Q294" s="3"/>
    </row>
    <row r="295" spans="13:17" x14ac:dyDescent="0.2">
      <c r="M295" s="3"/>
      <c r="N295" s="3"/>
      <c r="O295" s="3"/>
      <c r="P295" s="3"/>
      <c r="Q295" s="3"/>
    </row>
    <row r="296" spans="13:17" x14ac:dyDescent="0.2">
      <c r="M296" s="3"/>
      <c r="N296" s="3"/>
      <c r="O296" s="3"/>
      <c r="P296" s="3"/>
      <c r="Q296" s="3"/>
    </row>
    <row r="297" spans="13:17" x14ac:dyDescent="0.2">
      <c r="M297" s="3"/>
      <c r="N297" s="3"/>
      <c r="O297" s="3"/>
      <c r="P297" s="3"/>
      <c r="Q297" s="3"/>
    </row>
    <row r="298" spans="13:17" x14ac:dyDescent="0.2">
      <c r="M298" s="3"/>
      <c r="N298" s="3"/>
      <c r="O298" s="3"/>
      <c r="P298" s="3"/>
      <c r="Q298" s="3"/>
    </row>
    <row r="299" spans="13:17" x14ac:dyDescent="0.2">
      <c r="M299" s="3"/>
      <c r="N299" s="3"/>
      <c r="O299" s="3"/>
      <c r="P299" s="3"/>
      <c r="Q299" s="3"/>
    </row>
    <row r="300" spans="13:17" x14ac:dyDescent="0.2">
      <c r="M300" s="3"/>
      <c r="N300" s="3"/>
      <c r="O300" s="3"/>
      <c r="P300" s="3"/>
      <c r="Q300" s="3"/>
    </row>
    <row r="301" spans="13:17" x14ac:dyDescent="0.2">
      <c r="M301" s="3"/>
      <c r="N301" s="3"/>
      <c r="O301" s="3"/>
      <c r="P301" s="3"/>
      <c r="Q301" s="3"/>
    </row>
    <row r="302" spans="13:17" x14ac:dyDescent="0.2">
      <c r="M302" s="3"/>
      <c r="N302" s="3"/>
      <c r="O302" s="3"/>
      <c r="P302" s="3"/>
      <c r="Q302" s="3"/>
    </row>
    <row r="303" spans="13:17" x14ac:dyDescent="0.2">
      <c r="M303" s="3"/>
      <c r="N303" s="3"/>
      <c r="O303" s="3"/>
      <c r="P303" s="3"/>
      <c r="Q303" s="3"/>
    </row>
    <row r="304" spans="13:17" x14ac:dyDescent="0.2">
      <c r="M304" s="3"/>
      <c r="N304" s="3"/>
      <c r="O304" s="3"/>
      <c r="P304" s="3"/>
      <c r="Q304" s="3"/>
    </row>
    <row r="305" spans="13:17" x14ac:dyDescent="0.2">
      <c r="M305" s="3"/>
      <c r="N305" s="3"/>
      <c r="O305" s="3"/>
      <c r="P305" s="3"/>
      <c r="Q305" s="3"/>
    </row>
    <row r="306" spans="13:17" x14ac:dyDescent="0.2">
      <c r="M306" s="3"/>
      <c r="N306" s="3"/>
      <c r="O306" s="3"/>
      <c r="P306" s="3"/>
      <c r="Q306" s="3"/>
    </row>
    <row r="307" spans="13:17" x14ac:dyDescent="0.2">
      <c r="M307" s="3"/>
      <c r="N307" s="3"/>
      <c r="O307" s="3"/>
      <c r="P307" s="3"/>
      <c r="Q307" s="3"/>
    </row>
    <row r="308" spans="13:17" x14ac:dyDescent="0.2">
      <c r="M308" s="3"/>
      <c r="N308" s="3"/>
      <c r="O308" s="3"/>
      <c r="P308" s="3"/>
      <c r="Q308" s="3"/>
    </row>
    <row r="309" spans="13:17" x14ac:dyDescent="0.2">
      <c r="M309" s="3"/>
      <c r="N309" s="3"/>
      <c r="O309" s="3"/>
      <c r="P309" s="3"/>
      <c r="Q309" s="3"/>
    </row>
    <row r="310" spans="13:17" x14ac:dyDescent="0.2">
      <c r="M310" s="3"/>
      <c r="N310" s="3"/>
      <c r="O310" s="3"/>
      <c r="P310" s="3"/>
      <c r="Q310" s="3"/>
    </row>
    <row r="311" spans="13:17" x14ac:dyDescent="0.2">
      <c r="M311" s="3"/>
      <c r="N311" s="3"/>
      <c r="O311" s="3"/>
      <c r="P311" s="3"/>
      <c r="Q311" s="3"/>
    </row>
    <row r="312" spans="13:17" x14ac:dyDescent="0.2">
      <c r="M312" s="3"/>
      <c r="N312" s="3"/>
      <c r="O312" s="3"/>
      <c r="P312" s="3"/>
      <c r="Q312" s="3"/>
    </row>
    <row r="313" spans="13:17" x14ac:dyDescent="0.2">
      <c r="M313" s="3"/>
      <c r="N313" s="3"/>
      <c r="O313" s="3"/>
      <c r="P313" s="3"/>
      <c r="Q313" s="3"/>
    </row>
    <row r="314" spans="13:17" x14ac:dyDescent="0.2">
      <c r="M314" s="3"/>
      <c r="N314" s="3"/>
      <c r="O314" s="3"/>
      <c r="P314" s="3"/>
      <c r="Q314" s="3"/>
    </row>
    <row r="315" spans="13:17" x14ac:dyDescent="0.2">
      <c r="M315" s="3"/>
      <c r="N315" s="3"/>
      <c r="O315" s="3"/>
      <c r="P315" s="3"/>
      <c r="Q315" s="3"/>
    </row>
    <row r="316" spans="13:17" x14ac:dyDescent="0.2">
      <c r="M316" s="3"/>
      <c r="N316" s="3"/>
      <c r="O316" s="3"/>
      <c r="P316" s="3"/>
      <c r="Q316" s="3"/>
    </row>
    <row r="317" spans="13:17" x14ac:dyDescent="0.2">
      <c r="M317" s="3"/>
      <c r="N317" s="3"/>
      <c r="O317" s="3"/>
      <c r="P317" s="3"/>
      <c r="Q317" s="3"/>
    </row>
    <row r="318" spans="13:17" x14ac:dyDescent="0.2">
      <c r="M318" s="3"/>
      <c r="N318" s="3"/>
      <c r="O318" s="3"/>
      <c r="P318" s="3"/>
      <c r="Q318" s="3"/>
    </row>
    <row r="319" spans="13:17" x14ac:dyDescent="0.2">
      <c r="M319" s="3"/>
      <c r="N319" s="3"/>
      <c r="O319" s="3"/>
      <c r="P319" s="3"/>
      <c r="Q319" s="3"/>
    </row>
    <row r="320" spans="13:17" x14ac:dyDescent="0.2">
      <c r="M320" s="3"/>
      <c r="N320" s="3"/>
      <c r="O320" s="3"/>
      <c r="P320" s="3"/>
      <c r="Q320" s="3"/>
    </row>
    <row r="321" spans="13:17" x14ac:dyDescent="0.2">
      <c r="M321" s="3"/>
      <c r="N321" s="3"/>
      <c r="O321" s="3"/>
      <c r="P321" s="3"/>
      <c r="Q321" s="3"/>
    </row>
    <row r="322" spans="13:17" x14ac:dyDescent="0.2">
      <c r="M322" s="3"/>
      <c r="N322" s="3"/>
      <c r="O322" s="3"/>
      <c r="P322" s="3"/>
      <c r="Q322" s="3"/>
    </row>
    <row r="323" spans="13:17" x14ac:dyDescent="0.2">
      <c r="M323" s="3"/>
      <c r="N323" s="3"/>
      <c r="O323" s="3"/>
      <c r="P323" s="3"/>
      <c r="Q323" s="3"/>
    </row>
    <row r="324" spans="13:17" x14ac:dyDescent="0.2">
      <c r="M324" s="3"/>
      <c r="N324" s="3"/>
      <c r="O324" s="3"/>
      <c r="P324" s="3"/>
      <c r="Q324" s="3"/>
    </row>
    <row r="325" spans="13:17" x14ac:dyDescent="0.2">
      <c r="M325" s="3"/>
      <c r="N325" s="3"/>
      <c r="O325" s="3"/>
      <c r="P325" s="3"/>
      <c r="Q325" s="3"/>
    </row>
    <row r="326" spans="13:17" x14ac:dyDescent="0.2">
      <c r="M326" s="3"/>
      <c r="N326" s="3"/>
      <c r="O326" s="3"/>
      <c r="P326" s="3"/>
      <c r="Q326" s="3"/>
    </row>
    <row r="327" spans="13:17" x14ac:dyDescent="0.2">
      <c r="M327" s="3"/>
      <c r="N327" s="3"/>
      <c r="O327" s="3"/>
      <c r="P327" s="3"/>
      <c r="Q327" s="3"/>
    </row>
    <row r="328" spans="13:17" x14ac:dyDescent="0.2">
      <c r="M328" s="3"/>
      <c r="N328" s="3"/>
      <c r="O328" s="3"/>
      <c r="P328" s="3"/>
      <c r="Q328" s="3"/>
    </row>
    <row r="329" spans="13:17" x14ac:dyDescent="0.2">
      <c r="M329" s="3"/>
      <c r="N329" s="3"/>
      <c r="O329" s="3"/>
      <c r="P329" s="3"/>
      <c r="Q329" s="3"/>
    </row>
    <row r="330" spans="13:17" x14ac:dyDescent="0.2">
      <c r="M330" s="3"/>
      <c r="N330" s="3"/>
      <c r="O330" s="3"/>
      <c r="P330" s="3"/>
      <c r="Q330" s="3"/>
    </row>
    <row r="331" spans="13:17" x14ac:dyDescent="0.2">
      <c r="M331" s="3"/>
      <c r="N331" s="3"/>
      <c r="O331" s="3"/>
      <c r="P331" s="3"/>
      <c r="Q331" s="3"/>
    </row>
    <row r="332" spans="13:17" x14ac:dyDescent="0.2">
      <c r="M332" s="3"/>
      <c r="N332" s="3"/>
      <c r="O332" s="3"/>
      <c r="P332" s="3"/>
      <c r="Q332" s="3"/>
    </row>
    <row r="333" spans="13:17" x14ac:dyDescent="0.2">
      <c r="M333" s="3"/>
      <c r="N333" s="3"/>
      <c r="O333" s="3"/>
      <c r="P333" s="3"/>
      <c r="Q333" s="3"/>
    </row>
    <row r="334" spans="13:17" x14ac:dyDescent="0.2">
      <c r="M334" s="3"/>
      <c r="N334" s="3"/>
      <c r="O334" s="3"/>
      <c r="P334" s="3"/>
      <c r="Q334" s="3"/>
    </row>
    <row r="335" spans="13:17" x14ac:dyDescent="0.2">
      <c r="M335" s="3"/>
      <c r="N335" s="3"/>
      <c r="O335" s="3"/>
      <c r="P335" s="3"/>
      <c r="Q335" s="3"/>
    </row>
    <row r="336" spans="13:17" x14ac:dyDescent="0.2">
      <c r="M336" s="3"/>
      <c r="N336" s="3"/>
      <c r="O336" s="3"/>
      <c r="P336" s="3"/>
      <c r="Q336" s="3"/>
    </row>
    <row r="337" spans="13:17" x14ac:dyDescent="0.2">
      <c r="M337" s="3"/>
      <c r="N337" s="3"/>
      <c r="O337" s="3"/>
      <c r="P337" s="3"/>
      <c r="Q337" s="3"/>
    </row>
    <row r="338" spans="13:17" x14ac:dyDescent="0.2">
      <c r="M338" s="3"/>
      <c r="N338" s="3"/>
      <c r="O338" s="3"/>
      <c r="P338" s="3"/>
      <c r="Q338" s="3"/>
    </row>
    <row r="339" spans="13:17" x14ac:dyDescent="0.2">
      <c r="M339" s="3"/>
      <c r="N339" s="3"/>
      <c r="O339" s="3"/>
      <c r="P339" s="3"/>
      <c r="Q339" s="3"/>
    </row>
    <row r="340" spans="13:17" x14ac:dyDescent="0.2">
      <c r="M340" s="3"/>
      <c r="N340" s="3"/>
      <c r="O340" s="3"/>
      <c r="P340" s="3"/>
      <c r="Q340" s="3"/>
    </row>
    <row r="341" spans="13:17" x14ac:dyDescent="0.2">
      <c r="M341" s="3"/>
      <c r="N341" s="3"/>
      <c r="O341" s="3"/>
      <c r="P341" s="3"/>
      <c r="Q341" s="3"/>
    </row>
    <row r="342" spans="13:17" x14ac:dyDescent="0.2">
      <c r="M342" s="3"/>
      <c r="N342" s="3"/>
      <c r="O342" s="3"/>
      <c r="P342" s="3"/>
      <c r="Q342" s="3"/>
    </row>
    <row r="343" spans="13:17" x14ac:dyDescent="0.2">
      <c r="M343" s="3"/>
      <c r="N343" s="3"/>
      <c r="O343" s="3"/>
      <c r="P343" s="3"/>
      <c r="Q343" s="3"/>
    </row>
    <row r="344" spans="13:17" x14ac:dyDescent="0.2">
      <c r="M344" s="3"/>
      <c r="N344" s="3"/>
      <c r="O344" s="3"/>
      <c r="P344" s="3"/>
      <c r="Q344" s="3"/>
    </row>
    <row r="345" spans="13:17" x14ac:dyDescent="0.2">
      <c r="M345" s="3"/>
      <c r="N345" s="3"/>
      <c r="O345" s="3"/>
      <c r="P345" s="3"/>
      <c r="Q345" s="3"/>
    </row>
    <row r="346" spans="13:17" x14ac:dyDescent="0.2">
      <c r="M346" s="3"/>
      <c r="N346" s="3"/>
      <c r="O346" s="3"/>
      <c r="P346" s="3"/>
      <c r="Q346" s="3"/>
    </row>
    <row r="347" spans="13:17" x14ac:dyDescent="0.2">
      <c r="M347" s="3"/>
      <c r="N347" s="3"/>
      <c r="O347" s="3"/>
      <c r="P347" s="3"/>
      <c r="Q347" s="3"/>
    </row>
    <row r="348" spans="13:17" x14ac:dyDescent="0.2">
      <c r="M348" s="3"/>
      <c r="N348" s="3"/>
      <c r="O348" s="3"/>
      <c r="P348" s="3"/>
      <c r="Q348" s="3"/>
    </row>
    <row r="349" spans="13:17" x14ac:dyDescent="0.2">
      <c r="M349" s="3"/>
      <c r="N349" s="3"/>
      <c r="O349" s="3"/>
      <c r="P349" s="3"/>
      <c r="Q349" s="3"/>
    </row>
    <row r="350" spans="13:17" x14ac:dyDescent="0.2">
      <c r="M350" s="3"/>
      <c r="N350" s="3"/>
      <c r="O350" s="3"/>
      <c r="P350" s="3"/>
      <c r="Q350" s="3"/>
    </row>
    <row r="351" spans="13:17" x14ac:dyDescent="0.2">
      <c r="M351" s="3"/>
      <c r="N351" s="3"/>
      <c r="O351" s="3"/>
      <c r="P351" s="3"/>
      <c r="Q351" s="3"/>
    </row>
    <row r="352" spans="13:17" x14ac:dyDescent="0.2">
      <c r="M352" s="3"/>
      <c r="N352" s="3"/>
      <c r="O352" s="3"/>
      <c r="P352" s="3"/>
      <c r="Q352" s="3"/>
    </row>
    <row r="353" spans="13:17" x14ac:dyDescent="0.2">
      <c r="M353" s="3"/>
      <c r="N353" s="3"/>
      <c r="O353" s="3"/>
      <c r="P353" s="3"/>
      <c r="Q353" s="3"/>
    </row>
    <row r="354" spans="13:17" x14ac:dyDescent="0.2">
      <c r="M354" s="3"/>
      <c r="N354" s="3"/>
      <c r="O354" s="3"/>
      <c r="P354" s="3"/>
      <c r="Q354" s="3"/>
    </row>
    <row r="355" spans="13:17" x14ac:dyDescent="0.2">
      <c r="M355" s="3"/>
      <c r="N355" s="3"/>
      <c r="O355" s="3"/>
      <c r="P355" s="3"/>
      <c r="Q355" s="3"/>
    </row>
    <row r="356" spans="13:17" x14ac:dyDescent="0.2">
      <c r="M356" s="3"/>
      <c r="N356" s="3"/>
      <c r="O356" s="3"/>
      <c r="P356" s="3"/>
      <c r="Q356" s="3"/>
    </row>
    <row r="357" spans="13:17" x14ac:dyDescent="0.2">
      <c r="M357" s="3"/>
      <c r="N357" s="3"/>
      <c r="O357" s="3"/>
      <c r="P357" s="3"/>
      <c r="Q357" s="3"/>
    </row>
    <row r="358" spans="13:17" x14ac:dyDescent="0.2">
      <c r="M358" s="3"/>
      <c r="N358" s="3"/>
      <c r="O358" s="3"/>
      <c r="P358" s="3"/>
      <c r="Q358" s="3"/>
    </row>
    <row r="359" spans="13:17" x14ac:dyDescent="0.2">
      <c r="M359" s="3"/>
      <c r="N359" s="3"/>
      <c r="O359" s="3"/>
      <c r="P359" s="3"/>
      <c r="Q359" s="3"/>
    </row>
    <row r="360" spans="13:17" x14ac:dyDescent="0.2">
      <c r="M360" s="3"/>
      <c r="N360" s="3"/>
      <c r="O360" s="3"/>
      <c r="P360" s="3"/>
      <c r="Q360" s="3"/>
    </row>
    <row r="361" spans="13:17" x14ac:dyDescent="0.2">
      <c r="M361" s="3"/>
      <c r="N361" s="3"/>
      <c r="O361" s="3"/>
      <c r="P361" s="3"/>
      <c r="Q361" s="3"/>
    </row>
    <row r="362" spans="13:17" x14ac:dyDescent="0.2">
      <c r="M362" s="3"/>
      <c r="N362" s="3"/>
      <c r="O362" s="3"/>
      <c r="P362" s="3"/>
      <c r="Q362" s="3"/>
    </row>
    <row r="363" spans="13:17" x14ac:dyDescent="0.2">
      <c r="M363" s="3"/>
      <c r="N363" s="3"/>
      <c r="O363" s="3"/>
      <c r="P363" s="3"/>
      <c r="Q363" s="3"/>
    </row>
    <row r="364" spans="13:17" x14ac:dyDescent="0.2">
      <c r="M364" s="3"/>
      <c r="N364" s="3"/>
      <c r="O364" s="3"/>
      <c r="P364" s="3"/>
      <c r="Q364" s="3"/>
    </row>
    <row r="365" spans="13:17" x14ac:dyDescent="0.2">
      <c r="M365" s="3"/>
      <c r="N365" s="3"/>
      <c r="O365" s="3"/>
      <c r="P365" s="3"/>
      <c r="Q365" s="3"/>
    </row>
    <row r="366" spans="13:17" x14ac:dyDescent="0.2">
      <c r="M366" s="3"/>
      <c r="N366" s="3"/>
      <c r="O366" s="3"/>
      <c r="P366" s="3"/>
      <c r="Q366" s="3"/>
    </row>
    <row r="367" spans="13:17" x14ac:dyDescent="0.2">
      <c r="M367" s="3"/>
      <c r="N367" s="3"/>
      <c r="O367" s="3"/>
      <c r="P367" s="3"/>
      <c r="Q367" s="3"/>
    </row>
    <row r="368" spans="13:17" x14ac:dyDescent="0.2">
      <c r="M368" s="3"/>
      <c r="N368" s="3"/>
      <c r="O368" s="3"/>
      <c r="P368" s="3"/>
      <c r="Q368" s="3"/>
    </row>
    <row r="369" spans="13:17" x14ac:dyDescent="0.2">
      <c r="M369" s="3"/>
      <c r="N369" s="3"/>
      <c r="O369" s="3"/>
      <c r="P369" s="3"/>
      <c r="Q369" s="3"/>
    </row>
    <row r="370" spans="13:17" x14ac:dyDescent="0.2">
      <c r="M370" s="3"/>
      <c r="N370" s="3"/>
      <c r="O370" s="3"/>
      <c r="P370" s="3"/>
      <c r="Q370" s="3"/>
    </row>
    <row r="371" spans="13:17" x14ac:dyDescent="0.2">
      <c r="M371" s="3"/>
      <c r="N371" s="3"/>
      <c r="O371" s="3"/>
      <c r="P371" s="3"/>
      <c r="Q371" s="3"/>
    </row>
    <row r="372" spans="13:17" x14ac:dyDescent="0.2">
      <c r="M372" s="3"/>
      <c r="N372" s="3"/>
      <c r="O372" s="3"/>
      <c r="P372" s="3"/>
      <c r="Q372" s="3"/>
    </row>
    <row r="373" spans="13:17" x14ac:dyDescent="0.2">
      <c r="M373" s="3"/>
      <c r="N373" s="3"/>
      <c r="O373" s="3"/>
      <c r="P373" s="3"/>
      <c r="Q373" s="3"/>
    </row>
    <row r="374" spans="13:17" x14ac:dyDescent="0.2">
      <c r="M374" s="3"/>
      <c r="N374" s="3"/>
      <c r="O374" s="3"/>
      <c r="P374" s="3"/>
      <c r="Q374" s="3"/>
    </row>
    <row r="375" spans="13:17" x14ac:dyDescent="0.2">
      <c r="M375" s="3"/>
      <c r="N375" s="3"/>
      <c r="O375" s="3"/>
      <c r="P375" s="3"/>
      <c r="Q375" s="3"/>
    </row>
    <row r="376" spans="13:17" x14ac:dyDescent="0.2">
      <c r="M376" s="3"/>
      <c r="N376" s="3"/>
      <c r="O376" s="3"/>
      <c r="P376" s="3"/>
      <c r="Q376" s="3"/>
    </row>
    <row r="377" spans="13:17" x14ac:dyDescent="0.2">
      <c r="M377" s="3"/>
      <c r="N377" s="3"/>
      <c r="O377" s="3"/>
      <c r="P377" s="3"/>
      <c r="Q377" s="3"/>
    </row>
    <row r="378" spans="13:17" x14ac:dyDescent="0.2">
      <c r="M378" s="3"/>
      <c r="N378" s="3"/>
      <c r="O378" s="3"/>
      <c r="P378" s="3"/>
      <c r="Q378" s="3"/>
    </row>
    <row r="379" spans="13:17" x14ac:dyDescent="0.2">
      <c r="M379" s="3"/>
      <c r="N379" s="3"/>
      <c r="O379" s="3"/>
      <c r="P379" s="3"/>
      <c r="Q379" s="3"/>
    </row>
    <row r="380" spans="13:17" x14ac:dyDescent="0.2">
      <c r="M380" s="3"/>
      <c r="N380" s="3"/>
      <c r="O380" s="3"/>
      <c r="P380" s="3"/>
      <c r="Q380" s="3"/>
    </row>
    <row r="381" spans="13:17" x14ac:dyDescent="0.2">
      <c r="M381" s="3"/>
      <c r="N381" s="3"/>
      <c r="O381" s="3"/>
      <c r="P381" s="3"/>
      <c r="Q381" s="3"/>
    </row>
    <row r="382" spans="13:17" x14ac:dyDescent="0.2">
      <c r="M382" s="3"/>
      <c r="N382" s="3"/>
      <c r="O382" s="3"/>
      <c r="P382" s="3"/>
      <c r="Q382" s="3"/>
    </row>
    <row r="383" spans="13:17" x14ac:dyDescent="0.2">
      <c r="M383" s="3"/>
      <c r="N383" s="3"/>
      <c r="O383" s="3"/>
      <c r="P383" s="3"/>
      <c r="Q383" s="3"/>
    </row>
    <row r="384" spans="13:17" x14ac:dyDescent="0.2">
      <c r="M384" s="3"/>
      <c r="N384" s="3"/>
      <c r="O384" s="3"/>
      <c r="P384" s="3"/>
      <c r="Q384" s="3"/>
    </row>
    <row r="385" spans="13:17" x14ac:dyDescent="0.2">
      <c r="M385" s="3"/>
      <c r="N385" s="3"/>
      <c r="O385" s="3"/>
      <c r="P385" s="3"/>
      <c r="Q385" s="3"/>
    </row>
    <row r="386" spans="13:17" x14ac:dyDescent="0.2">
      <c r="M386" s="3"/>
      <c r="N386" s="3"/>
      <c r="O386" s="3"/>
      <c r="P386" s="3"/>
      <c r="Q386" s="3"/>
    </row>
    <row r="387" spans="13:17" x14ac:dyDescent="0.2">
      <c r="M387" s="3"/>
      <c r="N387" s="3"/>
      <c r="O387" s="3"/>
      <c r="P387" s="3"/>
      <c r="Q387" s="3"/>
    </row>
    <row r="388" spans="13:17" x14ac:dyDescent="0.2">
      <c r="M388" s="3"/>
      <c r="N388" s="3"/>
      <c r="O388" s="3"/>
      <c r="P388" s="3"/>
      <c r="Q388" s="3"/>
    </row>
    <row r="389" spans="13:17" x14ac:dyDescent="0.2">
      <c r="M389" s="3"/>
      <c r="N389" s="3"/>
      <c r="O389" s="3"/>
      <c r="P389" s="3"/>
      <c r="Q389" s="3"/>
    </row>
    <row r="390" spans="13:17" x14ac:dyDescent="0.2">
      <c r="M390" s="3"/>
      <c r="N390" s="3"/>
      <c r="O390" s="3"/>
      <c r="P390" s="3"/>
      <c r="Q390" s="3"/>
    </row>
    <row r="391" spans="13:17" x14ac:dyDescent="0.2">
      <c r="M391" s="3"/>
      <c r="N391" s="3"/>
      <c r="O391" s="3"/>
      <c r="P391" s="3"/>
      <c r="Q391" s="3"/>
    </row>
    <row r="392" spans="13:17" x14ac:dyDescent="0.2">
      <c r="M392" s="3"/>
      <c r="N392" s="3"/>
      <c r="O392" s="3"/>
      <c r="P392" s="3"/>
      <c r="Q392" s="3"/>
    </row>
    <row r="393" spans="13:17" x14ac:dyDescent="0.2">
      <c r="M393" s="3"/>
      <c r="N393" s="3"/>
      <c r="O393" s="3"/>
      <c r="P393" s="3"/>
      <c r="Q393" s="3"/>
    </row>
    <row r="394" spans="13:17" x14ac:dyDescent="0.2">
      <c r="M394" s="3"/>
      <c r="N394" s="3"/>
      <c r="O394" s="3"/>
      <c r="P394" s="3"/>
      <c r="Q394" s="3"/>
    </row>
    <row r="395" spans="13:17" x14ac:dyDescent="0.2">
      <c r="M395" s="3"/>
      <c r="N395" s="3"/>
      <c r="O395" s="3"/>
      <c r="P395" s="3"/>
      <c r="Q395" s="3"/>
    </row>
    <row r="396" spans="13:17" x14ac:dyDescent="0.2">
      <c r="M396" s="3"/>
      <c r="N396" s="3"/>
      <c r="O396" s="3"/>
      <c r="P396" s="3"/>
      <c r="Q396" s="3"/>
    </row>
    <row r="397" spans="13:17" x14ac:dyDescent="0.2">
      <c r="M397" s="3"/>
      <c r="N397" s="3"/>
      <c r="O397" s="3"/>
      <c r="P397" s="3"/>
      <c r="Q397" s="3"/>
    </row>
    <row r="398" spans="13:17" x14ac:dyDescent="0.2">
      <c r="M398" s="3"/>
      <c r="N398" s="3"/>
      <c r="O398" s="3"/>
      <c r="P398" s="3"/>
      <c r="Q398" s="3"/>
    </row>
    <row r="399" spans="13:17" x14ac:dyDescent="0.2">
      <c r="M399" s="3"/>
      <c r="N399" s="3"/>
      <c r="O399" s="3"/>
      <c r="P399" s="3"/>
      <c r="Q399" s="3"/>
    </row>
    <row r="400" spans="13:17" x14ac:dyDescent="0.2">
      <c r="M400" s="3"/>
      <c r="N400" s="3"/>
      <c r="O400" s="3"/>
      <c r="P400" s="3"/>
      <c r="Q400" s="3"/>
    </row>
    <row r="401" spans="13:17" x14ac:dyDescent="0.2">
      <c r="M401" s="3"/>
      <c r="N401" s="3"/>
      <c r="O401" s="3"/>
      <c r="P401" s="3"/>
      <c r="Q401" s="3"/>
    </row>
    <row r="402" spans="13:17" x14ac:dyDescent="0.2">
      <c r="M402" s="3"/>
      <c r="N402" s="3"/>
      <c r="O402" s="3"/>
      <c r="P402" s="3"/>
      <c r="Q402" s="3"/>
    </row>
    <row r="403" spans="13:17" x14ac:dyDescent="0.2">
      <c r="M403" s="3"/>
      <c r="N403" s="3"/>
      <c r="O403" s="3"/>
      <c r="P403" s="3"/>
      <c r="Q403" s="3"/>
    </row>
    <row r="404" spans="13:17" x14ac:dyDescent="0.2">
      <c r="M404" s="3"/>
      <c r="N404" s="3"/>
      <c r="O404" s="3"/>
      <c r="P404" s="3"/>
      <c r="Q404" s="3"/>
    </row>
    <row r="405" spans="13:17" x14ac:dyDescent="0.2">
      <c r="M405" s="3"/>
      <c r="N405" s="3"/>
      <c r="O405" s="3"/>
      <c r="P405" s="3"/>
      <c r="Q405" s="3"/>
    </row>
    <row r="406" spans="13:17" x14ac:dyDescent="0.2">
      <c r="M406" s="3"/>
      <c r="N406" s="3"/>
      <c r="O406" s="3"/>
      <c r="P406" s="3"/>
      <c r="Q406" s="3"/>
    </row>
    <row r="407" spans="13:17" x14ac:dyDescent="0.2">
      <c r="M407" s="3"/>
      <c r="N407" s="3"/>
      <c r="O407" s="3"/>
      <c r="P407" s="3"/>
      <c r="Q407" s="3"/>
    </row>
    <row r="408" spans="13:17" x14ac:dyDescent="0.2">
      <c r="M408" s="3"/>
      <c r="N408" s="3"/>
      <c r="O408" s="3"/>
      <c r="P408" s="3"/>
      <c r="Q408" s="3"/>
    </row>
    <row r="409" spans="13:17" x14ac:dyDescent="0.2">
      <c r="M409" s="3"/>
      <c r="N409" s="3"/>
      <c r="O409" s="3"/>
      <c r="P409" s="3"/>
      <c r="Q409" s="3"/>
    </row>
    <row r="410" spans="13:17" x14ac:dyDescent="0.2">
      <c r="M410" s="3"/>
      <c r="N410" s="3"/>
      <c r="O410" s="3"/>
      <c r="P410" s="3"/>
      <c r="Q410" s="3"/>
    </row>
    <row r="411" spans="13:17" x14ac:dyDescent="0.2">
      <c r="M411" s="3"/>
      <c r="N411" s="3"/>
      <c r="O411" s="3"/>
      <c r="P411" s="3"/>
      <c r="Q411" s="3"/>
    </row>
    <row r="412" spans="13:17" x14ac:dyDescent="0.2">
      <c r="M412" s="3"/>
      <c r="N412" s="3"/>
      <c r="O412" s="3"/>
      <c r="P412" s="3"/>
      <c r="Q412" s="3"/>
    </row>
    <row r="413" spans="13:17" x14ac:dyDescent="0.2">
      <c r="M413" s="3"/>
      <c r="N413" s="3"/>
      <c r="O413" s="3"/>
      <c r="P413" s="3"/>
      <c r="Q413" s="3"/>
    </row>
    <row r="414" spans="13:17" x14ac:dyDescent="0.2">
      <c r="M414" s="3"/>
      <c r="N414" s="3"/>
      <c r="O414" s="3"/>
      <c r="P414" s="3"/>
      <c r="Q414" s="3"/>
    </row>
    <row r="415" spans="13:17" x14ac:dyDescent="0.2">
      <c r="M415" s="3"/>
      <c r="N415" s="3"/>
      <c r="O415" s="3"/>
      <c r="P415" s="3"/>
      <c r="Q415" s="3"/>
    </row>
    <row r="416" spans="13:17" x14ac:dyDescent="0.2">
      <c r="M416" s="3"/>
      <c r="N416" s="3"/>
      <c r="O416" s="3"/>
      <c r="P416" s="3"/>
      <c r="Q416" s="3"/>
    </row>
    <row r="417" spans="13:17" x14ac:dyDescent="0.2">
      <c r="M417" s="3"/>
      <c r="N417" s="3"/>
      <c r="O417" s="3"/>
      <c r="P417" s="3"/>
      <c r="Q417" s="3"/>
    </row>
    <row r="418" spans="13:17" x14ac:dyDescent="0.2">
      <c r="M418" s="3"/>
      <c r="N418" s="3"/>
      <c r="O418" s="3"/>
      <c r="P418" s="3"/>
      <c r="Q418" s="3"/>
    </row>
    <row r="419" spans="13:17" x14ac:dyDescent="0.2">
      <c r="M419" s="3"/>
      <c r="N419" s="3"/>
      <c r="O419" s="3"/>
      <c r="P419" s="3"/>
      <c r="Q419" s="3"/>
    </row>
    <row r="420" spans="13:17" x14ac:dyDescent="0.2">
      <c r="M420" s="3"/>
      <c r="N420" s="3"/>
      <c r="O420" s="3"/>
      <c r="P420" s="3"/>
      <c r="Q420" s="3"/>
    </row>
    <row r="421" spans="13:17" x14ac:dyDescent="0.2">
      <c r="M421" s="3"/>
      <c r="N421" s="3"/>
      <c r="O421" s="3"/>
      <c r="P421" s="3"/>
      <c r="Q421" s="3"/>
    </row>
    <row r="422" spans="13:17" x14ac:dyDescent="0.2">
      <c r="M422" s="3"/>
      <c r="N422" s="3"/>
      <c r="O422" s="3"/>
      <c r="P422" s="3"/>
      <c r="Q422" s="3"/>
    </row>
    <row r="423" spans="13:17" x14ac:dyDescent="0.2">
      <c r="M423" s="3"/>
      <c r="N423" s="3"/>
      <c r="O423" s="3"/>
      <c r="P423" s="3"/>
      <c r="Q423" s="3"/>
    </row>
    <row r="424" spans="13:17" x14ac:dyDescent="0.2">
      <c r="M424" s="3"/>
      <c r="N424" s="3"/>
      <c r="O424" s="3"/>
      <c r="P424" s="3"/>
      <c r="Q424" s="3"/>
    </row>
    <row r="425" spans="13:17" x14ac:dyDescent="0.2">
      <c r="M425" s="3"/>
      <c r="N425" s="3"/>
      <c r="O425" s="3"/>
      <c r="P425" s="3"/>
      <c r="Q425" s="3"/>
    </row>
    <row r="426" spans="13:17" x14ac:dyDescent="0.2">
      <c r="M426" s="3"/>
      <c r="N426" s="3"/>
      <c r="O426" s="3"/>
      <c r="P426" s="3"/>
      <c r="Q426" s="3"/>
    </row>
    <row r="427" spans="13:17" x14ac:dyDescent="0.2">
      <c r="M427" s="3"/>
      <c r="N427" s="3"/>
      <c r="O427" s="3"/>
      <c r="P427" s="3"/>
      <c r="Q427" s="3"/>
    </row>
    <row r="428" spans="13:17" x14ac:dyDescent="0.2">
      <c r="M428" s="3"/>
      <c r="N428" s="3"/>
      <c r="O428" s="3"/>
      <c r="P428" s="3"/>
      <c r="Q428" s="3"/>
    </row>
    <row r="429" spans="13:17" x14ac:dyDescent="0.2">
      <c r="M429" s="3"/>
      <c r="N429" s="3"/>
      <c r="O429" s="3"/>
      <c r="P429" s="3"/>
      <c r="Q429" s="3"/>
    </row>
    <row r="430" spans="13:17" x14ac:dyDescent="0.2">
      <c r="M430" s="3"/>
      <c r="N430" s="3"/>
      <c r="O430" s="3"/>
      <c r="P430" s="3"/>
      <c r="Q430" s="3"/>
    </row>
    <row r="431" spans="13:17" x14ac:dyDescent="0.2">
      <c r="M431" s="3"/>
      <c r="N431" s="3"/>
      <c r="O431" s="3"/>
      <c r="P431" s="3"/>
      <c r="Q431" s="3"/>
    </row>
    <row r="432" spans="13:17" x14ac:dyDescent="0.2">
      <c r="M432" s="3"/>
      <c r="N432" s="3"/>
      <c r="O432" s="3"/>
      <c r="P432" s="3"/>
      <c r="Q432" s="3"/>
    </row>
    <row r="433" spans="13:17" x14ac:dyDescent="0.2">
      <c r="M433" s="3"/>
      <c r="N433" s="3"/>
      <c r="O433" s="3"/>
      <c r="P433" s="3"/>
      <c r="Q433" s="3"/>
    </row>
    <row r="434" spans="13:17" x14ac:dyDescent="0.2">
      <c r="M434" s="3"/>
      <c r="N434" s="3"/>
      <c r="O434" s="3"/>
      <c r="P434" s="3"/>
      <c r="Q434" s="3"/>
    </row>
    <row r="435" spans="13:17" x14ac:dyDescent="0.2">
      <c r="M435" s="3"/>
      <c r="N435" s="3"/>
      <c r="O435" s="3"/>
      <c r="P435" s="3"/>
      <c r="Q435" s="3"/>
    </row>
    <row r="436" spans="13:17" x14ac:dyDescent="0.2">
      <c r="M436" s="3"/>
      <c r="N436" s="3"/>
      <c r="O436" s="3"/>
      <c r="P436" s="3"/>
      <c r="Q436" s="3"/>
    </row>
    <row r="437" spans="13:17" x14ac:dyDescent="0.2">
      <c r="M437" s="3"/>
      <c r="N437" s="3"/>
      <c r="O437" s="3"/>
      <c r="P437" s="3"/>
      <c r="Q437" s="3"/>
    </row>
    <row r="438" spans="13:17" x14ac:dyDescent="0.2">
      <c r="M438" s="3"/>
      <c r="N438" s="3"/>
      <c r="O438" s="3"/>
      <c r="P438" s="3"/>
      <c r="Q438" s="3"/>
    </row>
    <row r="439" spans="13:17" x14ac:dyDescent="0.2">
      <c r="M439" s="3"/>
      <c r="N439" s="3"/>
      <c r="O439" s="3"/>
      <c r="P439" s="3"/>
      <c r="Q439" s="3"/>
    </row>
    <row r="440" spans="13:17" x14ac:dyDescent="0.2">
      <c r="M440" s="3"/>
      <c r="N440" s="3"/>
      <c r="O440" s="3"/>
      <c r="P440" s="3"/>
      <c r="Q440" s="3"/>
    </row>
    <row r="441" spans="13:17" x14ac:dyDescent="0.2">
      <c r="M441" s="3"/>
      <c r="N441" s="3"/>
      <c r="O441" s="3"/>
      <c r="P441" s="3"/>
      <c r="Q441" s="3"/>
    </row>
    <row r="442" spans="13:17" x14ac:dyDescent="0.2">
      <c r="M442" s="3"/>
      <c r="N442" s="3"/>
      <c r="O442" s="3"/>
      <c r="P442" s="3"/>
      <c r="Q442" s="3"/>
    </row>
    <row r="443" spans="13:17" x14ac:dyDescent="0.2">
      <c r="M443" s="3"/>
      <c r="N443" s="3"/>
      <c r="O443" s="3"/>
      <c r="P443" s="3"/>
      <c r="Q443" s="3"/>
    </row>
    <row r="444" spans="13:17" x14ac:dyDescent="0.2">
      <c r="M444" s="3"/>
      <c r="N444" s="3"/>
      <c r="O444" s="3"/>
      <c r="P444" s="3"/>
      <c r="Q444" s="3"/>
    </row>
    <row r="445" spans="13:17" x14ac:dyDescent="0.2">
      <c r="M445" s="3"/>
      <c r="N445" s="3"/>
      <c r="O445" s="3"/>
      <c r="P445" s="3"/>
      <c r="Q445" s="3"/>
    </row>
    <row r="446" spans="13:17" x14ac:dyDescent="0.2">
      <c r="M446" s="3"/>
      <c r="N446" s="3"/>
      <c r="O446" s="3"/>
      <c r="P446" s="3"/>
      <c r="Q446" s="3"/>
    </row>
    <row r="447" spans="13:17" x14ac:dyDescent="0.2">
      <c r="M447" s="3"/>
      <c r="N447" s="3"/>
      <c r="O447" s="3"/>
      <c r="P447" s="3"/>
      <c r="Q447" s="3"/>
    </row>
    <row r="448" spans="13:17" x14ac:dyDescent="0.2">
      <c r="M448" s="3"/>
      <c r="N448" s="3"/>
      <c r="O448" s="3"/>
      <c r="P448" s="3"/>
      <c r="Q448" s="3"/>
    </row>
    <row r="449" spans="13:17" x14ac:dyDescent="0.2">
      <c r="M449" s="3"/>
      <c r="N449" s="3"/>
      <c r="O449" s="3"/>
      <c r="P449" s="3"/>
      <c r="Q449" s="3"/>
    </row>
    <row r="450" spans="13:17" x14ac:dyDescent="0.2">
      <c r="M450" s="3"/>
      <c r="N450" s="3"/>
      <c r="O450" s="3"/>
      <c r="P450" s="3"/>
      <c r="Q450" s="3"/>
    </row>
    <row r="451" spans="13:17" x14ac:dyDescent="0.2">
      <c r="M451" s="3"/>
      <c r="N451" s="3"/>
      <c r="O451" s="3"/>
      <c r="P451" s="3"/>
      <c r="Q451" s="3"/>
    </row>
    <row r="452" spans="13:17" x14ac:dyDescent="0.2">
      <c r="M452" s="3"/>
      <c r="N452" s="3"/>
      <c r="O452" s="3"/>
      <c r="P452" s="3"/>
      <c r="Q452" s="3"/>
    </row>
    <row r="453" spans="13:17" x14ac:dyDescent="0.2">
      <c r="M453" s="3"/>
      <c r="N453" s="3"/>
      <c r="O453" s="3"/>
      <c r="P453" s="3"/>
      <c r="Q453" s="3"/>
    </row>
    <row r="454" spans="13:17" x14ac:dyDescent="0.2">
      <c r="M454" s="3"/>
      <c r="N454" s="3"/>
      <c r="O454" s="3"/>
      <c r="P454" s="3"/>
      <c r="Q454" s="3"/>
    </row>
    <row r="455" spans="13:17" x14ac:dyDescent="0.2">
      <c r="M455" s="3"/>
      <c r="N455" s="3"/>
      <c r="O455" s="3"/>
      <c r="P455" s="3"/>
      <c r="Q455" s="3"/>
    </row>
    <row r="456" spans="13:17" x14ac:dyDescent="0.2">
      <c r="M456" s="3"/>
      <c r="N456" s="3"/>
      <c r="O456" s="3"/>
      <c r="P456" s="3"/>
      <c r="Q456" s="3"/>
    </row>
    <row r="457" spans="13:17" x14ac:dyDescent="0.2">
      <c r="M457" s="3"/>
      <c r="N457" s="3"/>
      <c r="O457" s="3"/>
      <c r="P457" s="3"/>
      <c r="Q457" s="3"/>
    </row>
    <row r="458" spans="13:17" x14ac:dyDescent="0.2">
      <c r="M458" s="3"/>
      <c r="N458" s="3"/>
      <c r="O458" s="3"/>
      <c r="P458" s="3"/>
      <c r="Q458" s="3"/>
    </row>
    <row r="459" spans="13:17" x14ac:dyDescent="0.2">
      <c r="M459" s="3"/>
      <c r="N459" s="3"/>
      <c r="O459" s="3"/>
      <c r="P459" s="3"/>
      <c r="Q459" s="3"/>
    </row>
    <row r="460" spans="13:17" x14ac:dyDescent="0.2">
      <c r="M460" s="3"/>
      <c r="N460" s="3"/>
      <c r="O460" s="3"/>
      <c r="P460" s="3"/>
      <c r="Q460" s="3"/>
    </row>
    <row r="461" spans="13:17" x14ac:dyDescent="0.2">
      <c r="M461" s="3"/>
      <c r="N461" s="3"/>
      <c r="O461" s="3"/>
      <c r="P461" s="3"/>
      <c r="Q461" s="3"/>
    </row>
    <row r="462" spans="13:17" x14ac:dyDescent="0.2">
      <c r="M462" s="3"/>
      <c r="N462" s="3"/>
      <c r="O462" s="3"/>
      <c r="P462" s="3"/>
      <c r="Q462" s="3"/>
    </row>
    <row r="463" spans="13:17" x14ac:dyDescent="0.2">
      <c r="M463" s="3"/>
      <c r="N463" s="3"/>
      <c r="O463" s="3"/>
      <c r="P463" s="3"/>
      <c r="Q463" s="3"/>
    </row>
  </sheetData>
  <mergeCells count="15">
    <mergeCell ref="A4:A5"/>
    <mergeCell ref="R3:X3"/>
    <mergeCell ref="R2:X2"/>
    <mergeCell ref="G4:I4"/>
    <mergeCell ref="B4:B5"/>
    <mergeCell ref="C4:C5"/>
    <mergeCell ref="D4:D5"/>
    <mergeCell ref="E4:E5"/>
    <mergeCell ref="F4:F5"/>
    <mergeCell ref="V4:X4"/>
    <mergeCell ref="J4:L4"/>
    <mergeCell ref="M4:O4"/>
    <mergeCell ref="P4:R4"/>
    <mergeCell ref="S4:U4"/>
    <mergeCell ref="A2:Q3"/>
  </mergeCells>
  <pageMargins left="0.7" right="0.7" top="0.75" bottom="0.75" header="0.3" footer="0.3"/>
  <pageSetup paperSize="9" scale="61" fitToHeight="0" orientation="landscape"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filterMode="1">
    <pageSetUpPr fitToPage="1"/>
  </sheetPr>
  <dimension ref="A1:Y635"/>
  <sheetViews>
    <sheetView topLeftCell="M1" zoomScale="85" zoomScaleNormal="85" workbookViewId="0">
      <pane ySplit="4" topLeftCell="A379" activePane="bottomLeft" state="frozen"/>
      <selection activeCell="K1" sqref="K1"/>
      <selection pane="bottomLeft" activeCell="A396" sqref="A396:XFD399"/>
    </sheetView>
  </sheetViews>
  <sheetFormatPr defaultColWidth="8.85546875" defaultRowHeight="12.75" x14ac:dyDescent="0.2"/>
  <cols>
    <col min="1" max="1" width="5.7109375" style="1" customWidth="1"/>
    <col min="2" max="2" width="10" style="1" customWidth="1"/>
    <col min="3" max="3" width="9.140625" style="1" customWidth="1"/>
    <col min="4" max="4" width="18.5703125" style="1" customWidth="1"/>
    <col min="5" max="5" width="23.28515625" style="1" customWidth="1"/>
    <col min="6" max="6" width="8.7109375" style="1" customWidth="1"/>
    <col min="7" max="7" width="29.140625" style="1" customWidth="1"/>
    <col min="8" max="8" width="8.7109375" style="1" customWidth="1"/>
    <col min="9" max="9" width="11" style="1" customWidth="1"/>
    <col min="10" max="10" width="17.42578125" style="1" customWidth="1"/>
    <col min="11" max="11" width="15.5703125" style="1" customWidth="1"/>
    <col min="12" max="12" width="66.85546875" style="1" customWidth="1"/>
    <col min="13" max="13" width="19" style="1" customWidth="1"/>
    <col min="14" max="14" width="15" style="1" customWidth="1"/>
    <col min="15" max="15" width="14.42578125" style="1" customWidth="1"/>
    <col min="16" max="16" width="44.42578125" style="620" customWidth="1"/>
    <col min="17" max="17" width="41.5703125" style="625" customWidth="1"/>
    <col min="18" max="24" width="8.85546875" style="1"/>
    <col min="25" max="25" width="52.7109375" style="1" customWidth="1"/>
    <col min="26" max="16384" width="8.85546875" style="1"/>
  </cols>
  <sheetData>
    <row r="1" spans="1:25" ht="13.5" thickBot="1" x14ac:dyDescent="0.25">
      <c r="A1" s="8" t="s">
        <v>48</v>
      </c>
      <c r="B1" s="2"/>
      <c r="C1" s="2"/>
      <c r="D1" s="2"/>
      <c r="E1" s="2"/>
      <c r="F1" s="2"/>
      <c r="G1" s="2"/>
      <c r="H1" s="2"/>
      <c r="I1" s="2"/>
      <c r="J1" s="2"/>
      <c r="K1" s="2"/>
      <c r="L1" s="2"/>
      <c r="M1" s="2"/>
      <c r="N1" s="2"/>
      <c r="O1" s="2"/>
    </row>
    <row r="2" spans="1:25" x14ac:dyDescent="0.2">
      <c r="A2" s="44"/>
      <c r="B2" s="470"/>
      <c r="C2" s="470"/>
      <c r="D2" s="470"/>
      <c r="E2" s="470"/>
      <c r="F2" s="470"/>
      <c r="G2" s="470"/>
      <c r="H2" s="470"/>
      <c r="I2" s="470"/>
      <c r="J2" s="82"/>
      <c r="K2" s="82"/>
      <c r="L2" s="82"/>
      <c r="M2" s="82"/>
      <c r="N2" s="82"/>
      <c r="O2" s="82"/>
      <c r="P2" s="621" t="s">
        <v>56</v>
      </c>
      <c r="Q2" s="626" t="s">
        <v>50</v>
      </c>
    </row>
    <row r="3" spans="1:25" s="5" customFormat="1" ht="13.5" thickBot="1" x14ac:dyDescent="0.25">
      <c r="A3" s="470"/>
      <c r="B3" s="470"/>
      <c r="C3" s="470"/>
      <c r="D3" s="470"/>
      <c r="E3" s="470"/>
      <c r="F3" s="470"/>
      <c r="G3" s="470"/>
      <c r="H3" s="470"/>
      <c r="I3" s="470"/>
      <c r="J3" s="82"/>
      <c r="K3" s="82"/>
      <c r="L3" s="82"/>
      <c r="M3" s="82"/>
      <c r="N3" s="82"/>
      <c r="O3" s="82"/>
      <c r="P3" s="622" t="s">
        <v>55</v>
      </c>
      <c r="Q3" s="627">
        <v>2019</v>
      </c>
    </row>
    <row r="4" spans="1:25" ht="51.75" thickBot="1" x14ac:dyDescent="0.25">
      <c r="A4" s="174" t="s">
        <v>0</v>
      </c>
      <c r="B4" s="175" t="s">
        <v>24</v>
      </c>
      <c r="C4" s="175" t="s">
        <v>11</v>
      </c>
      <c r="D4" s="175" t="s">
        <v>8</v>
      </c>
      <c r="E4" s="175" t="s">
        <v>1</v>
      </c>
      <c r="F4" s="175" t="s">
        <v>5</v>
      </c>
      <c r="G4" s="175" t="s">
        <v>18</v>
      </c>
      <c r="H4" s="175" t="s">
        <v>2</v>
      </c>
      <c r="I4" s="175" t="s">
        <v>3</v>
      </c>
      <c r="J4" s="175" t="s">
        <v>44</v>
      </c>
      <c r="K4" s="175" t="s">
        <v>45</v>
      </c>
      <c r="L4" s="175" t="s">
        <v>4</v>
      </c>
      <c r="M4" s="617" t="s">
        <v>51</v>
      </c>
      <c r="N4" s="618" t="s">
        <v>60</v>
      </c>
      <c r="O4" s="617" t="s">
        <v>52</v>
      </c>
      <c r="P4" s="617" t="s">
        <v>53</v>
      </c>
      <c r="Q4" s="619" t="s">
        <v>59</v>
      </c>
    </row>
    <row r="5" spans="1:25" hidden="1" x14ac:dyDescent="0.2">
      <c r="A5" s="269" t="s">
        <v>277</v>
      </c>
      <c r="B5" s="269" t="s">
        <v>277</v>
      </c>
      <c r="C5" s="269">
        <v>2019</v>
      </c>
      <c r="D5" s="269" t="s">
        <v>395</v>
      </c>
      <c r="E5" s="269" t="s">
        <v>391</v>
      </c>
      <c r="F5" s="269" t="s">
        <v>74</v>
      </c>
      <c r="G5" s="269" t="s">
        <v>396</v>
      </c>
      <c r="H5" s="269" t="s">
        <v>42</v>
      </c>
      <c r="I5" s="269" t="s">
        <v>583</v>
      </c>
      <c r="J5" s="269">
        <v>5000</v>
      </c>
      <c r="K5" s="269" t="s">
        <v>584</v>
      </c>
      <c r="L5" s="269" t="s">
        <v>585</v>
      </c>
      <c r="M5" s="615">
        <v>4818</v>
      </c>
      <c r="N5" s="616">
        <f>ROUND(100*M5/J5,0)</f>
        <v>96</v>
      </c>
      <c r="O5" s="615">
        <v>111</v>
      </c>
      <c r="P5" s="623" t="s">
        <v>1722</v>
      </c>
      <c r="Q5" s="615"/>
    </row>
    <row r="6" spans="1:25" ht="25.5" hidden="1" x14ac:dyDescent="0.2">
      <c r="A6" s="269" t="s">
        <v>277</v>
      </c>
      <c r="B6" s="269" t="s">
        <v>277</v>
      </c>
      <c r="C6" s="269">
        <v>2019</v>
      </c>
      <c r="D6" s="269" t="s">
        <v>395</v>
      </c>
      <c r="E6" s="269" t="s">
        <v>391</v>
      </c>
      <c r="F6" s="269" t="s">
        <v>74</v>
      </c>
      <c r="G6" s="269" t="s">
        <v>396</v>
      </c>
      <c r="H6" s="269" t="s">
        <v>19</v>
      </c>
      <c r="I6" s="269" t="s">
        <v>583</v>
      </c>
      <c r="J6" s="269">
        <v>400</v>
      </c>
      <c r="K6" s="269" t="s">
        <v>584</v>
      </c>
      <c r="L6" s="269" t="s">
        <v>586</v>
      </c>
      <c r="M6" s="274">
        <v>305</v>
      </c>
      <c r="N6" s="468">
        <f t="shared" ref="N6:N69" si="0">ROUND(100*M6/J6,0)</f>
        <v>76</v>
      </c>
      <c r="O6" s="274">
        <v>6</v>
      </c>
      <c r="P6" s="553" t="s">
        <v>1723</v>
      </c>
      <c r="Q6" s="469" t="s">
        <v>1724</v>
      </c>
    </row>
    <row r="7" spans="1:25" ht="25.5" hidden="1" x14ac:dyDescent="0.2">
      <c r="A7" s="269" t="s">
        <v>277</v>
      </c>
      <c r="B7" s="269" t="s">
        <v>277</v>
      </c>
      <c r="C7" s="269">
        <v>2019</v>
      </c>
      <c r="D7" s="269" t="s">
        <v>395</v>
      </c>
      <c r="E7" s="269" t="s">
        <v>391</v>
      </c>
      <c r="F7" s="269" t="s">
        <v>74</v>
      </c>
      <c r="G7" s="269" t="s">
        <v>396</v>
      </c>
      <c r="H7" s="269" t="s">
        <v>20</v>
      </c>
      <c r="I7" s="269" t="s">
        <v>583</v>
      </c>
      <c r="J7" s="269">
        <v>400</v>
      </c>
      <c r="K7" s="269" t="s">
        <v>584</v>
      </c>
      <c r="L7" s="269" t="s">
        <v>586</v>
      </c>
      <c r="M7" s="274">
        <v>305</v>
      </c>
      <c r="N7" s="468">
        <f t="shared" si="0"/>
        <v>76</v>
      </c>
      <c r="O7" s="274">
        <v>6</v>
      </c>
      <c r="P7" s="553" t="s">
        <v>1723</v>
      </c>
      <c r="Q7" s="469" t="s">
        <v>1724</v>
      </c>
    </row>
    <row r="8" spans="1:25" ht="25.5" hidden="1" x14ac:dyDescent="0.2">
      <c r="A8" s="269" t="s">
        <v>277</v>
      </c>
      <c r="B8" s="269" t="s">
        <v>277</v>
      </c>
      <c r="C8" s="269">
        <v>2019</v>
      </c>
      <c r="D8" s="269" t="s">
        <v>395</v>
      </c>
      <c r="E8" s="269" t="s">
        <v>391</v>
      </c>
      <c r="F8" s="269" t="s">
        <v>74</v>
      </c>
      <c r="G8" s="269" t="s">
        <v>396</v>
      </c>
      <c r="H8" s="269" t="s">
        <v>587</v>
      </c>
      <c r="I8" s="269" t="s">
        <v>583</v>
      </c>
      <c r="J8" s="269">
        <v>400</v>
      </c>
      <c r="K8" s="269" t="s">
        <v>584</v>
      </c>
      <c r="L8" s="269" t="s">
        <v>586</v>
      </c>
      <c r="M8" s="274">
        <v>305</v>
      </c>
      <c r="N8" s="468">
        <f t="shared" si="0"/>
        <v>76</v>
      </c>
      <c r="O8" s="274">
        <v>6</v>
      </c>
      <c r="P8" s="553" t="s">
        <v>1723</v>
      </c>
      <c r="Q8" s="469" t="s">
        <v>1724</v>
      </c>
    </row>
    <row r="9" spans="1:25" ht="25.5" hidden="1" x14ac:dyDescent="0.2">
      <c r="A9" s="269" t="s">
        <v>277</v>
      </c>
      <c r="B9" s="269" t="s">
        <v>277</v>
      </c>
      <c r="C9" s="269">
        <v>2019</v>
      </c>
      <c r="D9" s="269" t="s">
        <v>395</v>
      </c>
      <c r="E9" s="269" t="s">
        <v>391</v>
      </c>
      <c r="F9" s="269" t="s">
        <v>74</v>
      </c>
      <c r="G9" s="269" t="s">
        <v>396</v>
      </c>
      <c r="H9" s="269" t="s">
        <v>588</v>
      </c>
      <c r="I9" s="269" t="s">
        <v>583</v>
      </c>
      <c r="J9" s="269">
        <v>400</v>
      </c>
      <c r="K9" s="269" t="s">
        <v>584</v>
      </c>
      <c r="L9" s="269" t="s">
        <v>586</v>
      </c>
      <c r="M9" s="274">
        <v>301</v>
      </c>
      <c r="N9" s="468">
        <f t="shared" si="0"/>
        <v>75</v>
      </c>
      <c r="O9" s="274">
        <v>6</v>
      </c>
      <c r="P9" s="553" t="s">
        <v>1723</v>
      </c>
      <c r="Q9" s="469" t="s">
        <v>1724</v>
      </c>
    </row>
    <row r="10" spans="1:25" hidden="1" x14ac:dyDescent="0.2">
      <c r="A10" s="269" t="s">
        <v>277</v>
      </c>
      <c r="B10" s="269" t="s">
        <v>277</v>
      </c>
      <c r="C10" s="269">
        <v>2019</v>
      </c>
      <c r="D10" s="269" t="s">
        <v>395</v>
      </c>
      <c r="E10" s="269" t="s">
        <v>391</v>
      </c>
      <c r="F10" s="269" t="s">
        <v>74</v>
      </c>
      <c r="G10" s="269" t="s">
        <v>396</v>
      </c>
      <c r="H10" s="269" t="s">
        <v>42</v>
      </c>
      <c r="I10" s="269" t="s">
        <v>589</v>
      </c>
      <c r="J10" s="269">
        <v>2000</v>
      </c>
      <c r="K10" s="269" t="s">
        <v>584</v>
      </c>
      <c r="L10" s="269" t="s">
        <v>585</v>
      </c>
      <c r="M10" s="274">
        <v>2208</v>
      </c>
      <c r="N10" s="468">
        <f t="shared" si="0"/>
        <v>110</v>
      </c>
      <c r="O10" s="274">
        <v>18</v>
      </c>
      <c r="P10" s="553" t="s">
        <v>1722</v>
      </c>
      <c r="Q10" s="469"/>
    </row>
    <row r="11" spans="1:25" ht="25.5" x14ac:dyDescent="0.2">
      <c r="A11" s="269" t="s">
        <v>277</v>
      </c>
      <c r="B11" s="269" t="s">
        <v>277</v>
      </c>
      <c r="C11" s="269">
        <v>2019</v>
      </c>
      <c r="D11" s="269" t="s">
        <v>395</v>
      </c>
      <c r="E11" s="269" t="s">
        <v>391</v>
      </c>
      <c r="F11" s="269" t="s">
        <v>74</v>
      </c>
      <c r="G11" s="269" t="s">
        <v>396</v>
      </c>
      <c r="H11" s="269" t="s">
        <v>19</v>
      </c>
      <c r="I11" s="269" t="s">
        <v>589</v>
      </c>
      <c r="J11" s="269">
        <v>500</v>
      </c>
      <c r="K11" s="269" t="s">
        <v>584</v>
      </c>
      <c r="L11" s="269" t="s">
        <v>590</v>
      </c>
      <c r="M11" s="274">
        <v>808</v>
      </c>
      <c r="N11" s="468">
        <f t="shared" si="0"/>
        <v>162</v>
      </c>
      <c r="O11" s="274">
        <v>18</v>
      </c>
      <c r="P11" s="553" t="s">
        <v>1723</v>
      </c>
      <c r="Q11" s="624" t="s">
        <v>1901</v>
      </c>
      <c r="R11" s="3"/>
      <c r="S11" s="3"/>
      <c r="T11" s="3"/>
      <c r="U11" s="3"/>
      <c r="V11" s="3"/>
      <c r="W11" s="3"/>
      <c r="X11" s="3"/>
      <c r="Y11" s="3"/>
    </row>
    <row r="12" spans="1:25" ht="25.5" x14ac:dyDescent="0.2">
      <c r="A12" s="269" t="s">
        <v>277</v>
      </c>
      <c r="B12" s="269" t="s">
        <v>277</v>
      </c>
      <c r="C12" s="269">
        <v>2019</v>
      </c>
      <c r="D12" s="269" t="s">
        <v>395</v>
      </c>
      <c r="E12" s="269" t="s">
        <v>391</v>
      </c>
      <c r="F12" s="269" t="s">
        <v>74</v>
      </c>
      <c r="G12" s="269" t="s">
        <v>396</v>
      </c>
      <c r="H12" s="269" t="s">
        <v>20</v>
      </c>
      <c r="I12" s="269" t="s">
        <v>589</v>
      </c>
      <c r="J12" s="269">
        <v>1000</v>
      </c>
      <c r="K12" s="269" t="s">
        <v>584</v>
      </c>
      <c r="L12" s="269" t="s">
        <v>590</v>
      </c>
      <c r="M12" s="274">
        <v>2208</v>
      </c>
      <c r="N12" s="468">
        <f t="shared" si="0"/>
        <v>221</v>
      </c>
      <c r="O12" s="274">
        <v>18</v>
      </c>
      <c r="P12" s="553" t="s">
        <v>1723</v>
      </c>
      <c r="Q12" s="624" t="s">
        <v>1901</v>
      </c>
      <c r="R12" s="3"/>
      <c r="S12" s="3"/>
      <c r="T12" s="3"/>
      <c r="U12" s="3"/>
      <c r="V12" s="3"/>
      <c r="W12" s="3"/>
      <c r="X12" s="3"/>
      <c r="Y12" s="3"/>
    </row>
    <row r="13" spans="1:25" ht="25.5" x14ac:dyDescent="0.2">
      <c r="A13" s="269" t="s">
        <v>277</v>
      </c>
      <c r="B13" s="269" t="s">
        <v>277</v>
      </c>
      <c r="C13" s="269">
        <v>2019</v>
      </c>
      <c r="D13" s="269" t="s">
        <v>395</v>
      </c>
      <c r="E13" s="269" t="s">
        <v>391</v>
      </c>
      <c r="F13" s="269" t="s">
        <v>74</v>
      </c>
      <c r="G13" s="269" t="s">
        <v>396</v>
      </c>
      <c r="H13" s="269" t="s">
        <v>587</v>
      </c>
      <c r="I13" s="269" t="s">
        <v>589</v>
      </c>
      <c r="J13" s="269">
        <v>500</v>
      </c>
      <c r="K13" s="269" t="s">
        <v>584</v>
      </c>
      <c r="L13" s="269" t="s">
        <v>590</v>
      </c>
      <c r="M13" s="274">
        <v>808</v>
      </c>
      <c r="N13" s="468">
        <f t="shared" si="0"/>
        <v>162</v>
      </c>
      <c r="O13" s="274">
        <v>18</v>
      </c>
      <c r="P13" s="553" t="s">
        <v>1723</v>
      </c>
      <c r="Q13" s="624" t="s">
        <v>1901</v>
      </c>
      <c r="R13" s="3"/>
      <c r="S13" s="3"/>
      <c r="T13" s="3"/>
      <c r="U13" s="3"/>
      <c r="V13" s="3"/>
      <c r="W13" s="3"/>
      <c r="X13" s="3"/>
      <c r="Y13" s="3"/>
    </row>
    <row r="14" spans="1:25" ht="25.5" x14ac:dyDescent="0.2">
      <c r="A14" s="269" t="s">
        <v>277</v>
      </c>
      <c r="B14" s="269" t="s">
        <v>277</v>
      </c>
      <c r="C14" s="269">
        <v>2019</v>
      </c>
      <c r="D14" s="269" t="s">
        <v>395</v>
      </c>
      <c r="E14" s="269" t="s">
        <v>391</v>
      </c>
      <c r="F14" s="269" t="s">
        <v>74</v>
      </c>
      <c r="G14" s="269" t="s">
        <v>396</v>
      </c>
      <c r="H14" s="269" t="s">
        <v>588</v>
      </c>
      <c r="I14" s="269" t="s">
        <v>589</v>
      </c>
      <c r="J14" s="269">
        <v>500</v>
      </c>
      <c r="K14" s="269" t="s">
        <v>584</v>
      </c>
      <c r="L14" s="269" t="s">
        <v>590</v>
      </c>
      <c r="M14" s="274">
        <v>808</v>
      </c>
      <c r="N14" s="468">
        <f t="shared" si="0"/>
        <v>162</v>
      </c>
      <c r="O14" s="274">
        <v>18</v>
      </c>
      <c r="P14" s="553" t="s">
        <v>1723</v>
      </c>
      <c r="Q14" s="624" t="s">
        <v>1901</v>
      </c>
      <c r="R14" s="3"/>
      <c r="S14" s="3"/>
      <c r="T14" s="3"/>
      <c r="U14" s="3"/>
      <c r="V14" s="3"/>
      <c r="W14" s="3"/>
      <c r="X14" s="3"/>
      <c r="Y14" s="3"/>
    </row>
    <row r="15" spans="1:25" ht="25.5" hidden="1" x14ac:dyDescent="0.2">
      <c r="A15" s="269" t="s">
        <v>277</v>
      </c>
      <c r="B15" s="269" t="s">
        <v>277</v>
      </c>
      <c r="C15" s="269">
        <v>2019</v>
      </c>
      <c r="D15" s="269" t="s">
        <v>373</v>
      </c>
      <c r="E15" s="269" t="s">
        <v>391</v>
      </c>
      <c r="F15" s="269" t="s">
        <v>7</v>
      </c>
      <c r="G15" s="269" t="s">
        <v>397</v>
      </c>
      <c r="H15" s="269" t="s">
        <v>42</v>
      </c>
      <c r="I15" s="269" t="s">
        <v>583</v>
      </c>
      <c r="J15" s="269">
        <v>10000</v>
      </c>
      <c r="K15" s="269" t="s">
        <v>584</v>
      </c>
      <c r="L15" s="269" t="s">
        <v>591</v>
      </c>
      <c r="M15" s="274">
        <v>30672</v>
      </c>
      <c r="N15" s="468">
        <f t="shared" si="0"/>
        <v>307</v>
      </c>
      <c r="O15" s="274">
        <v>71</v>
      </c>
      <c r="P15" s="553" t="s">
        <v>1725</v>
      </c>
      <c r="Q15" s="624" t="s">
        <v>1901</v>
      </c>
      <c r="R15" s="3"/>
      <c r="S15" s="3"/>
      <c r="T15" s="3"/>
      <c r="U15" s="3"/>
      <c r="V15" s="3"/>
      <c r="W15" s="3"/>
      <c r="X15" s="3"/>
      <c r="Y15" s="3"/>
    </row>
    <row r="16" spans="1:25" hidden="1" x14ac:dyDescent="0.2">
      <c r="A16" s="269" t="s">
        <v>277</v>
      </c>
      <c r="B16" s="269" t="s">
        <v>277</v>
      </c>
      <c r="C16" s="269">
        <v>2019</v>
      </c>
      <c r="D16" s="269" t="s">
        <v>373</v>
      </c>
      <c r="E16" s="269" t="s">
        <v>391</v>
      </c>
      <c r="F16" s="269" t="s">
        <v>7</v>
      </c>
      <c r="G16" s="269" t="s">
        <v>397</v>
      </c>
      <c r="H16" s="269" t="s">
        <v>19</v>
      </c>
      <c r="I16" s="269" t="s">
        <v>583</v>
      </c>
      <c r="J16" s="269">
        <v>0</v>
      </c>
      <c r="K16" s="269" t="s">
        <v>584</v>
      </c>
      <c r="L16" s="269" t="s">
        <v>592</v>
      </c>
      <c r="M16" s="274">
        <v>0</v>
      </c>
      <c r="N16" s="468" t="s">
        <v>332</v>
      </c>
      <c r="O16" s="274">
        <v>0</v>
      </c>
      <c r="P16" s="553" t="s">
        <v>1726</v>
      </c>
      <c r="Q16" s="624"/>
      <c r="R16" s="3"/>
      <c r="S16" s="3"/>
      <c r="T16" s="3"/>
      <c r="U16" s="3"/>
      <c r="V16" s="3"/>
      <c r="W16" s="3"/>
      <c r="X16" s="3"/>
      <c r="Y16" s="3"/>
    </row>
    <row r="17" spans="1:25" ht="25.5" hidden="1" x14ac:dyDescent="0.2">
      <c r="A17" s="269" t="s">
        <v>277</v>
      </c>
      <c r="B17" s="269" t="s">
        <v>277</v>
      </c>
      <c r="C17" s="269">
        <v>2019</v>
      </c>
      <c r="D17" s="269" t="s">
        <v>373</v>
      </c>
      <c r="E17" s="269" t="s">
        <v>391</v>
      </c>
      <c r="F17" s="269" t="s">
        <v>7</v>
      </c>
      <c r="G17" s="269" t="s">
        <v>397</v>
      </c>
      <c r="H17" s="269" t="s">
        <v>20</v>
      </c>
      <c r="I17" s="269" t="s">
        <v>583</v>
      </c>
      <c r="J17" s="269">
        <v>0</v>
      </c>
      <c r="K17" s="269" t="s">
        <v>584</v>
      </c>
      <c r="L17" s="269" t="s">
        <v>593</v>
      </c>
      <c r="M17" s="274">
        <v>0</v>
      </c>
      <c r="N17" s="468" t="s">
        <v>332</v>
      </c>
      <c r="O17" s="274">
        <v>0</v>
      </c>
      <c r="P17" s="553" t="s">
        <v>1725</v>
      </c>
      <c r="Q17" s="624"/>
      <c r="R17" s="3"/>
      <c r="S17" s="3"/>
      <c r="T17" s="3"/>
      <c r="U17" s="3"/>
      <c r="V17" s="3"/>
      <c r="W17" s="3"/>
      <c r="X17" s="3"/>
      <c r="Y17" s="3"/>
    </row>
    <row r="18" spans="1:25" ht="38.25" hidden="1" x14ac:dyDescent="0.2">
      <c r="A18" s="269" t="s">
        <v>277</v>
      </c>
      <c r="B18" s="269" t="s">
        <v>277</v>
      </c>
      <c r="C18" s="269">
        <v>2019</v>
      </c>
      <c r="D18" s="269" t="s">
        <v>373</v>
      </c>
      <c r="E18" s="269" t="s">
        <v>391</v>
      </c>
      <c r="F18" s="269" t="s">
        <v>7</v>
      </c>
      <c r="G18" s="269" t="s">
        <v>397</v>
      </c>
      <c r="H18" s="269" t="s">
        <v>587</v>
      </c>
      <c r="I18" s="269" t="s">
        <v>583</v>
      </c>
      <c r="J18" s="269">
        <v>200</v>
      </c>
      <c r="K18" s="269" t="s">
        <v>584</v>
      </c>
      <c r="L18" s="269" t="s">
        <v>594</v>
      </c>
      <c r="M18" s="274">
        <v>0</v>
      </c>
      <c r="N18" s="468">
        <f t="shared" si="0"/>
        <v>0</v>
      </c>
      <c r="O18" s="274">
        <v>0</v>
      </c>
      <c r="P18" s="553" t="s">
        <v>594</v>
      </c>
      <c r="Q18" s="624" t="s">
        <v>1727</v>
      </c>
      <c r="R18" s="3"/>
      <c r="S18" s="3"/>
      <c r="T18" s="3"/>
      <c r="U18" s="3"/>
      <c r="V18" s="3"/>
      <c r="W18" s="3"/>
      <c r="X18" s="3"/>
      <c r="Y18" s="3"/>
    </row>
    <row r="19" spans="1:25" ht="38.25" hidden="1" x14ac:dyDescent="0.2">
      <c r="A19" s="269" t="s">
        <v>277</v>
      </c>
      <c r="B19" s="269" t="s">
        <v>277</v>
      </c>
      <c r="C19" s="269">
        <v>2019</v>
      </c>
      <c r="D19" s="269" t="s">
        <v>373</v>
      </c>
      <c r="E19" s="269" t="s">
        <v>391</v>
      </c>
      <c r="F19" s="269" t="s">
        <v>7</v>
      </c>
      <c r="G19" s="269" t="s">
        <v>397</v>
      </c>
      <c r="H19" s="269" t="s">
        <v>588</v>
      </c>
      <c r="I19" s="269" t="s">
        <v>583</v>
      </c>
      <c r="J19" s="269">
        <v>200</v>
      </c>
      <c r="K19" s="269" t="s">
        <v>584</v>
      </c>
      <c r="L19" s="269" t="s">
        <v>594</v>
      </c>
      <c r="M19" s="274">
        <v>1728</v>
      </c>
      <c r="N19" s="468">
        <f t="shared" si="0"/>
        <v>864</v>
      </c>
      <c r="O19" s="274">
        <v>124</v>
      </c>
      <c r="P19" s="553" t="s">
        <v>594</v>
      </c>
      <c r="Q19" s="624" t="s">
        <v>1901</v>
      </c>
      <c r="R19" s="3"/>
      <c r="S19" s="3"/>
      <c r="T19" s="3"/>
      <c r="U19" s="3"/>
      <c r="V19" s="3"/>
      <c r="W19" s="3"/>
      <c r="X19" s="3"/>
      <c r="Y19" s="3"/>
    </row>
    <row r="20" spans="1:25" ht="25.5" hidden="1" x14ac:dyDescent="0.2">
      <c r="A20" s="269" t="s">
        <v>277</v>
      </c>
      <c r="B20" s="269" t="s">
        <v>277</v>
      </c>
      <c r="C20" s="269">
        <v>2019</v>
      </c>
      <c r="D20" s="269" t="s">
        <v>373</v>
      </c>
      <c r="E20" s="269" t="s">
        <v>391</v>
      </c>
      <c r="F20" s="269" t="s">
        <v>7</v>
      </c>
      <c r="G20" s="269" t="s">
        <v>397</v>
      </c>
      <c r="H20" s="269" t="s">
        <v>42</v>
      </c>
      <c r="I20" s="269" t="s">
        <v>589</v>
      </c>
      <c r="J20" s="269">
        <v>500</v>
      </c>
      <c r="K20" s="269" t="s">
        <v>584</v>
      </c>
      <c r="L20" s="269"/>
      <c r="M20" s="274">
        <v>2633</v>
      </c>
      <c r="N20" s="468">
        <f t="shared" si="0"/>
        <v>527</v>
      </c>
      <c r="O20" s="274">
        <v>130</v>
      </c>
      <c r="P20" s="553" t="s">
        <v>1722</v>
      </c>
      <c r="Q20" s="624" t="s">
        <v>1901</v>
      </c>
      <c r="R20" s="3"/>
      <c r="S20" s="3"/>
      <c r="T20" s="3"/>
      <c r="U20" s="3"/>
      <c r="V20" s="3"/>
      <c r="W20" s="3"/>
      <c r="X20" s="3"/>
      <c r="Y20" s="3"/>
    </row>
    <row r="21" spans="1:25" x14ac:dyDescent="0.2">
      <c r="A21" s="269" t="s">
        <v>277</v>
      </c>
      <c r="B21" s="269" t="s">
        <v>277</v>
      </c>
      <c r="C21" s="269">
        <v>2019</v>
      </c>
      <c r="D21" s="269" t="s">
        <v>373</v>
      </c>
      <c r="E21" s="269" t="s">
        <v>391</v>
      </c>
      <c r="F21" s="269" t="s">
        <v>7</v>
      </c>
      <c r="G21" s="269" t="s">
        <v>397</v>
      </c>
      <c r="H21" s="269" t="s">
        <v>19</v>
      </c>
      <c r="I21" s="269" t="s">
        <v>589</v>
      </c>
      <c r="J21" s="269">
        <v>0</v>
      </c>
      <c r="K21" s="269" t="s">
        <v>584</v>
      </c>
      <c r="L21" s="269" t="s">
        <v>592</v>
      </c>
      <c r="M21" s="274">
        <v>0</v>
      </c>
      <c r="N21" s="468" t="s">
        <v>332</v>
      </c>
      <c r="O21" s="274">
        <v>0</v>
      </c>
      <c r="P21" s="553" t="s">
        <v>1726</v>
      </c>
      <c r="Q21" s="624"/>
      <c r="R21" s="3"/>
      <c r="S21" s="3"/>
      <c r="T21" s="3"/>
      <c r="U21" s="3"/>
      <c r="V21" s="3"/>
      <c r="W21" s="3"/>
      <c r="X21" s="3"/>
      <c r="Y21" s="3"/>
    </row>
    <row r="22" spans="1:25" ht="25.5" x14ac:dyDescent="0.2">
      <c r="A22" s="269" t="s">
        <v>277</v>
      </c>
      <c r="B22" s="269" t="s">
        <v>277</v>
      </c>
      <c r="C22" s="269">
        <v>2019</v>
      </c>
      <c r="D22" s="269" t="s">
        <v>373</v>
      </c>
      <c r="E22" s="269" t="s">
        <v>391</v>
      </c>
      <c r="F22" s="269" t="s">
        <v>7</v>
      </c>
      <c r="G22" s="269" t="s">
        <v>397</v>
      </c>
      <c r="H22" s="269" t="s">
        <v>20</v>
      </c>
      <c r="I22" s="269" t="s">
        <v>589</v>
      </c>
      <c r="J22" s="269">
        <v>100</v>
      </c>
      <c r="K22" s="269" t="s">
        <v>584</v>
      </c>
      <c r="L22" s="269"/>
      <c r="M22" s="274">
        <v>414</v>
      </c>
      <c r="N22" s="468">
        <f t="shared" si="0"/>
        <v>414</v>
      </c>
      <c r="O22" s="274">
        <v>3</v>
      </c>
      <c r="P22" s="553" t="s">
        <v>599</v>
      </c>
      <c r="Q22" s="624" t="s">
        <v>1901</v>
      </c>
      <c r="R22" s="3"/>
      <c r="S22" s="3"/>
      <c r="T22" s="3"/>
      <c r="U22" s="3"/>
    </row>
    <row r="23" spans="1:25" x14ac:dyDescent="0.2">
      <c r="A23" s="269" t="s">
        <v>277</v>
      </c>
      <c r="B23" s="269" t="s">
        <v>277</v>
      </c>
      <c r="C23" s="269">
        <v>2019</v>
      </c>
      <c r="D23" s="269" t="s">
        <v>373</v>
      </c>
      <c r="E23" s="269" t="s">
        <v>391</v>
      </c>
      <c r="F23" s="269" t="s">
        <v>7</v>
      </c>
      <c r="G23" s="269" t="s">
        <v>397</v>
      </c>
      <c r="H23" s="269" t="s">
        <v>587</v>
      </c>
      <c r="I23" s="269" t="s">
        <v>589</v>
      </c>
      <c r="J23" s="269">
        <v>100</v>
      </c>
      <c r="K23" s="269" t="s">
        <v>584</v>
      </c>
      <c r="L23" s="269"/>
      <c r="M23" s="274">
        <v>0</v>
      </c>
      <c r="N23" s="468">
        <f t="shared" si="0"/>
        <v>0</v>
      </c>
      <c r="O23" s="274">
        <v>0</v>
      </c>
      <c r="P23" s="624" t="s">
        <v>1727</v>
      </c>
      <c r="Q23" s="624" t="s">
        <v>1727</v>
      </c>
      <c r="R23" s="3"/>
      <c r="S23" s="3"/>
      <c r="T23" s="3"/>
      <c r="U23" s="3"/>
    </row>
    <row r="24" spans="1:25" ht="25.5" x14ac:dyDescent="0.2">
      <c r="A24" s="269" t="s">
        <v>277</v>
      </c>
      <c r="B24" s="269" t="s">
        <v>277</v>
      </c>
      <c r="C24" s="269">
        <v>2019</v>
      </c>
      <c r="D24" s="269" t="s">
        <v>373</v>
      </c>
      <c r="E24" s="269" t="s">
        <v>391</v>
      </c>
      <c r="F24" s="269" t="s">
        <v>7</v>
      </c>
      <c r="G24" s="269" t="s">
        <v>397</v>
      </c>
      <c r="H24" s="269" t="s">
        <v>588</v>
      </c>
      <c r="I24" s="269" t="s">
        <v>589</v>
      </c>
      <c r="J24" s="269">
        <v>100</v>
      </c>
      <c r="K24" s="269" t="s">
        <v>584</v>
      </c>
      <c r="L24" s="269"/>
      <c r="M24" s="274">
        <v>0</v>
      </c>
      <c r="N24" s="468">
        <f t="shared" si="0"/>
        <v>0</v>
      </c>
      <c r="O24" s="274">
        <v>0</v>
      </c>
      <c r="P24" s="624" t="s">
        <v>1728</v>
      </c>
      <c r="Q24" s="624" t="s">
        <v>1728</v>
      </c>
      <c r="R24" s="3"/>
      <c r="S24" s="3"/>
      <c r="T24" s="3"/>
      <c r="U24" s="3"/>
    </row>
    <row r="25" spans="1:25" ht="25.5" hidden="1" x14ac:dyDescent="0.2">
      <c r="A25" s="269" t="s">
        <v>277</v>
      </c>
      <c r="B25" s="269" t="s">
        <v>277</v>
      </c>
      <c r="C25" s="269">
        <v>2019</v>
      </c>
      <c r="D25" s="269" t="s">
        <v>399</v>
      </c>
      <c r="E25" s="269" t="s">
        <v>391</v>
      </c>
      <c r="F25" s="269" t="s">
        <v>7</v>
      </c>
      <c r="G25" s="269" t="s">
        <v>396</v>
      </c>
      <c r="H25" s="269" t="s">
        <v>42</v>
      </c>
      <c r="I25" s="269" t="s">
        <v>583</v>
      </c>
      <c r="J25" s="269">
        <v>300</v>
      </c>
      <c r="K25" s="269" t="s">
        <v>584</v>
      </c>
      <c r="L25" s="269" t="s">
        <v>595</v>
      </c>
      <c r="M25" s="274">
        <v>382</v>
      </c>
      <c r="N25" s="468">
        <f t="shared" si="0"/>
        <v>127</v>
      </c>
      <c r="O25" s="274">
        <v>21</v>
      </c>
      <c r="P25" s="553" t="s">
        <v>1729</v>
      </c>
      <c r="Q25" s="624"/>
      <c r="R25" s="3"/>
      <c r="S25" s="3"/>
      <c r="T25" s="3"/>
      <c r="U25" s="3"/>
    </row>
    <row r="26" spans="1:25" hidden="1" x14ac:dyDescent="0.2">
      <c r="A26" s="269" t="s">
        <v>277</v>
      </c>
      <c r="B26" s="269" t="s">
        <v>277</v>
      </c>
      <c r="C26" s="269">
        <v>2019</v>
      </c>
      <c r="D26" s="269" t="s">
        <v>399</v>
      </c>
      <c r="E26" s="269" t="s">
        <v>391</v>
      </c>
      <c r="F26" s="269" t="s">
        <v>7</v>
      </c>
      <c r="G26" s="269" t="s">
        <v>396</v>
      </c>
      <c r="H26" s="269" t="s">
        <v>19</v>
      </c>
      <c r="I26" s="269" t="s">
        <v>583</v>
      </c>
      <c r="J26" s="269">
        <v>0</v>
      </c>
      <c r="K26" s="269" t="s">
        <v>584</v>
      </c>
      <c r="L26" s="269" t="s">
        <v>592</v>
      </c>
      <c r="M26" s="274">
        <v>0</v>
      </c>
      <c r="N26" s="468" t="s">
        <v>332</v>
      </c>
      <c r="O26" s="274">
        <v>0</v>
      </c>
      <c r="P26" s="553" t="s">
        <v>1726</v>
      </c>
      <c r="Q26" s="469"/>
      <c r="R26" s="3"/>
      <c r="S26" s="3"/>
      <c r="T26" s="3"/>
      <c r="U26" s="3"/>
    </row>
    <row r="27" spans="1:25" hidden="1" x14ac:dyDescent="0.2">
      <c r="A27" s="269" t="s">
        <v>277</v>
      </c>
      <c r="B27" s="269" t="s">
        <v>277</v>
      </c>
      <c r="C27" s="269">
        <v>2019</v>
      </c>
      <c r="D27" s="269" t="s">
        <v>399</v>
      </c>
      <c r="E27" s="269" t="s">
        <v>391</v>
      </c>
      <c r="F27" s="269" t="s">
        <v>7</v>
      </c>
      <c r="G27" s="269" t="s">
        <v>396</v>
      </c>
      <c r="H27" s="269" t="s">
        <v>20</v>
      </c>
      <c r="I27" s="269" t="s">
        <v>583</v>
      </c>
      <c r="J27" s="269">
        <v>0</v>
      </c>
      <c r="K27" s="269" t="s">
        <v>584</v>
      </c>
      <c r="L27" s="269" t="s">
        <v>596</v>
      </c>
      <c r="M27" s="274">
        <v>0</v>
      </c>
      <c r="N27" s="468" t="s">
        <v>332</v>
      </c>
      <c r="O27" s="274">
        <v>0</v>
      </c>
      <c r="P27" s="553" t="s">
        <v>1726</v>
      </c>
      <c r="Q27" s="469"/>
      <c r="R27" s="3"/>
      <c r="S27" s="3"/>
      <c r="T27" s="3"/>
      <c r="U27" s="3"/>
    </row>
    <row r="28" spans="1:25" ht="25.5" hidden="1" x14ac:dyDescent="0.2">
      <c r="A28" s="269" t="s">
        <v>277</v>
      </c>
      <c r="B28" s="269" t="s">
        <v>277</v>
      </c>
      <c r="C28" s="269">
        <v>2019</v>
      </c>
      <c r="D28" s="269" t="s">
        <v>399</v>
      </c>
      <c r="E28" s="269" t="s">
        <v>391</v>
      </c>
      <c r="F28" s="269" t="s">
        <v>7</v>
      </c>
      <c r="G28" s="269" t="s">
        <v>396</v>
      </c>
      <c r="H28" s="269" t="s">
        <v>587</v>
      </c>
      <c r="I28" s="269" t="s">
        <v>583</v>
      </c>
      <c r="J28" s="269">
        <v>300</v>
      </c>
      <c r="K28" s="269" t="s">
        <v>584</v>
      </c>
      <c r="L28" s="269"/>
      <c r="M28" s="274">
        <v>382</v>
      </c>
      <c r="N28" s="468">
        <f t="shared" si="0"/>
        <v>127</v>
      </c>
      <c r="O28" s="274">
        <v>21</v>
      </c>
      <c r="P28" s="553" t="s">
        <v>1730</v>
      </c>
      <c r="Q28" s="624"/>
      <c r="R28" s="3"/>
      <c r="S28" s="3"/>
      <c r="T28" s="3"/>
      <c r="U28" s="3"/>
    </row>
    <row r="29" spans="1:25" hidden="1" x14ac:dyDescent="0.2">
      <c r="A29" s="269" t="s">
        <v>277</v>
      </c>
      <c r="B29" s="269" t="s">
        <v>277</v>
      </c>
      <c r="C29" s="269">
        <v>2019</v>
      </c>
      <c r="D29" s="269" t="s">
        <v>399</v>
      </c>
      <c r="E29" s="269" t="s">
        <v>391</v>
      </c>
      <c r="F29" s="269" t="s">
        <v>7</v>
      </c>
      <c r="G29" s="269" t="s">
        <v>396</v>
      </c>
      <c r="H29" s="269" t="s">
        <v>588</v>
      </c>
      <c r="I29" s="269" t="s">
        <v>583</v>
      </c>
      <c r="J29" s="269">
        <v>0</v>
      </c>
      <c r="K29" s="269" t="s">
        <v>584</v>
      </c>
      <c r="L29" s="269"/>
      <c r="M29" s="274">
        <v>0</v>
      </c>
      <c r="N29" s="468" t="s">
        <v>332</v>
      </c>
      <c r="O29" s="274">
        <v>0</v>
      </c>
      <c r="P29" s="553" t="s">
        <v>1726</v>
      </c>
      <c r="Q29" s="469"/>
      <c r="R29" s="3"/>
      <c r="S29" s="3"/>
      <c r="T29" s="3"/>
      <c r="U29" s="3"/>
    </row>
    <row r="30" spans="1:25" ht="38.25" hidden="1" x14ac:dyDescent="0.2">
      <c r="A30" s="269" t="s">
        <v>277</v>
      </c>
      <c r="B30" s="269" t="s">
        <v>277</v>
      </c>
      <c r="C30" s="269">
        <v>2019</v>
      </c>
      <c r="D30" s="269" t="s">
        <v>409</v>
      </c>
      <c r="E30" s="269" t="s">
        <v>391</v>
      </c>
      <c r="F30" s="269" t="s">
        <v>74</v>
      </c>
      <c r="G30" s="269" t="s">
        <v>400</v>
      </c>
      <c r="H30" s="269" t="s">
        <v>42</v>
      </c>
      <c r="I30" s="269" t="s">
        <v>583</v>
      </c>
      <c r="J30" s="269">
        <v>15000</v>
      </c>
      <c r="K30" s="269" t="s">
        <v>584</v>
      </c>
      <c r="L30" s="269" t="s">
        <v>591</v>
      </c>
      <c r="M30" s="274">
        <v>13734</v>
      </c>
      <c r="N30" s="468">
        <f t="shared" si="0"/>
        <v>92</v>
      </c>
      <c r="O30" s="274">
        <v>52</v>
      </c>
      <c r="P30" s="553" t="s">
        <v>1868</v>
      </c>
      <c r="Q30" s="469"/>
      <c r="R30" s="3"/>
      <c r="S30" s="3"/>
      <c r="T30" s="3"/>
      <c r="U30" s="3"/>
    </row>
    <row r="31" spans="1:25" hidden="1" x14ac:dyDescent="0.2">
      <c r="A31" s="269" t="s">
        <v>277</v>
      </c>
      <c r="B31" s="269" t="s">
        <v>277</v>
      </c>
      <c r="C31" s="269">
        <v>2019</v>
      </c>
      <c r="D31" s="269" t="s">
        <v>409</v>
      </c>
      <c r="E31" s="269" t="s">
        <v>391</v>
      </c>
      <c r="F31" s="269" t="s">
        <v>74</v>
      </c>
      <c r="G31" s="269" t="s">
        <v>400</v>
      </c>
      <c r="H31" s="269" t="s">
        <v>19</v>
      </c>
      <c r="I31" s="269" t="s">
        <v>583</v>
      </c>
      <c r="J31" s="269">
        <v>0</v>
      </c>
      <c r="K31" s="269" t="s">
        <v>584</v>
      </c>
      <c r="L31" s="269" t="s">
        <v>592</v>
      </c>
      <c r="M31" s="274">
        <v>0</v>
      </c>
      <c r="N31" s="468" t="s">
        <v>332</v>
      </c>
      <c r="O31" s="274">
        <v>0</v>
      </c>
      <c r="P31" s="553" t="s">
        <v>1726</v>
      </c>
      <c r="Q31" s="469"/>
    </row>
    <row r="32" spans="1:25" ht="25.5" hidden="1" x14ac:dyDescent="0.2">
      <c r="A32" s="269" t="s">
        <v>277</v>
      </c>
      <c r="B32" s="269" t="s">
        <v>277</v>
      </c>
      <c r="C32" s="269">
        <v>2019</v>
      </c>
      <c r="D32" s="269" t="s">
        <v>409</v>
      </c>
      <c r="E32" s="269" t="s">
        <v>391</v>
      </c>
      <c r="F32" s="269" t="s">
        <v>74</v>
      </c>
      <c r="G32" s="269" t="s">
        <v>400</v>
      </c>
      <c r="H32" s="269" t="s">
        <v>20</v>
      </c>
      <c r="I32" s="269" t="s">
        <v>583</v>
      </c>
      <c r="J32" s="269">
        <v>3000</v>
      </c>
      <c r="K32" s="269" t="s">
        <v>584</v>
      </c>
      <c r="L32" s="269" t="s">
        <v>591</v>
      </c>
      <c r="M32" s="274">
        <v>4690</v>
      </c>
      <c r="N32" s="468">
        <f t="shared" si="0"/>
        <v>156</v>
      </c>
      <c r="O32" s="274">
        <v>14</v>
      </c>
      <c r="P32" s="553" t="s">
        <v>1730</v>
      </c>
      <c r="Q32" s="624" t="s">
        <v>1901</v>
      </c>
    </row>
    <row r="33" spans="1:17" ht="38.25" hidden="1" x14ac:dyDescent="0.2">
      <c r="A33" s="269" t="s">
        <v>277</v>
      </c>
      <c r="B33" s="269" t="s">
        <v>277</v>
      </c>
      <c r="C33" s="269">
        <v>2019</v>
      </c>
      <c r="D33" s="269" t="s">
        <v>409</v>
      </c>
      <c r="E33" s="269" t="s">
        <v>391</v>
      </c>
      <c r="F33" s="269" t="s">
        <v>74</v>
      </c>
      <c r="G33" s="269" t="s">
        <v>400</v>
      </c>
      <c r="H33" s="269" t="s">
        <v>587</v>
      </c>
      <c r="I33" s="269" t="s">
        <v>583</v>
      </c>
      <c r="J33" s="269">
        <v>15000</v>
      </c>
      <c r="K33" s="269" t="s">
        <v>584</v>
      </c>
      <c r="L33" s="269" t="s">
        <v>591</v>
      </c>
      <c r="M33" s="274">
        <v>12421</v>
      </c>
      <c r="N33" s="468">
        <f t="shared" si="0"/>
        <v>83</v>
      </c>
      <c r="O33" s="274">
        <v>52</v>
      </c>
      <c r="P33" s="553" t="s">
        <v>1869</v>
      </c>
      <c r="Q33" s="469" t="s">
        <v>1902</v>
      </c>
    </row>
    <row r="34" spans="1:17" hidden="1" x14ac:dyDescent="0.2">
      <c r="A34" s="269" t="s">
        <v>277</v>
      </c>
      <c r="B34" s="269" t="s">
        <v>277</v>
      </c>
      <c r="C34" s="269">
        <v>2019</v>
      </c>
      <c r="D34" s="269" t="s">
        <v>409</v>
      </c>
      <c r="E34" s="269" t="s">
        <v>391</v>
      </c>
      <c r="F34" s="269" t="s">
        <v>74</v>
      </c>
      <c r="G34" s="269" t="s">
        <v>400</v>
      </c>
      <c r="H34" s="269" t="s">
        <v>588</v>
      </c>
      <c r="I34" s="269" t="s">
        <v>583</v>
      </c>
      <c r="J34" s="269">
        <v>0</v>
      </c>
      <c r="K34" s="269" t="s">
        <v>584</v>
      </c>
      <c r="L34" s="269" t="s">
        <v>592</v>
      </c>
      <c r="M34" s="274">
        <v>0</v>
      </c>
      <c r="N34" s="468" t="s">
        <v>332</v>
      </c>
      <c r="O34" s="274">
        <v>0</v>
      </c>
      <c r="P34" s="553" t="s">
        <v>1726</v>
      </c>
      <c r="Q34" s="469"/>
    </row>
    <row r="35" spans="1:17" hidden="1" x14ac:dyDescent="0.2">
      <c r="A35" s="269" t="s">
        <v>277</v>
      </c>
      <c r="B35" s="269" t="s">
        <v>277</v>
      </c>
      <c r="C35" s="269">
        <v>2019</v>
      </c>
      <c r="D35" s="269" t="s">
        <v>324</v>
      </c>
      <c r="E35" s="269" t="s">
        <v>391</v>
      </c>
      <c r="F35" s="269" t="s">
        <v>74</v>
      </c>
      <c r="G35" s="269" t="s">
        <v>411</v>
      </c>
      <c r="H35" s="269" t="s">
        <v>42</v>
      </c>
      <c r="I35" s="269" t="s">
        <v>583</v>
      </c>
      <c r="J35" s="269">
        <v>0</v>
      </c>
      <c r="K35" s="269" t="s">
        <v>584</v>
      </c>
      <c r="L35" s="269" t="s">
        <v>597</v>
      </c>
      <c r="M35" s="274">
        <v>0</v>
      </c>
      <c r="N35" s="468" t="s">
        <v>332</v>
      </c>
      <c r="O35" s="274">
        <v>0</v>
      </c>
      <c r="P35" s="553" t="s">
        <v>1726</v>
      </c>
      <c r="Q35" s="469"/>
    </row>
    <row r="36" spans="1:17" hidden="1" x14ac:dyDescent="0.2">
      <c r="A36" s="269" t="s">
        <v>277</v>
      </c>
      <c r="B36" s="269" t="s">
        <v>277</v>
      </c>
      <c r="C36" s="269">
        <v>2019</v>
      </c>
      <c r="D36" s="269" t="s">
        <v>324</v>
      </c>
      <c r="E36" s="269" t="s">
        <v>391</v>
      </c>
      <c r="F36" s="269" t="s">
        <v>74</v>
      </c>
      <c r="G36" s="269" t="s">
        <v>411</v>
      </c>
      <c r="H36" s="269" t="s">
        <v>19</v>
      </c>
      <c r="I36" s="269" t="s">
        <v>583</v>
      </c>
      <c r="J36" s="269">
        <v>0</v>
      </c>
      <c r="K36" s="269" t="s">
        <v>584</v>
      </c>
      <c r="L36" s="269" t="s">
        <v>597</v>
      </c>
      <c r="M36" s="274">
        <v>0</v>
      </c>
      <c r="N36" s="468" t="s">
        <v>332</v>
      </c>
      <c r="O36" s="274">
        <v>0</v>
      </c>
      <c r="P36" s="553" t="s">
        <v>1726</v>
      </c>
      <c r="Q36" s="469"/>
    </row>
    <row r="37" spans="1:17" hidden="1" x14ac:dyDescent="0.2">
      <c r="A37" s="269" t="s">
        <v>277</v>
      </c>
      <c r="B37" s="269" t="s">
        <v>277</v>
      </c>
      <c r="C37" s="269">
        <v>2019</v>
      </c>
      <c r="D37" s="269" t="s">
        <v>324</v>
      </c>
      <c r="E37" s="269" t="s">
        <v>391</v>
      </c>
      <c r="F37" s="269" t="s">
        <v>74</v>
      </c>
      <c r="G37" s="269" t="s">
        <v>411</v>
      </c>
      <c r="H37" s="269" t="s">
        <v>20</v>
      </c>
      <c r="I37" s="269" t="s">
        <v>583</v>
      </c>
      <c r="J37" s="269">
        <v>0</v>
      </c>
      <c r="K37" s="269" t="s">
        <v>584</v>
      </c>
      <c r="L37" s="269" t="s">
        <v>597</v>
      </c>
      <c r="M37" s="274">
        <v>0</v>
      </c>
      <c r="N37" s="468" t="s">
        <v>332</v>
      </c>
      <c r="O37" s="274">
        <v>0</v>
      </c>
      <c r="P37" s="553" t="s">
        <v>1726</v>
      </c>
      <c r="Q37" s="469"/>
    </row>
    <row r="38" spans="1:17" hidden="1" x14ac:dyDescent="0.2">
      <c r="A38" s="269" t="s">
        <v>277</v>
      </c>
      <c r="B38" s="269" t="s">
        <v>277</v>
      </c>
      <c r="C38" s="269">
        <v>2019</v>
      </c>
      <c r="D38" s="269" t="s">
        <v>324</v>
      </c>
      <c r="E38" s="269" t="s">
        <v>391</v>
      </c>
      <c r="F38" s="269" t="s">
        <v>74</v>
      </c>
      <c r="G38" s="269" t="s">
        <v>411</v>
      </c>
      <c r="H38" s="269" t="s">
        <v>587</v>
      </c>
      <c r="I38" s="269" t="s">
        <v>583</v>
      </c>
      <c r="J38" s="269">
        <v>0</v>
      </c>
      <c r="K38" s="269" t="s">
        <v>584</v>
      </c>
      <c r="L38" s="269" t="s">
        <v>597</v>
      </c>
      <c r="M38" s="274">
        <v>0</v>
      </c>
      <c r="N38" s="468" t="s">
        <v>332</v>
      </c>
      <c r="O38" s="274">
        <v>0</v>
      </c>
      <c r="P38" s="553" t="s">
        <v>1726</v>
      </c>
      <c r="Q38" s="469"/>
    </row>
    <row r="39" spans="1:17" hidden="1" x14ac:dyDescent="0.2">
      <c r="A39" s="269" t="s">
        <v>277</v>
      </c>
      <c r="B39" s="269" t="s">
        <v>277</v>
      </c>
      <c r="C39" s="269">
        <v>2019</v>
      </c>
      <c r="D39" s="269" t="s">
        <v>324</v>
      </c>
      <c r="E39" s="269" t="s">
        <v>391</v>
      </c>
      <c r="F39" s="269" t="s">
        <v>74</v>
      </c>
      <c r="G39" s="269" t="s">
        <v>411</v>
      </c>
      <c r="H39" s="269" t="s">
        <v>588</v>
      </c>
      <c r="I39" s="269" t="s">
        <v>583</v>
      </c>
      <c r="J39" s="269">
        <v>0</v>
      </c>
      <c r="K39" s="269" t="s">
        <v>584</v>
      </c>
      <c r="L39" s="269" t="s">
        <v>597</v>
      </c>
      <c r="M39" s="274">
        <v>0</v>
      </c>
      <c r="N39" s="468" t="s">
        <v>332</v>
      </c>
      <c r="O39" s="274">
        <v>0</v>
      </c>
      <c r="P39" s="553" t="s">
        <v>1726</v>
      </c>
      <c r="Q39" s="469"/>
    </row>
    <row r="40" spans="1:17" ht="25.5" hidden="1" x14ac:dyDescent="0.2">
      <c r="A40" s="269" t="s">
        <v>277</v>
      </c>
      <c r="B40" s="269" t="s">
        <v>277</v>
      </c>
      <c r="C40" s="269">
        <v>2019</v>
      </c>
      <c r="D40" s="269" t="s">
        <v>324</v>
      </c>
      <c r="E40" s="269" t="s">
        <v>391</v>
      </c>
      <c r="F40" s="269" t="s">
        <v>74</v>
      </c>
      <c r="G40" s="269" t="s">
        <v>411</v>
      </c>
      <c r="H40" s="269" t="s">
        <v>42</v>
      </c>
      <c r="I40" s="269" t="s">
        <v>589</v>
      </c>
      <c r="J40" s="269">
        <v>400</v>
      </c>
      <c r="K40" s="269" t="s">
        <v>584</v>
      </c>
      <c r="L40" s="269" t="s">
        <v>598</v>
      </c>
      <c r="M40" s="274">
        <v>1568</v>
      </c>
      <c r="N40" s="468">
        <f t="shared" si="0"/>
        <v>392</v>
      </c>
      <c r="O40" s="274">
        <v>1</v>
      </c>
      <c r="P40" s="553" t="s">
        <v>1722</v>
      </c>
      <c r="Q40" s="624" t="s">
        <v>1901</v>
      </c>
    </row>
    <row r="41" spans="1:17" ht="25.5" x14ac:dyDescent="0.2">
      <c r="A41" s="269" t="s">
        <v>277</v>
      </c>
      <c r="B41" s="269" t="s">
        <v>277</v>
      </c>
      <c r="C41" s="269">
        <v>2019</v>
      </c>
      <c r="D41" s="269" t="s">
        <v>324</v>
      </c>
      <c r="E41" s="269" t="s">
        <v>391</v>
      </c>
      <c r="F41" s="269" t="s">
        <v>74</v>
      </c>
      <c r="G41" s="269" t="s">
        <v>411</v>
      </c>
      <c r="H41" s="269" t="s">
        <v>19</v>
      </c>
      <c r="I41" s="269" t="s">
        <v>589</v>
      </c>
      <c r="J41" s="269">
        <v>100</v>
      </c>
      <c r="K41" s="269" t="s">
        <v>584</v>
      </c>
      <c r="L41" s="269" t="s">
        <v>599</v>
      </c>
      <c r="M41" s="274">
        <v>304</v>
      </c>
      <c r="N41" s="468">
        <f t="shared" si="0"/>
        <v>304</v>
      </c>
      <c r="O41" s="274">
        <v>1</v>
      </c>
      <c r="P41" s="553" t="s">
        <v>599</v>
      </c>
      <c r="Q41" s="624" t="s">
        <v>1901</v>
      </c>
    </row>
    <row r="42" spans="1:17" ht="25.5" x14ac:dyDescent="0.2">
      <c r="A42" s="269" t="s">
        <v>277</v>
      </c>
      <c r="B42" s="269" t="s">
        <v>277</v>
      </c>
      <c r="C42" s="269">
        <v>2019</v>
      </c>
      <c r="D42" s="269" t="s">
        <v>324</v>
      </c>
      <c r="E42" s="269" t="s">
        <v>391</v>
      </c>
      <c r="F42" s="269" t="s">
        <v>74</v>
      </c>
      <c r="G42" s="269" t="s">
        <v>411</v>
      </c>
      <c r="H42" s="269" t="s">
        <v>20</v>
      </c>
      <c r="I42" s="269" t="s">
        <v>589</v>
      </c>
      <c r="J42" s="269">
        <v>400</v>
      </c>
      <c r="K42" s="269" t="s">
        <v>584</v>
      </c>
      <c r="L42" s="269" t="s">
        <v>600</v>
      </c>
      <c r="M42" s="274">
        <v>809</v>
      </c>
      <c r="N42" s="468">
        <f t="shared" si="0"/>
        <v>202</v>
      </c>
      <c r="O42" s="274">
        <v>1</v>
      </c>
      <c r="P42" s="553" t="s">
        <v>599</v>
      </c>
      <c r="Q42" s="624" t="s">
        <v>1901</v>
      </c>
    </row>
    <row r="43" spans="1:17" ht="25.5" x14ac:dyDescent="0.2">
      <c r="A43" s="269" t="s">
        <v>277</v>
      </c>
      <c r="B43" s="269" t="s">
        <v>277</v>
      </c>
      <c r="C43" s="269">
        <v>2019</v>
      </c>
      <c r="D43" s="269" t="s">
        <v>324</v>
      </c>
      <c r="E43" s="269" t="s">
        <v>391</v>
      </c>
      <c r="F43" s="269" t="s">
        <v>74</v>
      </c>
      <c r="G43" s="269" t="s">
        <v>411</v>
      </c>
      <c r="H43" s="269" t="s">
        <v>587</v>
      </c>
      <c r="I43" s="269" t="s">
        <v>589</v>
      </c>
      <c r="J43" s="269">
        <v>100</v>
      </c>
      <c r="K43" s="269" t="s">
        <v>584</v>
      </c>
      <c r="L43" s="269" t="s">
        <v>599</v>
      </c>
      <c r="M43" s="274">
        <v>304</v>
      </c>
      <c r="N43" s="468">
        <f t="shared" si="0"/>
        <v>304</v>
      </c>
      <c r="O43" s="274">
        <v>1</v>
      </c>
      <c r="P43" s="553" t="s">
        <v>599</v>
      </c>
      <c r="Q43" s="624" t="s">
        <v>1901</v>
      </c>
    </row>
    <row r="44" spans="1:17" ht="25.5" x14ac:dyDescent="0.2">
      <c r="A44" s="269" t="s">
        <v>277</v>
      </c>
      <c r="B44" s="269" t="s">
        <v>277</v>
      </c>
      <c r="C44" s="269">
        <v>2019</v>
      </c>
      <c r="D44" s="269" t="s">
        <v>324</v>
      </c>
      <c r="E44" s="269" t="s">
        <v>391</v>
      </c>
      <c r="F44" s="269" t="s">
        <v>74</v>
      </c>
      <c r="G44" s="269" t="s">
        <v>411</v>
      </c>
      <c r="H44" s="269" t="s">
        <v>588</v>
      </c>
      <c r="I44" s="269" t="s">
        <v>589</v>
      </c>
      <c r="J44" s="269">
        <v>100</v>
      </c>
      <c r="K44" s="269" t="s">
        <v>584</v>
      </c>
      <c r="L44" s="269" t="s">
        <v>599</v>
      </c>
      <c r="M44" s="274">
        <v>304</v>
      </c>
      <c r="N44" s="468">
        <f t="shared" si="0"/>
        <v>304</v>
      </c>
      <c r="O44" s="274">
        <v>1</v>
      </c>
      <c r="P44" s="553" t="s">
        <v>599</v>
      </c>
      <c r="Q44" s="624" t="s">
        <v>1901</v>
      </c>
    </row>
    <row r="45" spans="1:17" ht="25.5" hidden="1" x14ac:dyDescent="0.2">
      <c r="A45" s="269" t="s">
        <v>277</v>
      </c>
      <c r="B45" s="269" t="s">
        <v>277</v>
      </c>
      <c r="C45" s="269">
        <v>2019</v>
      </c>
      <c r="D45" s="269" t="s">
        <v>324</v>
      </c>
      <c r="E45" s="269" t="s">
        <v>391</v>
      </c>
      <c r="F45" s="269" t="s">
        <v>74</v>
      </c>
      <c r="G45" s="269" t="s">
        <v>413</v>
      </c>
      <c r="H45" s="269" t="s">
        <v>42</v>
      </c>
      <c r="I45" s="269" t="s">
        <v>583</v>
      </c>
      <c r="J45" s="269">
        <v>2000</v>
      </c>
      <c r="K45" s="269" t="s">
        <v>584</v>
      </c>
      <c r="L45" s="269" t="s">
        <v>601</v>
      </c>
      <c r="M45" s="274">
        <v>7275</v>
      </c>
      <c r="N45" s="468">
        <f t="shared" si="0"/>
        <v>364</v>
      </c>
      <c r="O45" s="274">
        <v>31</v>
      </c>
      <c r="P45" s="553" t="s">
        <v>1722</v>
      </c>
      <c r="Q45" s="624" t="s">
        <v>1901</v>
      </c>
    </row>
    <row r="46" spans="1:17" ht="25.5" hidden="1" x14ac:dyDescent="0.2">
      <c r="A46" s="269" t="s">
        <v>277</v>
      </c>
      <c r="B46" s="269" t="s">
        <v>277</v>
      </c>
      <c r="C46" s="269">
        <v>2019</v>
      </c>
      <c r="D46" s="269" t="s">
        <v>324</v>
      </c>
      <c r="E46" s="269" t="s">
        <v>391</v>
      </c>
      <c r="F46" s="269" t="s">
        <v>74</v>
      </c>
      <c r="G46" s="269" t="s">
        <v>413</v>
      </c>
      <c r="H46" s="269" t="s">
        <v>19</v>
      </c>
      <c r="I46" s="269" t="s">
        <v>583</v>
      </c>
      <c r="J46" s="269">
        <v>500</v>
      </c>
      <c r="K46" s="269" t="s">
        <v>584</v>
      </c>
      <c r="L46" s="269" t="s">
        <v>602</v>
      </c>
      <c r="M46" s="274">
        <v>2350</v>
      </c>
      <c r="N46" s="468">
        <f t="shared" si="0"/>
        <v>470</v>
      </c>
      <c r="O46" s="274">
        <v>30</v>
      </c>
      <c r="P46" s="553" t="s">
        <v>1723</v>
      </c>
      <c r="Q46" s="624" t="s">
        <v>1901</v>
      </c>
    </row>
    <row r="47" spans="1:17" ht="25.5" hidden="1" x14ac:dyDescent="0.2">
      <c r="A47" s="269" t="s">
        <v>277</v>
      </c>
      <c r="B47" s="269" t="s">
        <v>277</v>
      </c>
      <c r="C47" s="269">
        <v>2019</v>
      </c>
      <c r="D47" s="269" t="s">
        <v>324</v>
      </c>
      <c r="E47" s="269" t="s">
        <v>391</v>
      </c>
      <c r="F47" s="269" t="s">
        <v>74</v>
      </c>
      <c r="G47" s="269" t="s">
        <v>413</v>
      </c>
      <c r="H47" s="269" t="s">
        <v>20</v>
      </c>
      <c r="I47" s="269" t="s">
        <v>583</v>
      </c>
      <c r="J47" s="269">
        <v>500</v>
      </c>
      <c r="K47" s="269" t="s">
        <v>584</v>
      </c>
      <c r="L47" s="269" t="s">
        <v>602</v>
      </c>
      <c r="M47" s="274">
        <v>2350</v>
      </c>
      <c r="N47" s="468">
        <f t="shared" si="0"/>
        <v>470</v>
      </c>
      <c r="O47" s="274">
        <v>30</v>
      </c>
      <c r="P47" s="553" t="s">
        <v>1723</v>
      </c>
      <c r="Q47" s="624" t="s">
        <v>1901</v>
      </c>
    </row>
    <row r="48" spans="1:17" ht="25.5" hidden="1" x14ac:dyDescent="0.2">
      <c r="A48" s="269" t="s">
        <v>277</v>
      </c>
      <c r="B48" s="269" t="s">
        <v>277</v>
      </c>
      <c r="C48" s="269">
        <v>2019</v>
      </c>
      <c r="D48" s="269" t="s">
        <v>324</v>
      </c>
      <c r="E48" s="269" t="s">
        <v>391</v>
      </c>
      <c r="F48" s="269" t="s">
        <v>74</v>
      </c>
      <c r="G48" s="269" t="s">
        <v>413</v>
      </c>
      <c r="H48" s="269" t="s">
        <v>587</v>
      </c>
      <c r="I48" s="269" t="s">
        <v>583</v>
      </c>
      <c r="J48" s="269">
        <v>500</v>
      </c>
      <c r="K48" s="269" t="s">
        <v>584</v>
      </c>
      <c r="L48" s="269" t="s">
        <v>602</v>
      </c>
      <c r="M48" s="274">
        <v>2350</v>
      </c>
      <c r="N48" s="468">
        <f t="shared" si="0"/>
        <v>470</v>
      </c>
      <c r="O48" s="274">
        <v>30</v>
      </c>
      <c r="P48" s="553" t="s">
        <v>1723</v>
      </c>
      <c r="Q48" s="624" t="s">
        <v>1901</v>
      </c>
    </row>
    <row r="49" spans="1:17" ht="25.5" hidden="1" x14ac:dyDescent="0.2">
      <c r="A49" s="269" t="s">
        <v>277</v>
      </c>
      <c r="B49" s="269" t="s">
        <v>277</v>
      </c>
      <c r="C49" s="269">
        <v>2019</v>
      </c>
      <c r="D49" s="269" t="s">
        <v>324</v>
      </c>
      <c r="E49" s="269" t="s">
        <v>391</v>
      </c>
      <c r="F49" s="269" t="s">
        <v>74</v>
      </c>
      <c r="G49" s="269" t="s">
        <v>413</v>
      </c>
      <c r="H49" s="269" t="s">
        <v>588</v>
      </c>
      <c r="I49" s="269" t="s">
        <v>583</v>
      </c>
      <c r="J49" s="269">
        <v>500</v>
      </c>
      <c r="K49" s="269" t="s">
        <v>584</v>
      </c>
      <c r="L49" s="269" t="s">
        <v>602</v>
      </c>
      <c r="M49" s="274">
        <v>2350</v>
      </c>
      <c r="N49" s="468">
        <f t="shared" si="0"/>
        <v>470</v>
      </c>
      <c r="O49" s="274">
        <v>30</v>
      </c>
      <c r="P49" s="553" t="s">
        <v>1723</v>
      </c>
      <c r="Q49" s="624" t="s">
        <v>1901</v>
      </c>
    </row>
    <row r="50" spans="1:17" ht="25.5" hidden="1" x14ac:dyDescent="0.2">
      <c r="A50" s="269" t="s">
        <v>277</v>
      </c>
      <c r="B50" s="269" t="s">
        <v>277</v>
      </c>
      <c r="C50" s="269">
        <v>2019</v>
      </c>
      <c r="D50" s="269" t="s">
        <v>324</v>
      </c>
      <c r="E50" s="269" t="s">
        <v>391</v>
      </c>
      <c r="F50" s="269" t="s">
        <v>74</v>
      </c>
      <c r="G50" s="269" t="s">
        <v>413</v>
      </c>
      <c r="H50" s="269" t="s">
        <v>42</v>
      </c>
      <c r="I50" s="269" t="s">
        <v>589</v>
      </c>
      <c r="J50" s="269">
        <v>500</v>
      </c>
      <c r="K50" s="269" t="s">
        <v>584</v>
      </c>
      <c r="L50" s="269"/>
      <c r="M50" s="274">
        <v>2930</v>
      </c>
      <c r="N50" s="468">
        <f t="shared" si="0"/>
        <v>586</v>
      </c>
      <c r="O50" s="274">
        <v>8</v>
      </c>
      <c r="P50" s="553" t="s">
        <v>1731</v>
      </c>
      <c r="Q50" s="624" t="s">
        <v>1901</v>
      </c>
    </row>
    <row r="51" spans="1:17" x14ac:dyDescent="0.2">
      <c r="A51" s="269" t="s">
        <v>277</v>
      </c>
      <c r="B51" s="269" t="s">
        <v>277</v>
      </c>
      <c r="C51" s="269">
        <v>2019</v>
      </c>
      <c r="D51" s="269" t="s">
        <v>324</v>
      </c>
      <c r="E51" s="269" t="s">
        <v>391</v>
      </c>
      <c r="F51" s="269" t="s">
        <v>74</v>
      </c>
      <c r="G51" s="269" t="s">
        <v>413</v>
      </c>
      <c r="H51" s="269" t="s">
        <v>19</v>
      </c>
      <c r="I51" s="269" t="s">
        <v>589</v>
      </c>
      <c r="J51" s="269">
        <v>500</v>
      </c>
      <c r="K51" s="269" t="s">
        <v>584</v>
      </c>
      <c r="L51" s="269" t="s">
        <v>603</v>
      </c>
      <c r="M51" s="274">
        <v>590</v>
      </c>
      <c r="N51" s="468">
        <f t="shared" si="0"/>
        <v>118</v>
      </c>
      <c r="O51" s="274">
        <v>8</v>
      </c>
      <c r="P51" s="553" t="s">
        <v>599</v>
      </c>
      <c r="Q51" s="469"/>
    </row>
    <row r="52" spans="1:17" ht="25.5" x14ac:dyDescent="0.2">
      <c r="A52" s="269" t="s">
        <v>277</v>
      </c>
      <c r="B52" s="269" t="s">
        <v>277</v>
      </c>
      <c r="C52" s="269">
        <v>2019</v>
      </c>
      <c r="D52" s="269" t="s">
        <v>324</v>
      </c>
      <c r="E52" s="269" t="s">
        <v>391</v>
      </c>
      <c r="F52" s="269" t="s">
        <v>74</v>
      </c>
      <c r="G52" s="269" t="s">
        <v>413</v>
      </c>
      <c r="H52" s="269" t="s">
        <v>20</v>
      </c>
      <c r="I52" s="269" t="s">
        <v>589</v>
      </c>
      <c r="J52" s="269">
        <v>500</v>
      </c>
      <c r="K52" s="269" t="s">
        <v>584</v>
      </c>
      <c r="L52" s="269" t="s">
        <v>603</v>
      </c>
      <c r="M52" s="274">
        <v>785</v>
      </c>
      <c r="N52" s="468">
        <f t="shared" si="0"/>
        <v>157</v>
      </c>
      <c r="O52" s="274">
        <v>8</v>
      </c>
      <c r="P52" s="553" t="s">
        <v>599</v>
      </c>
      <c r="Q52" s="624" t="s">
        <v>1901</v>
      </c>
    </row>
    <row r="53" spans="1:17" x14ac:dyDescent="0.2">
      <c r="A53" s="269" t="s">
        <v>277</v>
      </c>
      <c r="B53" s="269" t="s">
        <v>277</v>
      </c>
      <c r="C53" s="269">
        <v>2019</v>
      </c>
      <c r="D53" s="269" t="s">
        <v>324</v>
      </c>
      <c r="E53" s="269" t="s">
        <v>391</v>
      </c>
      <c r="F53" s="269" t="s">
        <v>74</v>
      </c>
      <c r="G53" s="269" t="s">
        <v>413</v>
      </c>
      <c r="H53" s="269" t="s">
        <v>587</v>
      </c>
      <c r="I53" s="269" t="s">
        <v>589</v>
      </c>
      <c r="J53" s="269">
        <v>500</v>
      </c>
      <c r="K53" s="269" t="s">
        <v>584</v>
      </c>
      <c r="L53" s="269" t="s">
        <v>603</v>
      </c>
      <c r="M53" s="274">
        <v>590</v>
      </c>
      <c r="N53" s="468">
        <f t="shared" si="0"/>
        <v>118</v>
      </c>
      <c r="O53" s="274">
        <v>8</v>
      </c>
      <c r="P53" s="553" t="s">
        <v>599</v>
      </c>
      <c r="Q53" s="469"/>
    </row>
    <row r="54" spans="1:17" x14ac:dyDescent="0.2">
      <c r="A54" s="269" t="s">
        <v>277</v>
      </c>
      <c r="B54" s="269" t="s">
        <v>277</v>
      </c>
      <c r="C54" s="269">
        <v>2019</v>
      </c>
      <c r="D54" s="269" t="s">
        <v>324</v>
      </c>
      <c r="E54" s="269" t="s">
        <v>391</v>
      </c>
      <c r="F54" s="269" t="s">
        <v>74</v>
      </c>
      <c r="G54" s="269" t="s">
        <v>413</v>
      </c>
      <c r="H54" s="269" t="s">
        <v>588</v>
      </c>
      <c r="I54" s="269" t="s">
        <v>589</v>
      </c>
      <c r="J54" s="269">
        <v>500</v>
      </c>
      <c r="K54" s="269" t="s">
        <v>584</v>
      </c>
      <c r="L54" s="269" t="s">
        <v>603</v>
      </c>
      <c r="M54" s="274">
        <v>590</v>
      </c>
      <c r="N54" s="468">
        <f t="shared" si="0"/>
        <v>118</v>
      </c>
      <c r="O54" s="274">
        <v>8</v>
      </c>
      <c r="P54" s="553" t="s">
        <v>599</v>
      </c>
      <c r="Q54" s="469"/>
    </row>
    <row r="55" spans="1:17" ht="25.5" hidden="1" x14ac:dyDescent="0.2">
      <c r="A55" s="269" t="s">
        <v>277</v>
      </c>
      <c r="B55" s="269" t="s">
        <v>277</v>
      </c>
      <c r="C55" s="269">
        <v>2019</v>
      </c>
      <c r="D55" s="269" t="s">
        <v>324</v>
      </c>
      <c r="E55" s="269" t="s">
        <v>391</v>
      </c>
      <c r="F55" s="269" t="s">
        <v>74</v>
      </c>
      <c r="G55" s="269" t="s">
        <v>415</v>
      </c>
      <c r="H55" s="269" t="s">
        <v>42</v>
      </c>
      <c r="I55" s="269" t="s">
        <v>583</v>
      </c>
      <c r="J55" s="269">
        <v>500</v>
      </c>
      <c r="K55" s="269" t="s">
        <v>584</v>
      </c>
      <c r="L55" s="269" t="s">
        <v>604</v>
      </c>
      <c r="M55" s="274">
        <v>6910</v>
      </c>
      <c r="N55" s="468">
        <f>ROUND(100*M55/J55,0)</f>
        <v>1382</v>
      </c>
      <c r="O55" s="274">
        <v>37</v>
      </c>
      <c r="P55" s="553" t="s">
        <v>1722</v>
      </c>
      <c r="Q55" s="624" t="s">
        <v>1901</v>
      </c>
    </row>
    <row r="56" spans="1:17" ht="25.5" hidden="1" x14ac:dyDescent="0.2">
      <c r="A56" s="269" t="s">
        <v>277</v>
      </c>
      <c r="B56" s="269" t="s">
        <v>277</v>
      </c>
      <c r="C56" s="269">
        <v>2019</v>
      </c>
      <c r="D56" s="269" t="s">
        <v>324</v>
      </c>
      <c r="E56" s="269" t="s">
        <v>391</v>
      </c>
      <c r="F56" s="269" t="s">
        <v>74</v>
      </c>
      <c r="G56" s="269" t="s">
        <v>415</v>
      </c>
      <c r="H56" s="269" t="s">
        <v>19</v>
      </c>
      <c r="I56" s="269" t="s">
        <v>583</v>
      </c>
      <c r="J56" s="269">
        <v>100</v>
      </c>
      <c r="K56" s="269" t="s">
        <v>584</v>
      </c>
      <c r="L56" s="269" t="s">
        <v>605</v>
      </c>
      <c r="M56" s="274">
        <v>1467</v>
      </c>
      <c r="N56" s="468">
        <f>ROUND(100*M56/J56,0)</f>
        <v>1467</v>
      </c>
      <c r="O56" s="274">
        <v>29</v>
      </c>
      <c r="P56" s="553" t="s">
        <v>1732</v>
      </c>
      <c r="Q56" s="624" t="s">
        <v>1901</v>
      </c>
    </row>
    <row r="57" spans="1:17" ht="25.5" hidden="1" x14ac:dyDescent="0.2">
      <c r="A57" s="269" t="s">
        <v>277</v>
      </c>
      <c r="B57" s="269" t="s">
        <v>277</v>
      </c>
      <c r="C57" s="269">
        <v>2019</v>
      </c>
      <c r="D57" s="269" t="s">
        <v>324</v>
      </c>
      <c r="E57" s="269" t="s">
        <v>391</v>
      </c>
      <c r="F57" s="269" t="s">
        <v>74</v>
      </c>
      <c r="G57" s="269" t="s">
        <v>415</v>
      </c>
      <c r="H57" s="269" t="s">
        <v>20</v>
      </c>
      <c r="I57" s="269" t="s">
        <v>583</v>
      </c>
      <c r="J57" s="269">
        <v>100</v>
      </c>
      <c r="K57" s="269" t="s">
        <v>584</v>
      </c>
      <c r="L57" s="269" t="s">
        <v>605</v>
      </c>
      <c r="M57" s="274">
        <v>1467</v>
      </c>
      <c r="N57" s="468">
        <f t="shared" si="0"/>
        <v>1467</v>
      </c>
      <c r="O57" s="274">
        <v>29</v>
      </c>
      <c r="P57" s="553" t="s">
        <v>1732</v>
      </c>
      <c r="Q57" s="624" t="s">
        <v>1901</v>
      </c>
    </row>
    <row r="58" spans="1:17" ht="25.5" hidden="1" x14ac:dyDescent="0.2">
      <c r="A58" s="269" t="s">
        <v>277</v>
      </c>
      <c r="B58" s="269" t="s">
        <v>277</v>
      </c>
      <c r="C58" s="269">
        <v>2019</v>
      </c>
      <c r="D58" s="269" t="s">
        <v>324</v>
      </c>
      <c r="E58" s="269" t="s">
        <v>391</v>
      </c>
      <c r="F58" s="269" t="s">
        <v>74</v>
      </c>
      <c r="G58" s="269" t="s">
        <v>415</v>
      </c>
      <c r="H58" s="269" t="s">
        <v>587</v>
      </c>
      <c r="I58" s="269" t="s">
        <v>583</v>
      </c>
      <c r="J58" s="269">
        <v>100</v>
      </c>
      <c r="K58" s="269" t="s">
        <v>584</v>
      </c>
      <c r="L58" s="269" t="s">
        <v>605</v>
      </c>
      <c r="M58" s="274">
        <v>1467</v>
      </c>
      <c r="N58" s="468">
        <f t="shared" si="0"/>
        <v>1467</v>
      </c>
      <c r="O58" s="274">
        <v>29</v>
      </c>
      <c r="P58" s="553" t="s">
        <v>1732</v>
      </c>
      <c r="Q58" s="624" t="s">
        <v>1901</v>
      </c>
    </row>
    <row r="59" spans="1:17" ht="25.5" hidden="1" x14ac:dyDescent="0.2">
      <c r="A59" s="269" t="s">
        <v>277</v>
      </c>
      <c r="B59" s="269" t="s">
        <v>277</v>
      </c>
      <c r="C59" s="269">
        <v>2019</v>
      </c>
      <c r="D59" s="269" t="s">
        <v>324</v>
      </c>
      <c r="E59" s="269" t="s">
        <v>391</v>
      </c>
      <c r="F59" s="269" t="s">
        <v>74</v>
      </c>
      <c r="G59" s="269" t="s">
        <v>415</v>
      </c>
      <c r="H59" s="269" t="s">
        <v>588</v>
      </c>
      <c r="I59" s="269" t="s">
        <v>583</v>
      </c>
      <c r="J59" s="269">
        <v>100</v>
      </c>
      <c r="K59" s="269" t="s">
        <v>584</v>
      </c>
      <c r="L59" s="269" t="s">
        <v>605</v>
      </c>
      <c r="M59" s="274">
        <v>1466</v>
      </c>
      <c r="N59" s="468">
        <f t="shared" si="0"/>
        <v>1466</v>
      </c>
      <c r="O59" s="274">
        <v>29</v>
      </c>
      <c r="P59" s="553" t="s">
        <v>1732</v>
      </c>
      <c r="Q59" s="624" t="s">
        <v>1901</v>
      </c>
    </row>
    <row r="60" spans="1:17" hidden="1" x14ac:dyDescent="0.2">
      <c r="A60" s="269" t="s">
        <v>277</v>
      </c>
      <c r="B60" s="269" t="s">
        <v>277</v>
      </c>
      <c r="C60" s="269">
        <v>2019</v>
      </c>
      <c r="D60" s="269" t="s">
        <v>324</v>
      </c>
      <c r="E60" s="269" t="s">
        <v>391</v>
      </c>
      <c r="F60" s="269" t="s">
        <v>74</v>
      </c>
      <c r="G60" s="269" t="s">
        <v>415</v>
      </c>
      <c r="H60" s="269" t="s">
        <v>42</v>
      </c>
      <c r="I60" s="269" t="s">
        <v>589</v>
      </c>
      <c r="J60" s="269">
        <v>0</v>
      </c>
      <c r="K60" s="269" t="s">
        <v>584</v>
      </c>
      <c r="L60" s="269" t="s">
        <v>606</v>
      </c>
      <c r="M60" s="274">
        <v>0</v>
      </c>
      <c r="N60" s="468" t="s">
        <v>332</v>
      </c>
      <c r="O60" s="274">
        <v>0</v>
      </c>
      <c r="P60" s="553" t="s">
        <v>1726</v>
      </c>
      <c r="Q60" s="469"/>
    </row>
    <row r="61" spans="1:17" x14ac:dyDescent="0.2">
      <c r="A61" s="269" t="s">
        <v>277</v>
      </c>
      <c r="B61" s="269" t="s">
        <v>277</v>
      </c>
      <c r="C61" s="269">
        <v>2019</v>
      </c>
      <c r="D61" s="269" t="s">
        <v>324</v>
      </c>
      <c r="E61" s="269" t="s">
        <v>391</v>
      </c>
      <c r="F61" s="269" t="s">
        <v>74</v>
      </c>
      <c r="G61" s="269" t="s">
        <v>415</v>
      </c>
      <c r="H61" s="269" t="s">
        <v>19</v>
      </c>
      <c r="I61" s="269" t="s">
        <v>589</v>
      </c>
      <c r="J61" s="269">
        <v>0</v>
      </c>
      <c r="K61" s="269" t="s">
        <v>584</v>
      </c>
      <c r="L61" s="269" t="s">
        <v>606</v>
      </c>
      <c r="M61" s="274">
        <v>0</v>
      </c>
      <c r="N61" s="468" t="s">
        <v>332</v>
      </c>
      <c r="O61" s="274">
        <v>0</v>
      </c>
      <c r="P61" s="553" t="s">
        <v>1726</v>
      </c>
      <c r="Q61" s="469"/>
    </row>
    <row r="62" spans="1:17" x14ac:dyDescent="0.2">
      <c r="A62" s="269" t="s">
        <v>277</v>
      </c>
      <c r="B62" s="269" t="s">
        <v>277</v>
      </c>
      <c r="C62" s="269">
        <v>2019</v>
      </c>
      <c r="D62" s="269" t="s">
        <v>324</v>
      </c>
      <c r="E62" s="269" t="s">
        <v>391</v>
      </c>
      <c r="F62" s="269" t="s">
        <v>74</v>
      </c>
      <c r="G62" s="269" t="s">
        <v>415</v>
      </c>
      <c r="H62" s="269" t="s">
        <v>20</v>
      </c>
      <c r="I62" s="269" t="s">
        <v>589</v>
      </c>
      <c r="J62" s="269">
        <v>0</v>
      </c>
      <c r="K62" s="269" t="s">
        <v>584</v>
      </c>
      <c r="L62" s="269" t="s">
        <v>606</v>
      </c>
      <c r="M62" s="274">
        <v>0</v>
      </c>
      <c r="N62" s="468" t="s">
        <v>332</v>
      </c>
      <c r="O62" s="274">
        <v>0</v>
      </c>
      <c r="P62" s="553" t="s">
        <v>1726</v>
      </c>
      <c r="Q62" s="469"/>
    </row>
    <row r="63" spans="1:17" x14ac:dyDescent="0.2">
      <c r="A63" s="269" t="s">
        <v>277</v>
      </c>
      <c r="B63" s="269" t="s">
        <v>277</v>
      </c>
      <c r="C63" s="269">
        <v>2019</v>
      </c>
      <c r="D63" s="269" t="s">
        <v>324</v>
      </c>
      <c r="E63" s="269" t="s">
        <v>391</v>
      </c>
      <c r="F63" s="269" t="s">
        <v>74</v>
      </c>
      <c r="G63" s="269" t="s">
        <v>415</v>
      </c>
      <c r="H63" s="269" t="s">
        <v>587</v>
      </c>
      <c r="I63" s="269" t="s">
        <v>589</v>
      </c>
      <c r="J63" s="269">
        <v>0</v>
      </c>
      <c r="K63" s="269" t="s">
        <v>584</v>
      </c>
      <c r="L63" s="269" t="s">
        <v>606</v>
      </c>
      <c r="M63" s="274">
        <v>0</v>
      </c>
      <c r="N63" s="468" t="s">
        <v>332</v>
      </c>
      <c r="O63" s="274">
        <v>0</v>
      </c>
      <c r="P63" s="553" t="s">
        <v>1726</v>
      </c>
      <c r="Q63" s="469"/>
    </row>
    <row r="64" spans="1:17" x14ac:dyDescent="0.2">
      <c r="A64" s="269" t="s">
        <v>277</v>
      </c>
      <c r="B64" s="269" t="s">
        <v>277</v>
      </c>
      <c r="C64" s="269">
        <v>2019</v>
      </c>
      <c r="D64" s="269" t="s">
        <v>324</v>
      </c>
      <c r="E64" s="269" t="s">
        <v>391</v>
      </c>
      <c r="F64" s="269" t="s">
        <v>74</v>
      </c>
      <c r="G64" s="269" t="s">
        <v>415</v>
      </c>
      <c r="H64" s="269" t="s">
        <v>588</v>
      </c>
      <c r="I64" s="269" t="s">
        <v>589</v>
      </c>
      <c r="J64" s="269">
        <v>0</v>
      </c>
      <c r="K64" s="269" t="s">
        <v>584</v>
      </c>
      <c r="L64" s="269" t="s">
        <v>606</v>
      </c>
      <c r="M64" s="274">
        <v>0</v>
      </c>
      <c r="N64" s="468" t="s">
        <v>332</v>
      </c>
      <c r="O64" s="274">
        <v>0</v>
      </c>
      <c r="P64" s="553" t="s">
        <v>1726</v>
      </c>
      <c r="Q64" s="469"/>
    </row>
    <row r="65" spans="1:17" ht="25.5" hidden="1" x14ac:dyDescent="0.2">
      <c r="A65" s="269" t="s">
        <v>277</v>
      </c>
      <c r="B65" s="269" t="s">
        <v>277</v>
      </c>
      <c r="C65" s="269">
        <v>2019</v>
      </c>
      <c r="D65" s="269" t="s">
        <v>324</v>
      </c>
      <c r="E65" s="269" t="s">
        <v>391</v>
      </c>
      <c r="F65" s="269" t="s">
        <v>74</v>
      </c>
      <c r="G65" s="269" t="s">
        <v>416</v>
      </c>
      <c r="H65" s="269" t="s">
        <v>42</v>
      </c>
      <c r="I65" s="269" t="s">
        <v>583</v>
      </c>
      <c r="J65" s="269">
        <v>2000</v>
      </c>
      <c r="K65" s="269" t="s">
        <v>584</v>
      </c>
      <c r="L65" s="269" t="s">
        <v>607</v>
      </c>
      <c r="M65" s="274">
        <v>6974</v>
      </c>
      <c r="N65" s="468">
        <f>ROUND(100*M65/J65,0)</f>
        <v>349</v>
      </c>
      <c r="O65" s="274">
        <v>37</v>
      </c>
      <c r="P65" s="553" t="s">
        <v>1722</v>
      </c>
      <c r="Q65" s="624" t="s">
        <v>1901</v>
      </c>
    </row>
    <row r="66" spans="1:17" ht="25.5" hidden="1" x14ac:dyDescent="0.2">
      <c r="A66" s="269" t="s">
        <v>277</v>
      </c>
      <c r="B66" s="269" t="s">
        <v>277</v>
      </c>
      <c r="C66" s="269">
        <v>2019</v>
      </c>
      <c r="D66" s="269" t="s">
        <v>324</v>
      </c>
      <c r="E66" s="269" t="s">
        <v>391</v>
      </c>
      <c r="F66" s="269" t="s">
        <v>74</v>
      </c>
      <c r="G66" s="269" t="s">
        <v>416</v>
      </c>
      <c r="H66" s="269" t="s">
        <v>19</v>
      </c>
      <c r="I66" s="269" t="s">
        <v>583</v>
      </c>
      <c r="J66" s="269">
        <v>500</v>
      </c>
      <c r="K66" s="269" t="s">
        <v>584</v>
      </c>
      <c r="L66" s="269" t="s">
        <v>608</v>
      </c>
      <c r="M66" s="274">
        <v>1378</v>
      </c>
      <c r="N66" s="468">
        <f t="shared" si="0"/>
        <v>276</v>
      </c>
      <c r="O66" s="274">
        <v>28</v>
      </c>
      <c r="P66" s="553" t="s">
        <v>1732</v>
      </c>
      <c r="Q66" s="624" t="s">
        <v>1901</v>
      </c>
    </row>
    <row r="67" spans="1:17" ht="25.5" hidden="1" x14ac:dyDescent="0.2">
      <c r="A67" s="269" t="s">
        <v>277</v>
      </c>
      <c r="B67" s="269" t="s">
        <v>277</v>
      </c>
      <c r="C67" s="269">
        <v>2019</v>
      </c>
      <c r="D67" s="269" t="s">
        <v>324</v>
      </c>
      <c r="E67" s="269" t="s">
        <v>391</v>
      </c>
      <c r="F67" s="269" t="s">
        <v>74</v>
      </c>
      <c r="G67" s="269" t="s">
        <v>416</v>
      </c>
      <c r="H67" s="269" t="s">
        <v>20</v>
      </c>
      <c r="I67" s="269" t="s">
        <v>583</v>
      </c>
      <c r="J67" s="269">
        <v>500</v>
      </c>
      <c r="K67" s="269" t="s">
        <v>584</v>
      </c>
      <c r="L67" s="269" t="s">
        <v>608</v>
      </c>
      <c r="M67" s="274">
        <v>1378</v>
      </c>
      <c r="N67" s="468">
        <f t="shared" si="0"/>
        <v>276</v>
      </c>
      <c r="O67" s="274">
        <v>28</v>
      </c>
      <c r="P67" s="553" t="s">
        <v>1732</v>
      </c>
      <c r="Q67" s="624" t="s">
        <v>1901</v>
      </c>
    </row>
    <row r="68" spans="1:17" ht="25.5" hidden="1" x14ac:dyDescent="0.2">
      <c r="A68" s="269" t="s">
        <v>277</v>
      </c>
      <c r="B68" s="269" t="s">
        <v>277</v>
      </c>
      <c r="C68" s="269">
        <v>2019</v>
      </c>
      <c r="D68" s="269" t="s">
        <v>324</v>
      </c>
      <c r="E68" s="269" t="s">
        <v>391</v>
      </c>
      <c r="F68" s="269" t="s">
        <v>74</v>
      </c>
      <c r="G68" s="269" t="s">
        <v>416</v>
      </c>
      <c r="H68" s="269" t="s">
        <v>587</v>
      </c>
      <c r="I68" s="269" t="s">
        <v>583</v>
      </c>
      <c r="J68" s="269">
        <v>500</v>
      </c>
      <c r="K68" s="269" t="s">
        <v>584</v>
      </c>
      <c r="L68" s="269" t="s">
        <v>608</v>
      </c>
      <c r="M68" s="274">
        <v>1378</v>
      </c>
      <c r="N68" s="468">
        <f t="shared" si="0"/>
        <v>276</v>
      </c>
      <c r="O68" s="274">
        <v>28</v>
      </c>
      <c r="P68" s="553" t="s">
        <v>1732</v>
      </c>
      <c r="Q68" s="624" t="s">
        <v>1901</v>
      </c>
    </row>
    <row r="69" spans="1:17" ht="25.5" hidden="1" x14ac:dyDescent="0.2">
      <c r="A69" s="269" t="s">
        <v>277</v>
      </c>
      <c r="B69" s="269" t="s">
        <v>277</v>
      </c>
      <c r="C69" s="269">
        <v>2019</v>
      </c>
      <c r="D69" s="269" t="s">
        <v>324</v>
      </c>
      <c r="E69" s="269" t="s">
        <v>391</v>
      </c>
      <c r="F69" s="269" t="s">
        <v>74</v>
      </c>
      <c r="G69" s="269" t="s">
        <v>416</v>
      </c>
      <c r="H69" s="269" t="s">
        <v>588</v>
      </c>
      <c r="I69" s="269" t="s">
        <v>583</v>
      </c>
      <c r="J69" s="269">
        <v>500</v>
      </c>
      <c r="K69" s="269" t="s">
        <v>584</v>
      </c>
      <c r="L69" s="269" t="s">
        <v>608</v>
      </c>
      <c r="M69" s="274">
        <v>1377</v>
      </c>
      <c r="N69" s="468">
        <f t="shared" si="0"/>
        <v>275</v>
      </c>
      <c r="O69" s="274">
        <v>28</v>
      </c>
      <c r="P69" s="553" t="s">
        <v>1732</v>
      </c>
      <c r="Q69" s="624" t="s">
        <v>1901</v>
      </c>
    </row>
    <row r="70" spans="1:17" ht="25.5" hidden="1" x14ac:dyDescent="0.2">
      <c r="A70" s="269" t="s">
        <v>277</v>
      </c>
      <c r="B70" s="269" t="s">
        <v>277</v>
      </c>
      <c r="C70" s="269">
        <v>2019</v>
      </c>
      <c r="D70" s="269" t="s">
        <v>324</v>
      </c>
      <c r="E70" s="269" t="s">
        <v>391</v>
      </c>
      <c r="F70" s="269" t="s">
        <v>74</v>
      </c>
      <c r="G70" s="269" t="s">
        <v>416</v>
      </c>
      <c r="H70" s="269" t="s">
        <v>42</v>
      </c>
      <c r="I70" s="269" t="s">
        <v>589</v>
      </c>
      <c r="J70" s="269">
        <v>100</v>
      </c>
      <c r="K70" s="269" t="s">
        <v>584</v>
      </c>
      <c r="L70" s="269" t="s">
        <v>609</v>
      </c>
      <c r="M70" s="274">
        <v>602</v>
      </c>
      <c r="N70" s="468">
        <f t="shared" ref="N70:N132" si="1">ROUND(100*M70/J70,0)</f>
        <v>602</v>
      </c>
      <c r="O70" s="274">
        <v>10</v>
      </c>
      <c r="P70" s="553" t="s">
        <v>1722</v>
      </c>
      <c r="Q70" s="624" t="s">
        <v>1901</v>
      </c>
    </row>
    <row r="71" spans="1:17" ht="25.5" x14ac:dyDescent="0.2">
      <c r="A71" s="269" t="s">
        <v>277</v>
      </c>
      <c r="B71" s="269" t="s">
        <v>277</v>
      </c>
      <c r="C71" s="269">
        <v>2019</v>
      </c>
      <c r="D71" s="269" t="s">
        <v>324</v>
      </c>
      <c r="E71" s="269" t="s">
        <v>391</v>
      </c>
      <c r="F71" s="269" t="s">
        <v>74</v>
      </c>
      <c r="G71" s="269" t="s">
        <v>416</v>
      </c>
      <c r="H71" s="269" t="s">
        <v>19</v>
      </c>
      <c r="I71" s="269" t="s">
        <v>589</v>
      </c>
      <c r="J71" s="269">
        <v>100</v>
      </c>
      <c r="K71" s="269" t="s">
        <v>584</v>
      </c>
      <c r="L71" s="269" t="s">
        <v>610</v>
      </c>
      <c r="M71" s="274">
        <v>428</v>
      </c>
      <c r="N71" s="468">
        <f t="shared" si="1"/>
        <v>428</v>
      </c>
      <c r="O71" s="274">
        <v>10</v>
      </c>
      <c r="P71" s="553" t="s">
        <v>599</v>
      </c>
      <c r="Q71" s="624" t="s">
        <v>1901</v>
      </c>
    </row>
    <row r="72" spans="1:17" ht="25.5" x14ac:dyDescent="0.2">
      <c r="A72" s="269" t="s">
        <v>277</v>
      </c>
      <c r="B72" s="269" t="s">
        <v>277</v>
      </c>
      <c r="C72" s="269">
        <v>2019</v>
      </c>
      <c r="D72" s="269" t="s">
        <v>324</v>
      </c>
      <c r="E72" s="269" t="s">
        <v>391</v>
      </c>
      <c r="F72" s="269" t="s">
        <v>74</v>
      </c>
      <c r="G72" s="269" t="s">
        <v>416</v>
      </c>
      <c r="H72" s="269" t="s">
        <v>20</v>
      </c>
      <c r="I72" s="269" t="s">
        <v>589</v>
      </c>
      <c r="J72" s="269">
        <v>100</v>
      </c>
      <c r="K72" s="269" t="s">
        <v>584</v>
      </c>
      <c r="L72" s="269" t="s">
        <v>610</v>
      </c>
      <c r="M72" s="274">
        <v>804</v>
      </c>
      <c r="N72" s="468">
        <f t="shared" si="1"/>
        <v>804</v>
      </c>
      <c r="O72" s="274">
        <v>10</v>
      </c>
      <c r="P72" s="553" t="s">
        <v>599</v>
      </c>
      <c r="Q72" s="624" t="s">
        <v>1901</v>
      </c>
    </row>
    <row r="73" spans="1:17" ht="25.5" x14ac:dyDescent="0.2">
      <c r="A73" s="269" t="s">
        <v>277</v>
      </c>
      <c r="B73" s="269" t="s">
        <v>277</v>
      </c>
      <c r="C73" s="269">
        <v>2019</v>
      </c>
      <c r="D73" s="269" t="s">
        <v>324</v>
      </c>
      <c r="E73" s="269" t="s">
        <v>391</v>
      </c>
      <c r="F73" s="269" t="s">
        <v>74</v>
      </c>
      <c r="G73" s="269" t="s">
        <v>416</v>
      </c>
      <c r="H73" s="269" t="s">
        <v>587</v>
      </c>
      <c r="I73" s="269" t="s">
        <v>589</v>
      </c>
      <c r="J73" s="269">
        <v>100</v>
      </c>
      <c r="K73" s="269" t="s">
        <v>584</v>
      </c>
      <c r="L73" s="269" t="s">
        <v>610</v>
      </c>
      <c r="M73" s="274">
        <v>428</v>
      </c>
      <c r="N73" s="468">
        <f t="shared" si="1"/>
        <v>428</v>
      </c>
      <c r="O73" s="274">
        <v>10</v>
      </c>
      <c r="P73" s="553" t="s">
        <v>599</v>
      </c>
      <c r="Q73" s="624" t="s">
        <v>1901</v>
      </c>
    </row>
    <row r="74" spans="1:17" ht="25.5" x14ac:dyDescent="0.2">
      <c r="A74" s="269" t="s">
        <v>277</v>
      </c>
      <c r="B74" s="269" t="s">
        <v>277</v>
      </c>
      <c r="C74" s="269">
        <v>2019</v>
      </c>
      <c r="D74" s="269" t="s">
        <v>324</v>
      </c>
      <c r="E74" s="269" t="s">
        <v>391</v>
      </c>
      <c r="F74" s="269" t="s">
        <v>74</v>
      </c>
      <c r="G74" s="269" t="s">
        <v>416</v>
      </c>
      <c r="H74" s="269" t="s">
        <v>588</v>
      </c>
      <c r="I74" s="269" t="s">
        <v>589</v>
      </c>
      <c r="J74" s="269">
        <v>100</v>
      </c>
      <c r="K74" s="269" t="s">
        <v>584</v>
      </c>
      <c r="L74" s="269" t="s">
        <v>610</v>
      </c>
      <c r="M74" s="274">
        <v>428</v>
      </c>
      <c r="N74" s="468">
        <f t="shared" si="1"/>
        <v>428</v>
      </c>
      <c r="O74" s="274">
        <v>10</v>
      </c>
      <c r="P74" s="553" t="s">
        <v>599</v>
      </c>
      <c r="Q74" s="624" t="s">
        <v>1901</v>
      </c>
    </row>
    <row r="75" spans="1:17" hidden="1" x14ac:dyDescent="0.2">
      <c r="A75" s="269" t="s">
        <v>277</v>
      </c>
      <c r="B75" s="269" t="s">
        <v>277</v>
      </c>
      <c r="C75" s="269">
        <v>2019</v>
      </c>
      <c r="D75" s="269" t="s">
        <v>75</v>
      </c>
      <c r="E75" s="269" t="s">
        <v>391</v>
      </c>
      <c r="F75" s="269" t="s">
        <v>74</v>
      </c>
      <c r="G75" s="269" t="s">
        <v>394</v>
      </c>
      <c r="H75" s="269" t="s">
        <v>42</v>
      </c>
      <c r="I75" s="269" t="s">
        <v>583</v>
      </c>
      <c r="J75" s="269">
        <v>1000</v>
      </c>
      <c r="K75" s="269" t="s">
        <v>584</v>
      </c>
      <c r="L75" s="269"/>
      <c r="M75" s="274">
        <v>907</v>
      </c>
      <c r="N75" s="468">
        <f t="shared" si="1"/>
        <v>91</v>
      </c>
      <c r="O75" s="274">
        <v>26</v>
      </c>
      <c r="P75" s="553" t="s">
        <v>1722</v>
      </c>
      <c r="Q75" s="469"/>
    </row>
    <row r="76" spans="1:17" hidden="1" x14ac:dyDescent="0.2">
      <c r="A76" s="269" t="s">
        <v>277</v>
      </c>
      <c r="B76" s="269" t="s">
        <v>277</v>
      </c>
      <c r="C76" s="269">
        <v>2019</v>
      </c>
      <c r="D76" s="269" t="s">
        <v>75</v>
      </c>
      <c r="E76" s="269" t="s">
        <v>391</v>
      </c>
      <c r="F76" s="269" t="s">
        <v>74</v>
      </c>
      <c r="G76" s="269" t="s">
        <v>394</v>
      </c>
      <c r="H76" s="269" t="s">
        <v>19</v>
      </c>
      <c r="I76" s="269" t="s">
        <v>583</v>
      </c>
      <c r="J76" s="269">
        <v>300</v>
      </c>
      <c r="K76" s="269" t="s">
        <v>584</v>
      </c>
      <c r="L76" s="269" t="s">
        <v>611</v>
      </c>
      <c r="M76" s="274">
        <v>392</v>
      </c>
      <c r="N76" s="468">
        <f t="shared" si="1"/>
        <v>131</v>
      </c>
      <c r="O76" s="274">
        <v>22</v>
      </c>
      <c r="P76" s="553" t="s">
        <v>1733</v>
      </c>
      <c r="Q76" s="469"/>
    </row>
    <row r="77" spans="1:17" hidden="1" x14ac:dyDescent="0.2">
      <c r="A77" s="269" t="s">
        <v>277</v>
      </c>
      <c r="B77" s="269" t="s">
        <v>277</v>
      </c>
      <c r="C77" s="269">
        <v>2019</v>
      </c>
      <c r="D77" s="269" t="s">
        <v>75</v>
      </c>
      <c r="E77" s="269" t="s">
        <v>391</v>
      </c>
      <c r="F77" s="269" t="s">
        <v>74</v>
      </c>
      <c r="G77" s="269" t="s">
        <v>394</v>
      </c>
      <c r="H77" s="269" t="s">
        <v>20</v>
      </c>
      <c r="I77" s="269" t="s">
        <v>583</v>
      </c>
      <c r="J77" s="269">
        <v>300</v>
      </c>
      <c r="K77" s="269" t="s">
        <v>584</v>
      </c>
      <c r="L77" s="269" t="s">
        <v>611</v>
      </c>
      <c r="M77" s="274">
        <v>392</v>
      </c>
      <c r="N77" s="468">
        <f t="shared" si="1"/>
        <v>131</v>
      </c>
      <c r="O77" s="274">
        <v>22</v>
      </c>
      <c r="P77" s="553" t="s">
        <v>1733</v>
      </c>
      <c r="Q77" s="469"/>
    </row>
    <row r="78" spans="1:17" hidden="1" x14ac:dyDescent="0.2">
      <c r="A78" s="269" t="s">
        <v>277</v>
      </c>
      <c r="B78" s="269" t="s">
        <v>277</v>
      </c>
      <c r="C78" s="269">
        <v>2019</v>
      </c>
      <c r="D78" s="269" t="s">
        <v>75</v>
      </c>
      <c r="E78" s="269" t="s">
        <v>391</v>
      </c>
      <c r="F78" s="269" t="s">
        <v>74</v>
      </c>
      <c r="G78" s="269" t="s">
        <v>394</v>
      </c>
      <c r="H78" s="269" t="s">
        <v>587</v>
      </c>
      <c r="I78" s="269" t="s">
        <v>583</v>
      </c>
      <c r="J78" s="269">
        <v>0</v>
      </c>
      <c r="K78" s="269" t="s">
        <v>584</v>
      </c>
      <c r="L78" s="269" t="s">
        <v>612</v>
      </c>
      <c r="M78" s="274">
        <v>381</v>
      </c>
      <c r="N78" s="468" t="s">
        <v>332</v>
      </c>
      <c r="O78" s="274">
        <v>20</v>
      </c>
      <c r="P78" s="553" t="s">
        <v>1733</v>
      </c>
      <c r="Q78" s="469"/>
    </row>
    <row r="79" spans="1:17" hidden="1" x14ac:dyDescent="0.2">
      <c r="A79" s="269" t="s">
        <v>277</v>
      </c>
      <c r="B79" s="269" t="s">
        <v>277</v>
      </c>
      <c r="C79" s="269">
        <v>2019</v>
      </c>
      <c r="D79" s="269" t="s">
        <v>75</v>
      </c>
      <c r="E79" s="269" t="s">
        <v>391</v>
      </c>
      <c r="F79" s="269" t="s">
        <v>74</v>
      </c>
      <c r="G79" s="269" t="s">
        <v>394</v>
      </c>
      <c r="H79" s="269" t="s">
        <v>588</v>
      </c>
      <c r="I79" s="269" t="s">
        <v>583</v>
      </c>
      <c r="J79" s="269">
        <v>0</v>
      </c>
      <c r="K79" s="269" t="s">
        <v>584</v>
      </c>
      <c r="L79" s="269" t="s">
        <v>612</v>
      </c>
      <c r="M79" s="274">
        <v>0</v>
      </c>
      <c r="N79" s="468" t="s">
        <v>332</v>
      </c>
      <c r="O79" s="274">
        <v>0</v>
      </c>
      <c r="P79" s="553" t="s">
        <v>1733</v>
      </c>
      <c r="Q79" s="469"/>
    </row>
    <row r="80" spans="1:17" ht="25.5" hidden="1" x14ac:dyDescent="0.2">
      <c r="A80" s="269" t="s">
        <v>277</v>
      </c>
      <c r="B80" s="269" t="s">
        <v>277</v>
      </c>
      <c r="C80" s="269">
        <v>2019</v>
      </c>
      <c r="D80" s="269" t="s">
        <v>75</v>
      </c>
      <c r="E80" s="269" t="s">
        <v>391</v>
      </c>
      <c r="F80" s="269" t="s">
        <v>74</v>
      </c>
      <c r="G80" s="269" t="s">
        <v>394</v>
      </c>
      <c r="H80" s="269" t="s">
        <v>42</v>
      </c>
      <c r="I80" s="269" t="s">
        <v>589</v>
      </c>
      <c r="J80" s="269">
        <v>25</v>
      </c>
      <c r="K80" s="269" t="s">
        <v>584</v>
      </c>
      <c r="L80" s="269" t="s">
        <v>613</v>
      </c>
      <c r="M80" s="274">
        <v>79</v>
      </c>
      <c r="N80" s="468">
        <f t="shared" si="1"/>
        <v>316</v>
      </c>
      <c r="O80" s="274">
        <v>33</v>
      </c>
      <c r="P80" s="553" t="s">
        <v>613</v>
      </c>
      <c r="Q80" s="624" t="s">
        <v>1901</v>
      </c>
    </row>
    <row r="81" spans="1:17" ht="25.5" x14ac:dyDescent="0.2">
      <c r="A81" s="269" t="s">
        <v>277</v>
      </c>
      <c r="B81" s="269" t="s">
        <v>277</v>
      </c>
      <c r="C81" s="269">
        <v>2019</v>
      </c>
      <c r="D81" s="269" t="s">
        <v>75</v>
      </c>
      <c r="E81" s="269" t="s">
        <v>391</v>
      </c>
      <c r="F81" s="269" t="s">
        <v>74</v>
      </c>
      <c r="G81" s="269" t="s">
        <v>394</v>
      </c>
      <c r="H81" s="269" t="s">
        <v>19</v>
      </c>
      <c r="I81" s="269" t="s">
        <v>589</v>
      </c>
      <c r="J81" s="269">
        <v>25</v>
      </c>
      <c r="K81" s="269" t="s">
        <v>584</v>
      </c>
      <c r="L81" s="269" t="s">
        <v>613</v>
      </c>
      <c r="M81" s="274">
        <v>77</v>
      </c>
      <c r="N81" s="468">
        <f t="shared" si="1"/>
        <v>308</v>
      </c>
      <c r="O81" s="274">
        <v>33</v>
      </c>
      <c r="P81" s="553" t="s">
        <v>613</v>
      </c>
      <c r="Q81" s="624" t="s">
        <v>1901</v>
      </c>
    </row>
    <row r="82" spans="1:17" ht="25.5" x14ac:dyDescent="0.2">
      <c r="A82" s="269" t="s">
        <v>277</v>
      </c>
      <c r="B82" s="269" t="s">
        <v>277</v>
      </c>
      <c r="C82" s="269">
        <v>2019</v>
      </c>
      <c r="D82" s="269" t="s">
        <v>75</v>
      </c>
      <c r="E82" s="269" t="s">
        <v>391</v>
      </c>
      <c r="F82" s="269" t="s">
        <v>74</v>
      </c>
      <c r="G82" s="269" t="s">
        <v>394</v>
      </c>
      <c r="H82" s="269" t="s">
        <v>20</v>
      </c>
      <c r="I82" s="269" t="s">
        <v>589</v>
      </c>
      <c r="J82" s="269">
        <v>25</v>
      </c>
      <c r="K82" s="269" t="s">
        <v>584</v>
      </c>
      <c r="L82" s="269" t="s">
        <v>613</v>
      </c>
      <c r="M82" s="274">
        <v>77</v>
      </c>
      <c r="N82" s="468">
        <f t="shared" si="1"/>
        <v>308</v>
      </c>
      <c r="O82" s="274">
        <v>33</v>
      </c>
      <c r="P82" s="553" t="s">
        <v>613</v>
      </c>
      <c r="Q82" s="624" t="s">
        <v>1901</v>
      </c>
    </row>
    <row r="83" spans="1:17" ht="25.5" x14ac:dyDescent="0.2">
      <c r="A83" s="269" t="s">
        <v>277</v>
      </c>
      <c r="B83" s="269" t="s">
        <v>277</v>
      </c>
      <c r="C83" s="269">
        <v>2019</v>
      </c>
      <c r="D83" s="269" t="s">
        <v>75</v>
      </c>
      <c r="E83" s="269" t="s">
        <v>391</v>
      </c>
      <c r="F83" s="269" t="s">
        <v>74</v>
      </c>
      <c r="G83" s="269" t="s">
        <v>394</v>
      </c>
      <c r="H83" s="269" t="s">
        <v>587</v>
      </c>
      <c r="I83" s="269" t="s">
        <v>589</v>
      </c>
      <c r="J83" s="269">
        <v>25</v>
      </c>
      <c r="K83" s="269" t="s">
        <v>584</v>
      </c>
      <c r="L83" s="269" t="s">
        <v>613</v>
      </c>
      <c r="M83" s="274">
        <v>77</v>
      </c>
      <c r="N83" s="468">
        <f t="shared" si="1"/>
        <v>308</v>
      </c>
      <c r="O83" s="274">
        <v>33</v>
      </c>
      <c r="P83" s="553" t="s">
        <v>613</v>
      </c>
      <c r="Q83" s="624" t="s">
        <v>1901</v>
      </c>
    </row>
    <row r="84" spans="1:17" x14ac:dyDescent="0.2">
      <c r="A84" s="269" t="s">
        <v>277</v>
      </c>
      <c r="B84" s="269" t="s">
        <v>277</v>
      </c>
      <c r="C84" s="269">
        <v>2019</v>
      </c>
      <c r="D84" s="269" t="s">
        <v>75</v>
      </c>
      <c r="E84" s="269" t="s">
        <v>391</v>
      </c>
      <c r="F84" s="269" t="s">
        <v>74</v>
      </c>
      <c r="G84" s="269" t="s">
        <v>394</v>
      </c>
      <c r="H84" s="269" t="s">
        <v>588</v>
      </c>
      <c r="I84" s="269" t="s">
        <v>589</v>
      </c>
      <c r="J84" s="269">
        <v>75</v>
      </c>
      <c r="K84" s="269" t="s">
        <v>584</v>
      </c>
      <c r="L84" s="269" t="s">
        <v>614</v>
      </c>
      <c r="M84" s="274">
        <v>77</v>
      </c>
      <c r="N84" s="468">
        <f t="shared" si="1"/>
        <v>103</v>
      </c>
      <c r="O84" s="274">
        <v>33</v>
      </c>
      <c r="P84" s="553" t="s">
        <v>613</v>
      </c>
      <c r="Q84" s="469"/>
    </row>
    <row r="85" spans="1:17" ht="25.5" hidden="1" x14ac:dyDescent="0.2">
      <c r="A85" s="269" t="s">
        <v>277</v>
      </c>
      <c r="B85" s="269" t="s">
        <v>277</v>
      </c>
      <c r="C85" s="269">
        <v>2019</v>
      </c>
      <c r="D85" s="269" t="s">
        <v>75</v>
      </c>
      <c r="E85" s="269" t="s">
        <v>391</v>
      </c>
      <c r="F85" s="269" t="s">
        <v>74</v>
      </c>
      <c r="G85" s="269" t="s">
        <v>415</v>
      </c>
      <c r="H85" s="269" t="s">
        <v>42</v>
      </c>
      <c r="I85" s="269" t="s">
        <v>583</v>
      </c>
      <c r="J85" s="269">
        <v>1000</v>
      </c>
      <c r="K85" s="269" t="s">
        <v>584</v>
      </c>
      <c r="L85" s="269"/>
      <c r="M85" s="274">
        <v>754</v>
      </c>
      <c r="N85" s="468">
        <f t="shared" si="1"/>
        <v>75</v>
      </c>
      <c r="O85" s="274">
        <v>28</v>
      </c>
      <c r="P85" s="553" t="s">
        <v>1722</v>
      </c>
      <c r="Q85" s="469" t="s">
        <v>1734</v>
      </c>
    </row>
    <row r="86" spans="1:17" ht="25.5" hidden="1" x14ac:dyDescent="0.2">
      <c r="A86" s="269" t="s">
        <v>277</v>
      </c>
      <c r="B86" s="269" t="s">
        <v>277</v>
      </c>
      <c r="C86" s="269">
        <v>2019</v>
      </c>
      <c r="D86" s="269" t="s">
        <v>75</v>
      </c>
      <c r="E86" s="269" t="s">
        <v>391</v>
      </c>
      <c r="F86" s="269" t="s">
        <v>74</v>
      </c>
      <c r="G86" s="269" t="s">
        <v>415</v>
      </c>
      <c r="H86" s="269" t="s">
        <v>19</v>
      </c>
      <c r="I86" s="269" t="s">
        <v>583</v>
      </c>
      <c r="J86" s="269">
        <v>750</v>
      </c>
      <c r="K86" s="269" t="s">
        <v>584</v>
      </c>
      <c r="L86" s="269" t="s">
        <v>615</v>
      </c>
      <c r="M86" s="274">
        <v>392</v>
      </c>
      <c r="N86" s="468">
        <f t="shared" si="1"/>
        <v>52</v>
      </c>
      <c r="O86" s="274">
        <v>24</v>
      </c>
      <c r="P86" s="553" t="s">
        <v>1733</v>
      </c>
      <c r="Q86" s="469" t="s">
        <v>1734</v>
      </c>
    </row>
    <row r="87" spans="1:17" ht="25.5" hidden="1" x14ac:dyDescent="0.2">
      <c r="A87" s="269" t="s">
        <v>277</v>
      </c>
      <c r="B87" s="269" t="s">
        <v>277</v>
      </c>
      <c r="C87" s="269">
        <v>2019</v>
      </c>
      <c r="D87" s="269" t="s">
        <v>75</v>
      </c>
      <c r="E87" s="269" t="s">
        <v>391</v>
      </c>
      <c r="F87" s="269" t="s">
        <v>74</v>
      </c>
      <c r="G87" s="269" t="s">
        <v>415</v>
      </c>
      <c r="H87" s="269" t="s">
        <v>20</v>
      </c>
      <c r="I87" s="269" t="s">
        <v>583</v>
      </c>
      <c r="J87" s="269">
        <v>750</v>
      </c>
      <c r="K87" s="269" t="s">
        <v>584</v>
      </c>
      <c r="L87" s="269" t="s">
        <v>615</v>
      </c>
      <c r="M87" s="274">
        <v>392</v>
      </c>
      <c r="N87" s="468">
        <f t="shared" si="1"/>
        <v>52</v>
      </c>
      <c r="O87" s="274">
        <v>24</v>
      </c>
      <c r="P87" s="553" t="s">
        <v>1733</v>
      </c>
      <c r="Q87" s="469" t="s">
        <v>1734</v>
      </c>
    </row>
    <row r="88" spans="1:17" ht="25.5" hidden="1" x14ac:dyDescent="0.2">
      <c r="A88" s="269" t="s">
        <v>277</v>
      </c>
      <c r="B88" s="269" t="s">
        <v>277</v>
      </c>
      <c r="C88" s="269">
        <v>2019</v>
      </c>
      <c r="D88" s="269" t="s">
        <v>75</v>
      </c>
      <c r="E88" s="269" t="s">
        <v>391</v>
      </c>
      <c r="F88" s="269" t="s">
        <v>74</v>
      </c>
      <c r="G88" s="269" t="s">
        <v>415</v>
      </c>
      <c r="H88" s="269" t="s">
        <v>587</v>
      </c>
      <c r="I88" s="269" t="s">
        <v>583</v>
      </c>
      <c r="J88" s="269">
        <v>250</v>
      </c>
      <c r="K88" s="269" t="s">
        <v>584</v>
      </c>
      <c r="L88" s="269" t="s">
        <v>615</v>
      </c>
      <c r="M88" s="274">
        <v>378</v>
      </c>
      <c r="N88" s="468">
        <f t="shared" si="1"/>
        <v>151</v>
      </c>
      <c r="O88" s="274">
        <v>22</v>
      </c>
      <c r="P88" s="553" t="s">
        <v>1733</v>
      </c>
      <c r="Q88" s="624" t="s">
        <v>1901</v>
      </c>
    </row>
    <row r="89" spans="1:17" ht="38.25" hidden="1" x14ac:dyDescent="0.2">
      <c r="A89" s="269" t="s">
        <v>277</v>
      </c>
      <c r="B89" s="269" t="s">
        <v>277</v>
      </c>
      <c r="C89" s="269">
        <v>2019</v>
      </c>
      <c r="D89" s="269" t="s">
        <v>75</v>
      </c>
      <c r="E89" s="269" t="s">
        <v>391</v>
      </c>
      <c r="F89" s="269" t="s">
        <v>74</v>
      </c>
      <c r="G89" s="269" t="s">
        <v>415</v>
      </c>
      <c r="H89" s="269" t="s">
        <v>588</v>
      </c>
      <c r="I89" s="269" t="s">
        <v>583</v>
      </c>
      <c r="J89" s="269">
        <v>250</v>
      </c>
      <c r="K89" s="269" t="s">
        <v>584</v>
      </c>
      <c r="L89" s="269" t="s">
        <v>615</v>
      </c>
      <c r="M89" s="274">
        <v>0</v>
      </c>
      <c r="N89" s="468">
        <f t="shared" si="1"/>
        <v>0</v>
      </c>
      <c r="O89" s="274">
        <v>0</v>
      </c>
      <c r="P89" s="553" t="s">
        <v>1733</v>
      </c>
      <c r="Q89" s="469" t="s">
        <v>1735</v>
      </c>
    </row>
    <row r="90" spans="1:17" hidden="1" x14ac:dyDescent="0.2">
      <c r="A90" s="269" t="s">
        <v>277</v>
      </c>
      <c r="B90" s="269" t="s">
        <v>277</v>
      </c>
      <c r="C90" s="269">
        <v>2019</v>
      </c>
      <c r="D90" s="269" t="s">
        <v>75</v>
      </c>
      <c r="E90" s="269" t="s">
        <v>391</v>
      </c>
      <c r="F90" s="269" t="s">
        <v>74</v>
      </c>
      <c r="G90" s="269" t="s">
        <v>415</v>
      </c>
      <c r="H90" s="269" t="s">
        <v>42</v>
      </c>
      <c r="I90" s="269" t="s">
        <v>589</v>
      </c>
      <c r="J90" s="269">
        <v>0</v>
      </c>
      <c r="K90" s="269" t="s">
        <v>584</v>
      </c>
      <c r="L90" s="269" t="s">
        <v>606</v>
      </c>
      <c r="M90" s="274">
        <v>0</v>
      </c>
      <c r="N90" s="468" t="s">
        <v>332</v>
      </c>
      <c r="O90" s="274">
        <v>0</v>
      </c>
      <c r="P90" s="553" t="s">
        <v>1726</v>
      </c>
      <c r="Q90" s="469"/>
    </row>
    <row r="91" spans="1:17" x14ac:dyDescent="0.2">
      <c r="A91" s="269" t="s">
        <v>277</v>
      </c>
      <c r="B91" s="269" t="s">
        <v>277</v>
      </c>
      <c r="C91" s="269">
        <v>2019</v>
      </c>
      <c r="D91" s="269" t="s">
        <v>75</v>
      </c>
      <c r="E91" s="269" t="s">
        <v>391</v>
      </c>
      <c r="F91" s="269" t="s">
        <v>74</v>
      </c>
      <c r="G91" s="269" t="s">
        <v>415</v>
      </c>
      <c r="H91" s="269" t="s">
        <v>19</v>
      </c>
      <c r="I91" s="269" t="s">
        <v>589</v>
      </c>
      <c r="J91" s="269">
        <v>0</v>
      </c>
      <c r="K91" s="269" t="s">
        <v>584</v>
      </c>
      <c r="L91" s="269" t="s">
        <v>606</v>
      </c>
      <c r="M91" s="274">
        <v>0</v>
      </c>
      <c r="N91" s="468" t="s">
        <v>332</v>
      </c>
      <c r="O91" s="274">
        <v>0</v>
      </c>
      <c r="P91" s="553" t="s">
        <v>1726</v>
      </c>
      <c r="Q91" s="469"/>
    </row>
    <row r="92" spans="1:17" x14ac:dyDescent="0.2">
      <c r="A92" s="269" t="s">
        <v>277</v>
      </c>
      <c r="B92" s="269" t="s">
        <v>277</v>
      </c>
      <c r="C92" s="269">
        <v>2019</v>
      </c>
      <c r="D92" s="269" t="s">
        <v>75</v>
      </c>
      <c r="E92" s="269" t="s">
        <v>391</v>
      </c>
      <c r="F92" s="269" t="s">
        <v>74</v>
      </c>
      <c r="G92" s="269" t="s">
        <v>415</v>
      </c>
      <c r="H92" s="269" t="s">
        <v>20</v>
      </c>
      <c r="I92" s="269" t="s">
        <v>589</v>
      </c>
      <c r="J92" s="269">
        <v>0</v>
      </c>
      <c r="K92" s="269" t="s">
        <v>584</v>
      </c>
      <c r="L92" s="269" t="s">
        <v>606</v>
      </c>
      <c r="M92" s="274">
        <v>0</v>
      </c>
      <c r="N92" s="468" t="s">
        <v>332</v>
      </c>
      <c r="O92" s="274">
        <v>0</v>
      </c>
      <c r="P92" s="553" t="s">
        <v>1726</v>
      </c>
      <c r="Q92" s="469"/>
    </row>
    <row r="93" spans="1:17" x14ac:dyDescent="0.2">
      <c r="A93" s="269" t="s">
        <v>277</v>
      </c>
      <c r="B93" s="269" t="s">
        <v>277</v>
      </c>
      <c r="C93" s="269">
        <v>2019</v>
      </c>
      <c r="D93" s="269" t="s">
        <v>75</v>
      </c>
      <c r="E93" s="269" t="s">
        <v>391</v>
      </c>
      <c r="F93" s="269" t="s">
        <v>74</v>
      </c>
      <c r="G93" s="269" t="s">
        <v>415</v>
      </c>
      <c r="H93" s="269" t="s">
        <v>587</v>
      </c>
      <c r="I93" s="269" t="s">
        <v>589</v>
      </c>
      <c r="J93" s="269">
        <v>0</v>
      </c>
      <c r="K93" s="269" t="s">
        <v>584</v>
      </c>
      <c r="L93" s="269" t="s">
        <v>606</v>
      </c>
      <c r="M93" s="274">
        <v>0</v>
      </c>
      <c r="N93" s="468" t="s">
        <v>332</v>
      </c>
      <c r="O93" s="274">
        <v>0</v>
      </c>
      <c r="P93" s="553" t="s">
        <v>1726</v>
      </c>
      <c r="Q93" s="469"/>
    </row>
    <row r="94" spans="1:17" x14ac:dyDescent="0.2">
      <c r="A94" s="269" t="s">
        <v>277</v>
      </c>
      <c r="B94" s="269" t="s">
        <v>277</v>
      </c>
      <c r="C94" s="269">
        <v>2019</v>
      </c>
      <c r="D94" s="269" t="s">
        <v>75</v>
      </c>
      <c r="E94" s="269" t="s">
        <v>391</v>
      </c>
      <c r="F94" s="269" t="s">
        <v>74</v>
      </c>
      <c r="G94" s="269" t="s">
        <v>415</v>
      </c>
      <c r="H94" s="269" t="s">
        <v>588</v>
      </c>
      <c r="I94" s="269" t="s">
        <v>589</v>
      </c>
      <c r="J94" s="269">
        <v>0</v>
      </c>
      <c r="K94" s="269" t="s">
        <v>584</v>
      </c>
      <c r="L94" s="269" t="s">
        <v>606</v>
      </c>
      <c r="M94" s="274">
        <v>0</v>
      </c>
      <c r="N94" s="468" t="s">
        <v>332</v>
      </c>
      <c r="O94" s="274">
        <v>0</v>
      </c>
      <c r="P94" s="553" t="s">
        <v>1726</v>
      </c>
      <c r="Q94" s="469"/>
    </row>
    <row r="95" spans="1:17" ht="25.5" hidden="1" x14ac:dyDescent="0.2">
      <c r="A95" s="269" t="s">
        <v>277</v>
      </c>
      <c r="B95" s="269" t="s">
        <v>277</v>
      </c>
      <c r="C95" s="269">
        <v>2019</v>
      </c>
      <c r="D95" s="269" t="s">
        <v>75</v>
      </c>
      <c r="E95" s="269" t="s">
        <v>391</v>
      </c>
      <c r="F95" s="269" t="s">
        <v>74</v>
      </c>
      <c r="G95" s="269" t="s">
        <v>442</v>
      </c>
      <c r="H95" s="269" t="s">
        <v>42</v>
      </c>
      <c r="I95" s="269" t="s">
        <v>583</v>
      </c>
      <c r="J95" s="269">
        <v>2000</v>
      </c>
      <c r="K95" s="269" t="s">
        <v>584</v>
      </c>
      <c r="L95" s="269"/>
      <c r="M95" s="274">
        <v>4820</v>
      </c>
      <c r="N95" s="468">
        <f t="shared" si="1"/>
        <v>241</v>
      </c>
      <c r="O95" s="274">
        <v>241</v>
      </c>
      <c r="P95" s="553" t="s">
        <v>1722</v>
      </c>
      <c r="Q95" s="624" t="s">
        <v>1901</v>
      </c>
    </row>
    <row r="96" spans="1:17" ht="25.5" hidden="1" x14ac:dyDescent="0.2">
      <c r="A96" s="269" t="s">
        <v>277</v>
      </c>
      <c r="B96" s="269" t="s">
        <v>277</v>
      </c>
      <c r="C96" s="269">
        <v>2019</v>
      </c>
      <c r="D96" s="269" t="s">
        <v>75</v>
      </c>
      <c r="E96" s="269" t="s">
        <v>391</v>
      </c>
      <c r="F96" s="269" t="s">
        <v>74</v>
      </c>
      <c r="G96" s="269" t="s">
        <v>442</v>
      </c>
      <c r="H96" s="269" t="s">
        <v>19</v>
      </c>
      <c r="I96" s="269" t="s">
        <v>583</v>
      </c>
      <c r="J96" s="269">
        <v>1000</v>
      </c>
      <c r="K96" s="269" t="s">
        <v>584</v>
      </c>
      <c r="L96" s="269" t="s">
        <v>615</v>
      </c>
      <c r="M96" s="274">
        <v>1640</v>
      </c>
      <c r="N96" s="468">
        <f t="shared" si="1"/>
        <v>164</v>
      </c>
      <c r="O96" s="274">
        <v>108</v>
      </c>
      <c r="P96" s="553" t="s">
        <v>1733</v>
      </c>
      <c r="Q96" s="624" t="s">
        <v>1901</v>
      </c>
    </row>
    <row r="97" spans="1:17" ht="25.5" hidden="1" x14ac:dyDescent="0.2">
      <c r="A97" s="269" t="s">
        <v>277</v>
      </c>
      <c r="B97" s="269" t="s">
        <v>277</v>
      </c>
      <c r="C97" s="269">
        <v>2019</v>
      </c>
      <c r="D97" s="269" t="s">
        <v>75</v>
      </c>
      <c r="E97" s="269" t="s">
        <v>391</v>
      </c>
      <c r="F97" s="269" t="s">
        <v>74</v>
      </c>
      <c r="G97" s="269" t="s">
        <v>442</v>
      </c>
      <c r="H97" s="269" t="s">
        <v>20</v>
      </c>
      <c r="I97" s="269" t="s">
        <v>583</v>
      </c>
      <c r="J97" s="269">
        <v>1000</v>
      </c>
      <c r="K97" s="269" t="s">
        <v>584</v>
      </c>
      <c r="L97" s="269" t="s">
        <v>615</v>
      </c>
      <c r="M97" s="274">
        <v>1640</v>
      </c>
      <c r="N97" s="468">
        <f t="shared" si="1"/>
        <v>164</v>
      </c>
      <c r="O97" s="274">
        <v>108</v>
      </c>
      <c r="P97" s="553" t="s">
        <v>1733</v>
      </c>
      <c r="Q97" s="624" t="s">
        <v>1901</v>
      </c>
    </row>
    <row r="98" spans="1:17" hidden="1" x14ac:dyDescent="0.2">
      <c r="A98" s="269" t="s">
        <v>277</v>
      </c>
      <c r="B98" s="269" t="s">
        <v>277</v>
      </c>
      <c r="C98" s="269">
        <v>2019</v>
      </c>
      <c r="D98" s="269" t="s">
        <v>75</v>
      </c>
      <c r="E98" s="269" t="s">
        <v>391</v>
      </c>
      <c r="F98" s="269" t="s">
        <v>74</v>
      </c>
      <c r="G98" s="269" t="s">
        <v>442</v>
      </c>
      <c r="H98" s="269" t="s">
        <v>587</v>
      </c>
      <c r="I98" s="269" t="s">
        <v>583</v>
      </c>
      <c r="J98" s="269">
        <v>0</v>
      </c>
      <c r="K98" s="269" t="s">
        <v>584</v>
      </c>
      <c r="L98" s="269" t="s">
        <v>612</v>
      </c>
      <c r="M98" s="274">
        <v>1533</v>
      </c>
      <c r="N98" s="468" t="s">
        <v>332</v>
      </c>
      <c r="O98" s="274">
        <v>98</v>
      </c>
      <c r="P98" s="553" t="s">
        <v>1726</v>
      </c>
      <c r="Q98" s="469"/>
    </row>
    <row r="99" spans="1:17" hidden="1" x14ac:dyDescent="0.2">
      <c r="A99" s="269" t="s">
        <v>277</v>
      </c>
      <c r="B99" s="269" t="s">
        <v>277</v>
      </c>
      <c r="C99" s="269">
        <v>2019</v>
      </c>
      <c r="D99" s="269" t="s">
        <v>75</v>
      </c>
      <c r="E99" s="269" t="s">
        <v>391</v>
      </c>
      <c r="F99" s="269" t="s">
        <v>74</v>
      </c>
      <c r="G99" s="269" t="s">
        <v>442</v>
      </c>
      <c r="H99" s="269" t="s">
        <v>588</v>
      </c>
      <c r="I99" s="269" t="s">
        <v>583</v>
      </c>
      <c r="J99" s="269">
        <v>0</v>
      </c>
      <c r="K99" s="269" t="s">
        <v>584</v>
      </c>
      <c r="L99" s="269" t="s">
        <v>612</v>
      </c>
      <c r="M99" s="274">
        <v>137</v>
      </c>
      <c r="N99" s="468" t="s">
        <v>332</v>
      </c>
      <c r="O99" s="274">
        <v>7</v>
      </c>
      <c r="P99" s="553" t="s">
        <v>1726</v>
      </c>
      <c r="Q99" s="469"/>
    </row>
    <row r="100" spans="1:17" ht="25.5" hidden="1" x14ac:dyDescent="0.2">
      <c r="A100" s="269" t="s">
        <v>277</v>
      </c>
      <c r="B100" s="269" t="s">
        <v>277</v>
      </c>
      <c r="C100" s="269">
        <v>2019</v>
      </c>
      <c r="D100" s="269" t="s">
        <v>75</v>
      </c>
      <c r="E100" s="269" t="s">
        <v>391</v>
      </c>
      <c r="F100" s="269" t="s">
        <v>74</v>
      </c>
      <c r="G100" s="269" t="s">
        <v>442</v>
      </c>
      <c r="H100" s="269" t="s">
        <v>42</v>
      </c>
      <c r="I100" s="269" t="s">
        <v>589</v>
      </c>
      <c r="J100" s="269">
        <v>50</v>
      </c>
      <c r="K100" s="269" t="s">
        <v>584</v>
      </c>
      <c r="L100" s="269" t="s">
        <v>613</v>
      </c>
      <c r="M100" s="274">
        <v>125</v>
      </c>
      <c r="N100" s="468">
        <f t="shared" si="1"/>
        <v>250</v>
      </c>
      <c r="O100" s="274">
        <v>36</v>
      </c>
      <c r="P100" s="553" t="s">
        <v>647</v>
      </c>
      <c r="Q100" s="624" t="s">
        <v>1901</v>
      </c>
    </row>
    <row r="101" spans="1:17" ht="25.5" x14ac:dyDescent="0.2">
      <c r="A101" s="269" t="s">
        <v>277</v>
      </c>
      <c r="B101" s="269" t="s">
        <v>277</v>
      </c>
      <c r="C101" s="269">
        <v>2019</v>
      </c>
      <c r="D101" s="269" t="s">
        <v>75</v>
      </c>
      <c r="E101" s="269" t="s">
        <v>391</v>
      </c>
      <c r="F101" s="269" t="s">
        <v>74</v>
      </c>
      <c r="G101" s="269" t="s">
        <v>442</v>
      </c>
      <c r="H101" s="269" t="s">
        <v>19</v>
      </c>
      <c r="I101" s="269" t="s">
        <v>589</v>
      </c>
      <c r="J101" s="269">
        <v>50</v>
      </c>
      <c r="K101" s="269" t="s">
        <v>584</v>
      </c>
      <c r="L101" s="269" t="s">
        <v>613</v>
      </c>
      <c r="M101" s="274">
        <v>125</v>
      </c>
      <c r="N101" s="468">
        <f t="shared" si="1"/>
        <v>250</v>
      </c>
      <c r="O101" s="274">
        <v>36</v>
      </c>
      <c r="P101" s="553" t="s">
        <v>647</v>
      </c>
      <c r="Q101" s="624" t="s">
        <v>1901</v>
      </c>
    </row>
    <row r="102" spans="1:17" ht="25.5" x14ac:dyDescent="0.2">
      <c r="A102" s="269" t="s">
        <v>277</v>
      </c>
      <c r="B102" s="269" t="s">
        <v>277</v>
      </c>
      <c r="C102" s="269">
        <v>2019</v>
      </c>
      <c r="D102" s="269" t="s">
        <v>75</v>
      </c>
      <c r="E102" s="269" t="s">
        <v>391</v>
      </c>
      <c r="F102" s="269" t="s">
        <v>74</v>
      </c>
      <c r="G102" s="269" t="s">
        <v>442</v>
      </c>
      <c r="H102" s="269" t="s">
        <v>20</v>
      </c>
      <c r="I102" s="269" t="s">
        <v>589</v>
      </c>
      <c r="J102" s="269">
        <v>50</v>
      </c>
      <c r="K102" s="269" t="s">
        <v>584</v>
      </c>
      <c r="L102" s="269" t="s">
        <v>613</v>
      </c>
      <c r="M102" s="274">
        <v>125</v>
      </c>
      <c r="N102" s="468">
        <f t="shared" si="1"/>
        <v>250</v>
      </c>
      <c r="O102" s="274">
        <v>36</v>
      </c>
      <c r="P102" s="553" t="s">
        <v>647</v>
      </c>
      <c r="Q102" s="624" t="s">
        <v>1901</v>
      </c>
    </row>
    <row r="103" spans="1:17" ht="25.5" x14ac:dyDescent="0.2">
      <c r="A103" s="269" t="s">
        <v>277</v>
      </c>
      <c r="B103" s="269" t="s">
        <v>277</v>
      </c>
      <c r="C103" s="269">
        <v>2019</v>
      </c>
      <c r="D103" s="269" t="s">
        <v>75</v>
      </c>
      <c r="E103" s="269" t="s">
        <v>391</v>
      </c>
      <c r="F103" s="269" t="s">
        <v>74</v>
      </c>
      <c r="G103" s="269" t="s">
        <v>442</v>
      </c>
      <c r="H103" s="269" t="s">
        <v>587</v>
      </c>
      <c r="I103" s="269" t="s">
        <v>589</v>
      </c>
      <c r="J103" s="269">
        <v>50</v>
      </c>
      <c r="K103" s="269" t="s">
        <v>584</v>
      </c>
      <c r="L103" s="269" t="s">
        <v>613</v>
      </c>
      <c r="M103" s="274">
        <v>125</v>
      </c>
      <c r="N103" s="468">
        <f t="shared" si="1"/>
        <v>250</v>
      </c>
      <c r="O103" s="274">
        <v>36</v>
      </c>
      <c r="P103" s="553" t="s">
        <v>647</v>
      </c>
      <c r="Q103" s="624" t="s">
        <v>1901</v>
      </c>
    </row>
    <row r="104" spans="1:17" ht="25.5" x14ac:dyDescent="0.2">
      <c r="A104" s="269" t="s">
        <v>277</v>
      </c>
      <c r="B104" s="269" t="s">
        <v>277</v>
      </c>
      <c r="C104" s="269">
        <v>2019</v>
      </c>
      <c r="D104" s="269" t="s">
        <v>75</v>
      </c>
      <c r="E104" s="269" t="s">
        <v>391</v>
      </c>
      <c r="F104" s="269" t="s">
        <v>74</v>
      </c>
      <c r="G104" s="269" t="s">
        <v>442</v>
      </c>
      <c r="H104" s="269" t="s">
        <v>588</v>
      </c>
      <c r="I104" s="269" t="s">
        <v>589</v>
      </c>
      <c r="J104" s="269">
        <v>50</v>
      </c>
      <c r="K104" s="269" t="s">
        <v>584</v>
      </c>
      <c r="L104" s="269" t="s">
        <v>613</v>
      </c>
      <c r="M104" s="274">
        <v>125</v>
      </c>
      <c r="N104" s="468">
        <f t="shared" si="1"/>
        <v>250</v>
      </c>
      <c r="O104" s="274">
        <v>36</v>
      </c>
      <c r="P104" s="553" t="s">
        <v>647</v>
      </c>
      <c r="Q104" s="624" t="s">
        <v>1901</v>
      </c>
    </row>
    <row r="105" spans="1:17" ht="25.5" hidden="1" x14ac:dyDescent="0.2">
      <c r="A105" s="269" t="s">
        <v>277</v>
      </c>
      <c r="B105" s="269" t="s">
        <v>277</v>
      </c>
      <c r="C105" s="269">
        <v>2019</v>
      </c>
      <c r="D105" s="269" t="s">
        <v>353</v>
      </c>
      <c r="E105" s="269" t="s">
        <v>391</v>
      </c>
      <c r="F105" s="269" t="s">
        <v>7</v>
      </c>
      <c r="G105" s="269" t="s">
        <v>443</v>
      </c>
      <c r="H105" s="269" t="s">
        <v>42</v>
      </c>
      <c r="I105" s="269" t="s">
        <v>583</v>
      </c>
      <c r="J105" s="269">
        <v>1000</v>
      </c>
      <c r="K105" s="269" t="s">
        <v>584</v>
      </c>
      <c r="L105" s="269"/>
      <c r="M105" s="274">
        <v>1640</v>
      </c>
      <c r="N105" s="468">
        <f t="shared" si="1"/>
        <v>164</v>
      </c>
      <c r="O105" s="274">
        <v>12</v>
      </c>
      <c r="P105" s="553" t="s">
        <v>1722</v>
      </c>
      <c r="Q105" s="624" t="s">
        <v>1901</v>
      </c>
    </row>
    <row r="106" spans="1:17" hidden="1" x14ac:dyDescent="0.2">
      <c r="A106" s="269" t="s">
        <v>277</v>
      </c>
      <c r="B106" s="269" t="s">
        <v>277</v>
      </c>
      <c r="C106" s="269">
        <v>2019</v>
      </c>
      <c r="D106" s="269" t="s">
        <v>353</v>
      </c>
      <c r="E106" s="269" t="s">
        <v>391</v>
      </c>
      <c r="F106" s="269" t="s">
        <v>7</v>
      </c>
      <c r="G106" s="269" t="s">
        <v>443</v>
      </c>
      <c r="H106" s="269" t="s">
        <v>19</v>
      </c>
      <c r="I106" s="269" t="s">
        <v>583</v>
      </c>
      <c r="J106" s="269">
        <v>0</v>
      </c>
      <c r="K106" s="269" t="s">
        <v>584</v>
      </c>
      <c r="L106" s="269" t="s">
        <v>592</v>
      </c>
      <c r="M106" s="274">
        <v>0</v>
      </c>
      <c r="N106" s="468" t="s">
        <v>332</v>
      </c>
      <c r="O106" s="274">
        <v>0</v>
      </c>
      <c r="P106" s="553" t="s">
        <v>1726</v>
      </c>
      <c r="Q106" s="469"/>
    </row>
    <row r="107" spans="1:17" hidden="1" x14ac:dyDescent="0.2">
      <c r="A107" s="269" t="s">
        <v>277</v>
      </c>
      <c r="B107" s="269" t="s">
        <v>277</v>
      </c>
      <c r="C107" s="269">
        <v>2019</v>
      </c>
      <c r="D107" s="269" t="s">
        <v>353</v>
      </c>
      <c r="E107" s="269" t="s">
        <v>391</v>
      </c>
      <c r="F107" s="269" t="s">
        <v>7</v>
      </c>
      <c r="G107" s="269" t="s">
        <v>443</v>
      </c>
      <c r="H107" s="269" t="s">
        <v>20</v>
      </c>
      <c r="I107" s="269" t="s">
        <v>583</v>
      </c>
      <c r="J107" s="269">
        <v>0</v>
      </c>
      <c r="K107" s="269" t="s">
        <v>584</v>
      </c>
      <c r="L107" s="269" t="s">
        <v>616</v>
      </c>
      <c r="M107" s="274">
        <v>0</v>
      </c>
      <c r="N107" s="468" t="s">
        <v>332</v>
      </c>
      <c r="O107" s="274">
        <v>0</v>
      </c>
      <c r="P107" s="553" t="s">
        <v>1726</v>
      </c>
      <c r="Q107" s="469"/>
    </row>
    <row r="108" spans="1:17" hidden="1" x14ac:dyDescent="0.2">
      <c r="A108" s="269" t="s">
        <v>277</v>
      </c>
      <c r="B108" s="269" t="s">
        <v>277</v>
      </c>
      <c r="C108" s="269">
        <v>2019</v>
      </c>
      <c r="D108" s="269" t="s">
        <v>353</v>
      </c>
      <c r="E108" s="269" t="s">
        <v>391</v>
      </c>
      <c r="F108" s="269" t="s">
        <v>7</v>
      </c>
      <c r="G108" s="269" t="s">
        <v>443</v>
      </c>
      <c r="H108" s="269" t="s">
        <v>587</v>
      </c>
      <c r="I108" s="269" t="s">
        <v>583</v>
      </c>
      <c r="J108" s="269">
        <v>0</v>
      </c>
      <c r="K108" s="269" t="s">
        <v>584</v>
      </c>
      <c r="L108" s="269" t="s">
        <v>616</v>
      </c>
      <c r="M108" s="274">
        <v>0</v>
      </c>
      <c r="N108" s="468" t="s">
        <v>332</v>
      </c>
      <c r="O108" s="274">
        <v>0</v>
      </c>
      <c r="P108" s="553" t="s">
        <v>1726</v>
      </c>
      <c r="Q108" s="469"/>
    </row>
    <row r="109" spans="1:17" hidden="1" x14ac:dyDescent="0.2">
      <c r="A109" s="269" t="s">
        <v>277</v>
      </c>
      <c r="B109" s="269" t="s">
        <v>277</v>
      </c>
      <c r="C109" s="269">
        <v>2019</v>
      </c>
      <c r="D109" s="269" t="s">
        <v>353</v>
      </c>
      <c r="E109" s="269" t="s">
        <v>391</v>
      </c>
      <c r="F109" s="269" t="s">
        <v>7</v>
      </c>
      <c r="G109" s="269" t="s">
        <v>443</v>
      </c>
      <c r="H109" s="269" t="s">
        <v>588</v>
      </c>
      <c r="I109" s="269" t="s">
        <v>583</v>
      </c>
      <c r="J109" s="269">
        <v>0</v>
      </c>
      <c r="K109" s="269" t="s">
        <v>584</v>
      </c>
      <c r="L109" s="269" t="s">
        <v>592</v>
      </c>
      <c r="M109" s="274">
        <v>0</v>
      </c>
      <c r="N109" s="468" t="s">
        <v>332</v>
      </c>
      <c r="O109" s="274">
        <v>0</v>
      </c>
      <c r="P109" s="553" t="s">
        <v>1726</v>
      </c>
      <c r="Q109" s="469"/>
    </row>
    <row r="110" spans="1:17" ht="25.5" hidden="1" x14ac:dyDescent="0.2">
      <c r="A110" s="269" t="s">
        <v>277</v>
      </c>
      <c r="B110" s="269" t="s">
        <v>277</v>
      </c>
      <c r="C110" s="269">
        <v>2019</v>
      </c>
      <c r="D110" s="269" t="s">
        <v>353</v>
      </c>
      <c r="E110" s="269" t="s">
        <v>391</v>
      </c>
      <c r="F110" s="269" t="s">
        <v>7</v>
      </c>
      <c r="G110" s="269" t="s">
        <v>443</v>
      </c>
      <c r="H110" s="269" t="s">
        <v>42</v>
      </c>
      <c r="I110" s="269" t="s">
        <v>589</v>
      </c>
      <c r="J110" s="269">
        <v>250</v>
      </c>
      <c r="K110" s="269" t="s">
        <v>584</v>
      </c>
      <c r="L110" s="269"/>
      <c r="M110" s="274">
        <v>971</v>
      </c>
      <c r="N110" s="468">
        <f t="shared" si="1"/>
        <v>388</v>
      </c>
      <c r="O110" s="274">
        <v>122</v>
      </c>
      <c r="P110" s="553" t="s">
        <v>647</v>
      </c>
      <c r="Q110" s="624" t="s">
        <v>1901</v>
      </c>
    </row>
    <row r="111" spans="1:17" x14ac:dyDescent="0.2">
      <c r="A111" s="269" t="s">
        <v>277</v>
      </c>
      <c r="B111" s="269" t="s">
        <v>277</v>
      </c>
      <c r="C111" s="269">
        <v>2019</v>
      </c>
      <c r="D111" s="269" t="s">
        <v>353</v>
      </c>
      <c r="E111" s="269" t="s">
        <v>391</v>
      </c>
      <c r="F111" s="269" t="s">
        <v>7</v>
      </c>
      <c r="G111" s="269" t="s">
        <v>443</v>
      </c>
      <c r="H111" s="269" t="s">
        <v>19</v>
      </c>
      <c r="I111" s="269" t="s">
        <v>589</v>
      </c>
      <c r="J111" s="269">
        <v>0</v>
      </c>
      <c r="K111" s="269" t="s">
        <v>584</v>
      </c>
      <c r="L111" s="269" t="s">
        <v>592</v>
      </c>
      <c r="M111" s="274">
        <v>793</v>
      </c>
      <c r="N111" s="468" t="s">
        <v>332</v>
      </c>
      <c r="O111" s="274">
        <v>119</v>
      </c>
      <c r="P111" s="553" t="s">
        <v>1726</v>
      </c>
      <c r="Q111" s="469"/>
    </row>
    <row r="112" spans="1:17" ht="25.5" x14ac:dyDescent="0.2">
      <c r="A112" s="269" t="s">
        <v>277</v>
      </c>
      <c r="B112" s="269" t="s">
        <v>277</v>
      </c>
      <c r="C112" s="269">
        <v>2019</v>
      </c>
      <c r="D112" s="269" t="s">
        <v>353</v>
      </c>
      <c r="E112" s="269" t="s">
        <v>391</v>
      </c>
      <c r="F112" s="269" t="s">
        <v>7</v>
      </c>
      <c r="G112" s="269" t="s">
        <v>443</v>
      </c>
      <c r="H112" s="269" t="s">
        <v>20</v>
      </c>
      <c r="I112" s="269" t="s">
        <v>589</v>
      </c>
      <c r="J112" s="269">
        <v>250</v>
      </c>
      <c r="K112" s="269" t="s">
        <v>584</v>
      </c>
      <c r="L112" s="269"/>
      <c r="M112" s="274">
        <v>793</v>
      </c>
      <c r="N112" s="468">
        <f t="shared" si="1"/>
        <v>317</v>
      </c>
      <c r="O112" s="274">
        <v>119</v>
      </c>
      <c r="P112" s="553" t="s">
        <v>647</v>
      </c>
      <c r="Q112" s="624" t="s">
        <v>1901</v>
      </c>
    </row>
    <row r="113" spans="1:17" ht="25.5" x14ac:dyDescent="0.2">
      <c r="A113" s="269" t="s">
        <v>277</v>
      </c>
      <c r="B113" s="269" t="s">
        <v>277</v>
      </c>
      <c r="C113" s="269">
        <v>2019</v>
      </c>
      <c r="D113" s="269" t="s">
        <v>353</v>
      </c>
      <c r="E113" s="269" t="s">
        <v>391</v>
      </c>
      <c r="F113" s="269" t="s">
        <v>7</v>
      </c>
      <c r="G113" s="269" t="s">
        <v>443</v>
      </c>
      <c r="H113" s="269" t="s">
        <v>587</v>
      </c>
      <c r="I113" s="269" t="s">
        <v>589</v>
      </c>
      <c r="J113" s="269">
        <v>250</v>
      </c>
      <c r="K113" s="269" t="s">
        <v>584</v>
      </c>
      <c r="L113" s="269"/>
      <c r="M113" s="274">
        <v>793</v>
      </c>
      <c r="N113" s="468">
        <f t="shared" si="1"/>
        <v>317</v>
      </c>
      <c r="O113" s="274">
        <v>119</v>
      </c>
      <c r="P113" s="553" t="s">
        <v>647</v>
      </c>
      <c r="Q113" s="624" t="s">
        <v>1901</v>
      </c>
    </row>
    <row r="114" spans="1:17" ht="25.5" x14ac:dyDescent="0.2">
      <c r="A114" s="269" t="s">
        <v>277</v>
      </c>
      <c r="B114" s="269" t="s">
        <v>277</v>
      </c>
      <c r="C114" s="269">
        <v>2019</v>
      </c>
      <c r="D114" s="269" t="s">
        <v>353</v>
      </c>
      <c r="E114" s="269" t="s">
        <v>391</v>
      </c>
      <c r="F114" s="269" t="s">
        <v>7</v>
      </c>
      <c r="G114" s="269" t="s">
        <v>443</v>
      </c>
      <c r="H114" s="269" t="s">
        <v>588</v>
      </c>
      <c r="I114" s="269" t="s">
        <v>589</v>
      </c>
      <c r="J114" s="269">
        <v>250</v>
      </c>
      <c r="K114" s="269" t="s">
        <v>584</v>
      </c>
      <c r="L114" s="269" t="s">
        <v>617</v>
      </c>
      <c r="M114" s="274">
        <v>793</v>
      </c>
      <c r="N114" s="468">
        <f t="shared" si="1"/>
        <v>317</v>
      </c>
      <c r="O114" s="274">
        <v>119</v>
      </c>
      <c r="P114" s="553" t="s">
        <v>647</v>
      </c>
      <c r="Q114" s="624" t="s">
        <v>1901</v>
      </c>
    </row>
    <row r="115" spans="1:17" hidden="1" x14ac:dyDescent="0.2">
      <c r="A115" s="269" t="s">
        <v>277</v>
      </c>
      <c r="B115" s="269" t="s">
        <v>277</v>
      </c>
      <c r="C115" s="269">
        <v>2019</v>
      </c>
      <c r="D115" s="269" t="s">
        <v>444</v>
      </c>
      <c r="E115" s="269" t="s">
        <v>391</v>
      </c>
      <c r="F115" s="269" t="s">
        <v>7</v>
      </c>
      <c r="G115" s="269" t="s">
        <v>400</v>
      </c>
      <c r="H115" s="269" t="s">
        <v>42</v>
      </c>
      <c r="I115" s="269" t="s">
        <v>583</v>
      </c>
      <c r="J115" s="269">
        <v>6000</v>
      </c>
      <c r="K115" s="269" t="s">
        <v>584</v>
      </c>
      <c r="L115" s="269" t="s">
        <v>591</v>
      </c>
      <c r="M115" s="274">
        <v>8590</v>
      </c>
      <c r="N115" s="468">
        <f t="shared" si="1"/>
        <v>143</v>
      </c>
      <c r="O115" s="274">
        <v>54</v>
      </c>
      <c r="P115" s="553" t="s">
        <v>1722</v>
      </c>
      <c r="Q115" s="469"/>
    </row>
    <row r="116" spans="1:17" hidden="1" x14ac:dyDescent="0.2">
      <c r="A116" s="269" t="s">
        <v>277</v>
      </c>
      <c r="B116" s="269" t="s">
        <v>277</v>
      </c>
      <c r="C116" s="269">
        <v>2019</v>
      </c>
      <c r="D116" s="269" t="s">
        <v>444</v>
      </c>
      <c r="E116" s="269" t="s">
        <v>391</v>
      </c>
      <c r="F116" s="269" t="s">
        <v>7</v>
      </c>
      <c r="G116" s="269" t="s">
        <v>400</v>
      </c>
      <c r="H116" s="269" t="s">
        <v>19</v>
      </c>
      <c r="I116" s="269" t="s">
        <v>583</v>
      </c>
      <c r="J116" s="269">
        <v>0</v>
      </c>
      <c r="K116" s="269" t="s">
        <v>584</v>
      </c>
      <c r="L116" s="269" t="s">
        <v>592</v>
      </c>
      <c r="M116" s="274">
        <v>0</v>
      </c>
      <c r="N116" s="468" t="s">
        <v>332</v>
      </c>
      <c r="O116" s="274">
        <v>0</v>
      </c>
      <c r="P116" s="553" t="s">
        <v>1726</v>
      </c>
      <c r="Q116" s="469"/>
    </row>
    <row r="117" spans="1:17" ht="25.5" hidden="1" x14ac:dyDescent="0.2">
      <c r="A117" s="269" t="s">
        <v>277</v>
      </c>
      <c r="B117" s="269" t="s">
        <v>277</v>
      </c>
      <c r="C117" s="269">
        <v>2019</v>
      </c>
      <c r="D117" s="269" t="s">
        <v>444</v>
      </c>
      <c r="E117" s="269" t="s">
        <v>391</v>
      </c>
      <c r="F117" s="269" t="s">
        <v>7</v>
      </c>
      <c r="G117" s="269" t="s">
        <v>400</v>
      </c>
      <c r="H117" s="269" t="s">
        <v>20</v>
      </c>
      <c r="I117" s="269" t="s">
        <v>583</v>
      </c>
      <c r="J117" s="269">
        <v>1000</v>
      </c>
      <c r="K117" s="269" t="s">
        <v>584</v>
      </c>
      <c r="L117" s="269"/>
      <c r="M117" s="274">
        <v>5027</v>
      </c>
      <c r="N117" s="468">
        <f t="shared" si="1"/>
        <v>503</v>
      </c>
      <c r="O117" s="274">
        <v>18</v>
      </c>
      <c r="P117" s="553" t="s">
        <v>1736</v>
      </c>
      <c r="Q117" s="624" t="s">
        <v>1901</v>
      </c>
    </row>
    <row r="118" spans="1:17" ht="25.5" hidden="1" x14ac:dyDescent="0.2">
      <c r="A118" s="269" t="s">
        <v>277</v>
      </c>
      <c r="B118" s="269" t="s">
        <v>277</v>
      </c>
      <c r="C118" s="269">
        <v>2019</v>
      </c>
      <c r="D118" s="269" t="s">
        <v>444</v>
      </c>
      <c r="E118" s="269" t="s">
        <v>391</v>
      </c>
      <c r="F118" s="269" t="s">
        <v>7</v>
      </c>
      <c r="G118" s="269" t="s">
        <v>400</v>
      </c>
      <c r="H118" s="269" t="s">
        <v>587</v>
      </c>
      <c r="I118" s="269" t="s">
        <v>583</v>
      </c>
      <c r="J118" s="269">
        <v>6000</v>
      </c>
      <c r="K118" s="269" t="s">
        <v>584</v>
      </c>
      <c r="L118" s="269" t="s">
        <v>591</v>
      </c>
      <c r="M118" s="274">
        <v>8573</v>
      </c>
      <c r="N118" s="468">
        <f t="shared" si="1"/>
        <v>143</v>
      </c>
      <c r="O118" s="274">
        <v>54</v>
      </c>
      <c r="P118" s="553" t="s">
        <v>1736</v>
      </c>
      <c r="Q118" s="469"/>
    </row>
    <row r="119" spans="1:17" hidden="1" x14ac:dyDescent="0.2">
      <c r="A119" s="269" t="s">
        <v>277</v>
      </c>
      <c r="B119" s="269" t="s">
        <v>277</v>
      </c>
      <c r="C119" s="269">
        <v>2019</v>
      </c>
      <c r="D119" s="269" t="s">
        <v>444</v>
      </c>
      <c r="E119" s="269" t="s">
        <v>391</v>
      </c>
      <c r="F119" s="269" t="s">
        <v>7</v>
      </c>
      <c r="G119" s="269" t="s">
        <v>400</v>
      </c>
      <c r="H119" s="269" t="s">
        <v>588</v>
      </c>
      <c r="I119" s="269" t="s">
        <v>583</v>
      </c>
      <c r="J119" s="269">
        <v>0</v>
      </c>
      <c r="K119" s="269" t="s">
        <v>584</v>
      </c>
      <c r="L119" s="269" t="s">
        <v>592</v>
      </c>
      <c r="M119" s="274">
        <v>0</v>
      </c>
      <c r="N119" s="468" t="s">
        <v>332</v>
      </c>
      <c r="O119" s="274">
        <v>0</v>
      </c>
      <c r="P119" s="553" t="s">
        <v>1726</v>
      </c>
      <c r="Q119" s="469"/>
    </row>
    <row r="120" spans="1:17" ht="25.5" hidden="1" x14ac:dyDescent="0.2">
      <c r="A120" s="269" t="s">
        <v>277</v>
      </c>
      <c r="B120" s="269" t="s">
        <v>277</v>
      </c>
      <c r="C120" s="269">
        <v>2019</v>
      </c>
      <c r="D120" s="269" t="s">
        <v>356</v>
      </c>
      <c r="E120" s="269" t="s">
        <v>391</v>
      </c>
      <c r="F120" s="269" t="s">
        <v>74</v>
      </c>
      <c r="G120" s="269" t="s">
        <v>451</v>
      </c>
      <c r="H120" s="269" t="s">
        <v>42</v>
      </c>
      <c r="I120" s="269" t="s">
        <v>583</v>
      </c>
      <c r="J120" s="269">
        <v>2000</v>
      </c>
      <c r="K120" s="269" t="s">
        <v>584</v>
      </c>
      <c r="L120" s="269"/>
      <c r="M120" s="274">
        <v>11780</v>
      </c>
      <c r="N120" s="468">
        <f t="shared" si="1"/>
        <v>589</v>
      </c>
      <c r="O120" s="274">
        <v>160</v>
      </c>
      <c r="P120" s="553" t="s">
        <v>1722</v>
      </c>
      <c r="Q120" s="624" t="s">
        <v>1901</v>
      </c>
    </row>
    <row r="121" spans="1:17" ht="25.5" hidden="1" x14ac:dyDescent="0.2">
      <c r="A121" s="269" t="s">
        <v>277</v>
      </c>
      <c r="B121" s="269" t="s">
        <v>277</v>
      </c>
      <c r="C121" s="269">
        <v>2019</v>
      </c>
      <c r="D121" s="269" t="s">
        <v>356</v>
      </c>
      <c r="E121" s="269" t="s">
        <v>391</v>
      </c>
      <c r="F121" s="269" t="s">
        <v>74</v>
      </c>
      <c r="G121" s="269" t="s">
        <v>451</v>
      </c>
      <c r="H121" s="269" t="s">
        <v>19</v>
      </c>
      <c r="I121" s="269" t="s">
        <v>583</v>
      </c>
      <c r="J121" s="269">
        <v>500</v>
      </c>
      <c r="K121" s="269" t="s">
        <v>584</v>
      </c>
      <c r="L121" s="269" t="s">
        <v>618</v>
      </c>
      <c r="M121" s="274">
        <v>941</v>
      </c>
      <c r="N121" s="468">
        <f t="shared" si="1"/>
        <v>188</v>
      </c>
      <c r="O121" s="274">
        <v>31</v>
      </c>
      <c r="P121" s="553" t="s">
        <v>1733</v>
      </c>
      <c r="Q121" s="624" t="s">
        <v>1901</v>
      </c>
    </row>
    <row r="122" spans="1:17" ht="25.5" hidden="1" x14ac:dyDescent="0.2">
      <c r="A122" s="269" t="s">
        <v>277</v>
      </c>
      <c r="B122" s="269" t="s">
        <v>277</v>
      </c>
      <c r="C122" s="269">
        <v>2019</v>
      </c>
      <c r="D122" s="269" t="s">
        <v>356</v>
      </c>
      <c r="E122" s="269" t="s">
        <v>391</v>
      </c>
      <c r="F122" s="269" t="s">
        <v>74</v>
      </c>
      <c r="G122" s="269" t="s">
        <v>451</v>
      </c>
      <c r="H122" s="269" t="s">
        <v>20</v>
      </c>
      <c r="I122" s="269" t="s">
        <v>583</v>
      </c>
      <c r="J122" s="269">
        <v>500</v>
      </c>
      <c r="K122" s="269" t="s">
        <v>584</v>
      </c>
      <c r="L122" s="269" t="s">
        <v>618</v>
      </c>
      <c r="M122" s="274">
        <v>941</v>
      </c>
      <c r="N122" s="468">
        <f t="shared" si="1"/>
        <v>188</v>
      </c>
      <c r="O122" s="274">
        <v>31</v>
      </c>
      <c r="P122" s="553" t="s">
        <v>1733</v>
      </c>
      <c r="Q122" s="624" t="s">
        <v>1901</v>
      </c>
    </row>
    <row r="123" spans="1:17" hidden="1" x14ac:dyDescent="0.2">
      <c r="A123" s="269" t="s">
        <v>277</v>
      </c>
      <c r="B123" s="269" t="s">
        <v>277</v>
      </c>
      <c r="C123" s="269">
        <v>2019</v>
      </c>
      <c r="D123" s="269" t="s">
        <v>356</v>
      </c>
      <c r="E123" s="269" t="s">
        <v>391</v>
      </c>
      <c r="F123" s="269" t="s">
        <v>74</v>
      </c>
      <c r="G123" s="269" t="s">
        <v>451</v>
      </c>
      <c r="H123" s="269" t="s">
        <v>587</v>
      </c>
      <c r="I123" s="269" t="s">
        <v>583</v>
      </c>
      <c r="J123" s="269">
        <v>0</v>
      </c>
      <c r="K123" s="269" t="s">
        <v>584</v>
      </c>
      <c r="L123" s="269" t="s">
        <v>619</v>
      </c>
      <c r="M123" s="274">
        <v>940</v>
      </c>
      <c r="N123" s="468" t="s">
        <v>332</v>
      </c>
      <c r="O123" s="274">
        <v>31</v>
      </c>
      <c r="P123" s="553" t="s">
        <v>1733</v>
      </c>
      <c r="Q123" s="469"/>
    </row>
    <row r="124" spans="1:17" hidden="1" x14ac:dyDescent="0.2">
      <c r="A124" s="269" t="s">
        <v>277</v>
      </c>
      <c r="B124" s="269" t="s">
        <v>277</v>
      </c>
      <c r="C124" s="269">
        <v>2019</v>
      </c>
      <c r="D124" s="269" t="s">
        <v>356</v>
      </c>
      <c r="E124" s="269" t="s">
        <v>391</v>
      </c>
      <c r="F124" s="269" t="s">
        <v>74</v>
      </c>
      <c r="G124" s="269" t="s">
        <v>451</v>
      </c>
      <c r="H124" s="269" t="s">
        <v>588</v>
      </c>
      <c r="I124" s="269" t="s">
        <v>583</v>
      </c>
      <c r="J124" s="269">
        <v>0</v>
      </c>
      <c r="K124" s="269" t="s">
        <v>584</v>
      </c>
      <c r="L124" s="269" t="s">
        <v>619</v>
      </c>
      <c r="M124" s="274">
        <v>45</v>
      </c>
      <c r="N124" s="468" t="s">
        <v>332</v>
      </c>
      <c r="O124" s="274">
        <v>2</v>
      </c>
      <c r="P124" s="553" t="s">
        <v>1726</v>
      </c>
      <c r="Q124" s="469"/>
    </row>
    <row r="125" spans="1:17" ht="25.5" hidden="1" x14ac:dyDescent="0.2">
      <c r="A125" s="269" t="s">
        <v>277</v>
      </c>
      <c r="B125" s="269" t="s">
        <v>277</v>
      </c>
      <c r="C125" s="269">
        <v>2019</v>
      </c>
      <c r="D125" s="269" t="s">
        <v>356</v>
      </c>
      <c r="E125" s="269" t="s">
        <v>391</v>
      </c>
      <c r="F125" s="269" t="s">
        <v>74</v>
      </c>
      <c r="G125" s="269" t="s">
        <v>451</v>
      </c>
      <c r="H125" s="269" t="s">
        <v>42</v>
      </c>
      <c r="I125" s="269" t="s">
        <v>589</v>
      </c>
      <c r="J125" s="269">
        <v>100</v>
      </c>
      <c r="K125" s="269" t="s">
        <v>584</v>
      </c>
      <c r="L125" s="269" t="s">
        <v>620</v>
      </c>
      <c r="M125" s="274">
        <v>1120</v>
      </c>
      <c r="N125" s="468">
        <f t="shared" si="1"/>
        <v>1120</v>
      </c>
      <c r="O125" s="274">
        <v>66</v>
      </c>
      <c r="P125" s="553" t="s">
        <v>647</v>
      </c>
      <c r="Q125" s="624" t="s">
        <v>1901</v>
      </c>
    </row>
    <row r="126" spans="1:17" ht="25.5" x14ac:dyDescent="0.2">
      <c r="A126" s="269" t="s">
        <v>277</v>
      </c>
      <c r="B126" s="269" t="s">
        <v>277</v>
      </c>
      <c r="C126" s="269">
        <v>2019</v>
      </c>
      <c r="D126" s="269" t="s">
        <v>356</v>
      </c>
      <c r="E126" s="269" t="s">
        <v>391</v>
      </c>
      <c r="F126" s="269" t="s">
        <v>74</v>
      </c>
      <c r="G126" s="269" t="s">
        <v>451</v>
      </c>
      <c r="H126" s="269" t="s">
        <v>19</v>
      </c>
      <c r="I126" s="269" t="s">
        <v>589</v>
      </c>
      <c r="J126" s="269">
        <v>75</v>
      </c>
      <c r="K126" s="269" t="s">
        <v>584</v>
      </c>
      <c r="L126" s="269" t="s">
        <v>620</v>
      </c>
      <c r="M126" s="274">
        <v>644</v>
      </c>
      <c r="N126" s="468">
        <f t="shared" si="1"/>
        <v>859</v>
      </c>
      <c r="O126" s="274">
        <v>68</v>
      </c>
      <c r="P126" s="553" t="s">
        <v>647</v>
      </c>
      <c r="Q126" s="624" t="s">
        <v>1901</v>
      </c>
    </row>
    <row r="127" spans="1:17" ht="25.5" x14ac:dyDescent="0.2">
      <c r="A127" s="269" t="s">
        <v>277</v>
      </c>
      <c r="B127" s="269" t="s">
        <v>277</v>
      </c>
      <c r="C127" s="269">
        <v>2019</v>
      </c>
      <c r="D127" s="269" t="s">
        <v>356</v>
      </c>
      <c r="E127" s="269" t="s">
        <v>391</v>
      </c>
      <c r="F127" s="269" t="s">
        <v>74</v>
      </c>
      <c r="G127" s="269" t="s">
        <v>451</v>
      </c>
      <c r="H127" s="269" t="s">
        <v>20</v>
      </c>
      <c r="I127" s="269" t="s">
        <v>589</v>
      </c>
      <c r="J127" s="269">
        <v>75</v>
      </c>
      <c r="K127" s="269" t="s">
        <v>584</v>
      </c>
      <c r="L127" s="269" t="s">
        <v>620</v>
      </c>
      <c r="M127" s="274">
        <v>644</v>
      </c>
      <c r="N127" s="468">
        <f t="shared" si="1"/>
        <v>859</v>
      </c>
      <c r="O127" s="274">
        <v>68</v>
      </c>
      <c r="P127" s="553" t="s">
        <v>647</v>
      </c>
      <c r="Q127" s="624" t="s">
        <v>1901</v>
      </c>
    </row>
    <row r="128" spans="1:17" ht="25.5" x14ac:dyDescent="0.2">
      <c r="A128" s="269" t="s">
        <v>277</v>
      </c>
      <c r="B128" s="269" t="s">
        <v>277</v>
      </c>
      <c r="C128" s="269">
        <v>2019</v>
      </c>
      <c r="D128" s="269" t="s">
        <v>356</v>
      </c>
      <c r="E128" s="269" t="s">
        <v>391</v>
      </c>
      <c r="F128" s="269" t="s">
        <v>74</v>
      </c>
      <c r="G128" s="269" t="s">
        <v>451</v>
      </c>
      <c r="H128" s="269" t="s">
        <v>587</v>
      </c>
      <c r="I128" s="269" t="s">
        <v>589</v>
      </c>
      <c r="J128" s="269">
        <v>75</v>
      </c>
      <c r="K128" s="269" t="s">
        <v>584</v>
      </c>
      <c r="L128" s="269" t="s">
        <v>620</v>
      </c>
      <c r="M128" s="274">
        <v>644</v>
      </c>
      <c r="N128" s="468">
        <f t="shared" si="1"/>
        <v>859</v>
      </c>
      <c r="O128" s="274">
        <v>68</v>
      </c>
      <c r="P128" s="553" t="s">
        <v>647</v>
      </c>
      <c r="Q128" s="624" t="s">
        <v>1901</v>
      </c>
    </row>
    <row r="129" spans="1:17" ht="25.5" x14ac:dyDescent="0.2">
      <c r="A129" s="269" t="s">
        <v>277</v>
      </c>
      <c r="B129" s="269" t="s">
        <v>277</v>
      </c>
      <c r="C129" s="269">
        <v>2019</v>
      </c>
      <c r="D129" s="269" t="s">
        <v>356</v>
      </c>
      <c r="E129" s="269" t="s">
        <v>391</v>
      </c>
      <c r="F129" s="269" t="s">
        <v>74</v>
      </c>
      <c r="G129" s="269" t="s">
        <v>451</v>
      </c>
      <c r="H129" s="269" t="s">
        <v>588</v>
      </c>
      <c r="I129" s="269" t="s">
        <v>589</v>
      </c>
      <c r="J129" s="269">
        <v>75</v>
      </c>
      <c r="K129" s="269" t="s">
        <v>584</v>
      </c>
      <c r="L129" s="269" t="s">
        <v>620</v>
      </c>
      <c r="M129" s="274">
        <v>641</v>
      </c>
      <c r="N129" s="468">
        <f t="shared" si="1"/>
        <v>855</v>
      </c>
      <c r="O129" s="274">
        <v>68</v>
      </c>
      <c r="P129" s="553" t="s">
        <v>647</v>
      </c>
      <c r="Q129" s="624" t="s">
        <v>1901</v>
      </c>
    </row>
    <row r="130" spans="1:17" ht="25.5" hidden="1" x14ac:dyDescent="0.2">
      <c r="A130" s="269" t="s">
        <v>277</v>
      </c>
      <c r="B130" s="269" t="s">
        <v>277</v>
      </c>
      <c r="C130" s="269">
        <v>2019</v>
      </c>
      <c r="D130" s="269" t="s">
        <v>356</v>
      </c>
      <c r="E130" s="269" t="s">
        <v>391</v>
      </c>
      <c r="F130" s="269" t="s">
        <v>74</v>
      </c>
      <c r="G130" s="269" t="s">
        <v>452</v>
      </c>
      <c r="H130" s="269" t="s">
        <v>42</v>
      </c>
      <c r="I130" s="269" t="s">
        <v>583</v>
      </c>
      <c r="J130" s="269">
        <v>2000</v>
      </c>
      <c r="K130" s="269" t="s">
        <v>584</v>
      </c>
      <c r="L130" s="269"/>
      <c r="M130" s="274">
        <v>17501</v>
      </c>
      <c r="N130" s="468">
        <f t="shared" si="1"/>
        <v>875</v>
      </c>
      <c r="O130" s="274">
        <v>318</v>
      </c>
      <c r="P130" s="553" t="s">
        <v>1722</v>
      </c>
      <c r="Q130" s="624" t="s">
        <v>1901</v>
      </c>
    </row>
    <row r="131" spans="1:17" ht="25.5" hidden="1" x14ac:dyDescent="0.2">
      <c r="A131" s="269" t="s">
        <v>277</v>
      </c>
      <c r="B131" s="269" t="s">
        <v>277</v>
      </c>
      <c r="C131" s="269">
        <v>2019</v>
      </c>
      <c r="D131" s="269" t="s">
        <v>356</v>
      </c>
      <c r="E131" s="269" t="s">
        <v>391</v>
      </c>
      <c r="F131" s="269" t="s">
        <v>74</v>
      </c>
      <c r="G131" s="269" t="s">
        <v>452</v>
      </c>
      <c r="H131" s="269" t="s">
        <v>19</v>
      </c>
      <c r="I131" s="269" t="s">
        <v>583</v>
      </c>
      <c r="J131" s="269">
        <v>1000</v>
      </c>
      <c r="K131" s="269" t="s">
        <v>584</v>
      </c>
      <c r="L131" s="269" t="s">
        <v>621</v>
      </c>
      <c r="M131" s="274">
        <v>2193</v>
      </c>
      <c r="N131" s="468">
        <f t="shared" si="1"/>
        <v>219</v>
      </c>
      <c r="O131" s="274">
        <v>70</v>
      </c>
      <c r="P131" s="553" t="s">
        <v>1733</v>
      </c>
      <c r="Q131" s="624" t="s">
        <v>1901</v>
      </c>
    </row>
    <row r="132" spans="1:17" ht="25.5" hidden="1" x14ac:dyDescent="0.2">
      <c r="A132" s="269" t="s">
        <v>277</v>
      </c>
      <c r="B132" s="269" t="s">
        <v>277</v>
      </c>
      <c r="C132" s="269">
        <v>2019</v>
      </c>
      <c r="D132" s="269" t="s">
        <v>356</v>
      </c>
      <c r="E132" s="269" t="s">
        <v>391</v>
      </c>
      <c r="F132" s="269" t="s">
        <v>74</v>
      </c>
      <c r="G132" s="269" t="s">
        <v>452</v>
      </c>
      <c r="H132" s="269" t="s">
        <v>20</v>
      </c>
      <c r="I132" s="269" t="s">
        <v>583</v>
      </c>
      <c r="J132" s="269">
        <v>1000</v>
      </c>
      <c r="K132" s="269" t="s">
        <v>584</v>
      </c>
      <c r="L132" s="269" t="s">
        <v>621</v>
      </c>
      <c r="M132" s="274">
        <v>2193</v>
      </c>
      <c r="N132" s="468">
        <f t="shared" si="1"/>
        <v>219</v>
      </c>
      <c r="O132" s="274">
        <v>70</v>
      </c>
      <c r="P132" s="553" t="s">
        <v>1733</v>
      </c>
      <c r="Q132" s="624" t="s">
        <v>1901</v>
      </c>
    </row>
    <row r="133" spans="1:17" hidden="1" x14ac:dyDescent="0.2">
      <c r="A133" s="269" t="s">
        <v>277</v>
      </c>
      <c r="B133" s="269" t="s">
        <v>277</v>
      </c>
      <c r="C133" s="269">
        <v>2019</v>
      </c>
      <c r="D133" s="269" t="s">
        <v>356</v>
      </c>
      <c r="E133" s="269" t="s">
        <v>391</v>
      </c>
      <c r="F133" s="269" t="s">
        <v>74</v>
      </c>
      <c r="G133" s="269" t="s">
        <v>452</v>
      </c>
      <c r="H133" s="269" t="s">
        <v>587</v>
      </c>
      <c r="I133" s="269" t="s">
        <v>583</v>
      </c>
      <c r="J133" s="269">
        <v>0</v>
      </c>
      <c r="K133" s="269" t="s">
        <v>584</v>
      </c>
      <c r="L133" s="269" t="s">
        <v>619</v>
      </c>
      <c r="M133" s="274">
        <v>2187</v>
      </c>
      <c r="N133" s="468" t="s">
        <v>332</v>
      </c>
      <c r="O133" s="274">
        <v>69</v>
      </c>
      <c r="P133" s="553" t="s">
        <v>1733</v>
      </c>
      <c r="Q133" s="469"/>
    </row>
    <row r="134" spans="1:17" hidden="1" x14ac:dyDescent="0.2">
      <c r="A134" s="269" t="s">
        <v>277</v>
      </c>
      <c r="B134" s="269" t="s">
        <v>277</v>
      </c>
      <c r="C134" s="269">
        <v>2019</v>
      </c>
      <c r="D134" s="269" t="s">
        <v>356</v>
      </c>
      <c r="E134" s="269" t="s">
        <v>391</v>
      </c>
      <c r="F134" s="269" t="s">
        <v>74</v>
      </c>
      <c r="G134" s="269" t="s">
        <v>452</v>
      </c>
      <c r="H134" s="269" t="s">
        <v>588</v>
      </c>
      <c r="I134" s="269" t="s">
        <v>583</v>
      </c>
      <c r="J134" s="269">
        <v>0</v>
      </c>
      <c r="K134" s="269" t="s">
        <v>584</v>
      </c>
      <c r="L134" s="269" t="s">
        <v>619</v>
      </c>
      <c r="M134" s="274">
        <v>52</v>
      </c>
      <c r="N134" s="468" t="s">
        <v>332</v>
      </c>
      <c r="O134" s="274">
        <v>3</v>
      </c>
      <c r="P134" s="553" t="s">
        <v>1733</v>
      </c>
      <c r="Q134" s="469"/>
    </row>
    <row r="135" spans="1:17" ht="25.5" hidden="1" x14ac:dyDescent="0.2">
      <c r="A135" s="269" t="s">
        <v>277</v>
      </c>
      <c r="B135" s="269" t="s">
        <v>277</v>
      </c>
      <c r="C135" s="269">
        <v>2019</v>
      </c>
      <c r="D135" s="269" t="s">
        <v>356</v>
      </c>
      <c r="E135" s="269" t="s">
        <v>391</v>
      </c>
      <c r="F135" s="269" t="s">
        <v>74</v>
      </c>
      <c r="G135" s="269" t="s">
        <v>452</v>
      </c>
      <c r="H135" s="269" t="s">
        <v>42</v>
      </c>
      <c r="I135" s="269" t="s">
        <v>589</v>
      </c>
      <c r="J135" s="269">
        <v>2000</v>
      </c>
      <c r="K135" s="269" t="s">
        <v>584</v>
      </c>
      <c r="L135" s="269" t="s">
        <v>622</v>
      </c>
      <c r="M135" s="274">
        <v>3238</v>
      </c>
      <c r="N135" s="468">
        <f t="shared" ref="N135:N192" si="2">ROUND(100*M135/J135,0)</f>
        <v>162</v>
      </c>
      <c r="O135" s="274">
        <v>162</v>
      </c>
      <c r="P135" s="553" t="s">
        <v>647</v>
      </c>
      <c r="Q135" s="624" t="s">
        <v>1901</v>
      </c>
    </row>
    <row r="136" spans="1:17" ht="25.5" x14ac:dyDescent="0.2">
      <c r="A136" s="269" t="s">
        <v>277</v>
      </c>
      <c r="B136" s="269" t="s">
        <v>277</v>
      </c>
      <c r="C136" s="269">
        <v>2019</v>
      </c>
      <c r="D136" s="269" t="s">
        <v>356</v>
      </c>
      <c r="E136" s="269" t="s">
        <v>391</v>
      </c>
      <c r="F136" s="269" t="s">
        <v>74</v>
      </c>
      <c r="G136" s="269" t="s">
        <v>452</v>
      </c>
      <c r="H136" s="269" t="s">
        <v>19</v>
      </c>
      <c r="I136" s="269" t="s">
        <v>589</v>
      </c>
      <c r="J136" s="269">
        <v>1000</v>
      </c>
      <c r="K136" s="269" t="s">
        <v>584</v>
      </c>
      <c r="L136" s="269" t="s">
        <v>622</v>
      </c>
      <c r="M136" s="274">
        <v>1831</v>
      </c>
      <c r="N136" s="468">
        <f t="shared" si="2"/>
        <v>183</v>
      </c>
      <c r="O136" s="274">
        <v>164</v>
      </c>
      <c r="P136" s="553" t="s">
        <v>647</v>
      </c>
      <c r="Q136" s="624" t="s">
        <v>1901</v>
      </c>
    </row>
    <row r="137" spans="1:17" ht="25.5" x14ac:dyDescent="0.2">
      <c r="A137" s="269" t="s">
        <v>277</v>
      </c>
      <c r="B137" s="269" t="s">
        <v>277</v>
      </c>
      <c r="C137" s="269">
        <v>2019</v>
      </c>
      <c r="D137" s="269" t="s">
        <v>356</v>
      </c>
      <c r="E137" s="269" t="s">
        <v>391</v>
      </c>
      <c r="F137" s="269" t="s">
        <v>74</v>
      </c>
      <c r="G137" s="269" t="s">
        <v>452</v>
      </c>
      <c r="H137" s="269" t="s">
        <v>20</v>
      </c>
      <c r="I137" s="269" t="s">
        <v>589</v>
      </c>
      <c r="J137" s="269">
        <v>1000</v>
      </c>
      <c r="K137" s="269" t="s">
        <v>584</v>
      </c>
      <c r="L137" s="269" t="s">
        <v>622</v>
      </c>
      <c r="M137" s="274">
        <v>1831</v>
      </c>
      <c r="N137" s="468">
        <f t="shared" si="2"/>
        <v>183</v>
      </c>
      <c r="O137" s="274">
        <v>164</v>
      </c>
      <c r="P137" s="553" t="s">
        <v>647</v>
      </c>
      <c r="Q137" s="624" t="s">
        <v>1901</v>
      </c>
    </row>
    <row r="138" spans="1:17" ht="25.5" x14ac:dyDescent="0.2">
      <c r="A138" s="269" t="s">
        <v>277</v>
      </c>
      <c r="B138" s="269" t="s">
        <v>277</v>
      </c>
      <c r="C138" s="269">
        <v>2019</v>
      </c>
      <c r="D138" s="269" t="s">
        <v>356</v>
      </c>
      <c r="E138" s="269" t="s">
        <v>391</v>
      </c>
      <c r="F138" s="269" t="s">
        <v>74</v>
      </c>
      <c r="G138" s="269" t="s">
        <v>452</v>
      </c>
      <c r="H138" s="269" t="s">
        <v>587</v>
      </c>
      <c r="I138" s="269" t="s">
        <v>589</v>
      </c>
      <c r="J138" s="269">
        <v>1000</v>
      </c>
      <c r="K138" s="269" t="s">
        <v>584</v>
      </c>
      <c r="L138" s="269" t="s">
        <v>622</v>
      </c>
      <c r="M138" s="274">
        <v>1831</v>
      </c>
      <c r="N138" s="468">
        <f t="shared" si="2"/>
        <v>183</v>
      </c>
      <c r="O138" s="274">
        <v>164</v>
      </c>
      <c r="P138" s="553" t="s">
        <v>647</v>
      </c>
      <c r="Q138" s="624" t="s">
        <v>1901</v>
      </c>
    </row>
    <row r="139" spans="1:17" ht="25.5" x14ac:dyDescent="0.2">
      <c r="A139" s="269" t="s">
        <v>277</v>
      </c>
      <c r="B139" s="269" t="s">
        <v>277</v>
      </c>
      <c r="C139" s="269">
        <v>2019</v>
      </c>
      <c r="D139" s="269" t="s">
        <v>356</v>
      </c>
      <c r="E139" s="269" t="s">
        <v>391</v>
      </c>
      <c r="F139" s="269" t="s">
        <v>74</v>
      </c>
      <c r="G139" s="269" t="s">
        <v>452</v>
      </c>
      <c r="H139" s="269" t="s">
        <v>588</v>
      </c>
      <c r="I139" s="269" t="s">
        <v>589</v>
      </c>
      <c r="J139" s="269">
        <v>1000</v>
      </c>
      <c r="K139" s="269" t="s">
        <v>584</v>
      </c>
      <c r="L139" s="269" t="s">
        <v>622</v>
      </c>
      <c r="M139" s="274">
        <v>1829</v>
      </c>
      <c r="N139" s="468">
        <f t="shared" si="2"/>
        <v>183</v>
      </c>
      <c r="O139" s="274">
        <v>164</v>
      </c>
      <c r="P139" s="553" t="s">
        <v>647</v>
      </c>
      <c r="Q139" s="624" t="s">
        <v>1901</v>
      </c>
    </row>
    <row r="140" spans="1:17" ht="25.5" hidden="1" x14ac:dyDescent="0.2">
      <c r="A140" s="269" t="s">
        <v>277</v>
      </c>
      <c r="B140" s="269" t="s">
        <v>277</v>
      </c>
      <c r="C140" s="269">
        <v>2019</v>
      </c>
      <c r="D140" s="269" t="s">
        <v>358</v>
      </c>
      <c r="E140" s="269" t="s">
        <v>391</v>
      </c>
      <c r="F140" s="269" t="s">
        <v>74</v>
      </c>
      <c r="G140" s="269" t="s">
        <v>458</v>
      </c>
      <c r="H140" s="269" t="s">
        <v>42</v>
      </c>
      <c r="I140" s="269" t="s">
        <v>583</v>
      </c>
      <c r="J140" s="269">
        <v>250</v>
      </c>
      <c r="K140" s="269" t="s">
        <v>584</v>
      </c>
      <c r="L140" s="269" t="s">
        <v>623</v>
      </c>
      <c r="M140" s="274">
        <v>535</v>
      </c>
      <c r="N140" s="468">
        <f t="shared" si="2"/>
        <v>214</v>
      </c>
      <c r="O140" s="274">
        <v>33</v>
      </c>
      <c r="P140" s="553" t="s">
        <v>1722</v>
      </c>
      <c r="Q140" s="624" t="s">
        <v>1901</v>
      </c>
    </row>
    <row r="141" spans="1:17" ht="25.5" hidden="1" x14ac:dyDescent="0.2">
      <c r="A141" s="269" t="s">
        <v>277</v>
      </c>
      <c r="B141" s="269" t="s">
        <v>277</v>
      </c>
      <c r="C141" s="269">
        <v>2019</v>
      </c>
      <c r="D141" s="269" t="s">
        <v>358</v>
      </c>
      <c r="E141" s="269" t="s">
        <v>391</v>
      </c>
      <c r="F141" s="269" t="s">
        <v>74</v>
      </c>
      <c r="G141" s="269" t="s">
        <v>458</v>
      </c>
      <c r="H141" s="269" t="s">
        <v>19</v>
      </c>
      <c r="I141" s="269" t="s">
        <v>583</v>
      </c>
      <c r="J141" s="269">
        <v>50</v>
      </c>
      <c r="K141" s="269" t="s">
        <v>584</v>
      </c>
      <c r="L141" s="269" t="s">
        <v>624</v>
      </c>
      <c r="M141" s="274">
        <v>19</v>
      </c>
      <c r="N141" s="468">
        <f t="shared" si="2"/>
        <v>38</v>
      </c>
      <c r="O141" s="274">
        <v>2</v>
      </c>
      <c r="P141" s="553" t="s">
        <v>1733</v>
      </c>
      <c r="Q141" s="469" t="s">
        <v>1716</v>
      </c>
    </row>
    <row r="142" spans="1:17" ht="25.5" hidden="1" x14ac:dyDescent="0.2">
      <c r="A142" s="269" t="s">
        <v>277</v>
      </c>
      <c r="B142" s="269" t="s">
        <v>277</v>
      </c>
      <c r="C142" s="269">
        <v>2019</v>
      </c>
      <c r="D142" s="269" t="s">
        <v>358</v>
      </c>
      <c r="E142" s="269" t="s">
        <v>391</v>
      </c>
      <c r="F142" s="269" t="s">
        <v>74</v>
      </c>
      <c r="G142" s="269" t="s">
        <v>458</v>
      </c>
      <c r="H142" s="269" t="s">
        <v>20</v>
      </c>
      <c r="I142" s="269" t="s">
        <v>583</v>
      </c>
      <c r="J142" s="269">
        <v>50</v>
      </c>
      <c r="K142" s="269" t="s">
        <v>584</v>
      </c>
      <c r="L142" s="269" t="s">
        <v>624</v>
      </c>
      <c r="M142" s="274">
        <v>19</v>
      </c>
      <c r="N142" s="468">
        <f t="shared" si="2"/>
        <v>38</v>
      </c>
      <c r="O142" s="274">
        <v>2</v>
      </c>
      <c r="P142" s="553" t="s">
        <v>1733</v>
      </c>
      <c r="Q142" s="469" t="s">
        <v>1716</v>
      </c>
    </row>
    <row r="143" spans="1:17" hidden="1" x14ac:dyDescent="0.2">
      <c r="A143" s="269" t="s">
        <v>277</v>
      </c>
      <c r="B143" s="269" t="s">
        <v>277</v>
      </c>
      <c r="C143" s="269">
        <v>2019</v>
      </c>
      <c r="D143" s="269" t="s">
        <v>358</v>
      </c>
      <c r="E143" s="269" t="s">
        <v>391</v>
      </c>
      <c r="F143" s="269" t="s">
        <v>74</v>
      </c>
      <c r="G143" s="269" t="s">
        <v>458</v>
      </c>
      <c r="H143" s="269" t="s">
        <v>587</v>
      </c>
      <c r="I143" s="269" t="s">
        <v>583</v>
      </c>
      <c r="J143" s="269">
        <v>0</v>
      </c>
      <c r="K143" s="269" t="s">
        <v>584</v>
      </c>
      <c r="L143" s="269" t="s">
        <v>616</v>
      </c>
      <c r="M143" s="274">
        <v>4</v>
      </c>
      <c r="N143" s="468" t="s">
        <v>332</v>
      </c>
      <c r="O143" s="274">
        <v>1</v>
      </c>
      <c r="P143" s="553" t="s">
        <v>1726</v>
      </c>
      <c r="Q143" s="469"/>
    </row>
    <row r="144" spans="1:17" hidden="1" x14ac:dyDescent="0.2">
      <c r="A144" s="269" t="s">
        <v>277</v>
      </c>
      <c r="B144" s="269" t="s">
        <v>277</v>
      </c>
      <c r="C144" s="269">
        <v>2019</v>
      </c>
      <c r="D144" s="269" t="s">
        <v>358</v>
      </c>
      <c r="E144" s="269" t="s">
        <v>391</v>
      </c>
      <c r="F144" s="269" t="s">
        <v>74</v>
      </c>
      <c r="G144" s="269" t="s">
        <v>458</v>
      </c>
      <c r="H144" s="269" t="s">
        <v>588</v>
      </c>
      <c r="I144" s="269" t="s">
        <v>583</v>
      </c>
      <c r="J144" s="269">
        <v>0</v>
      </c>
      <c r="K144" s="269" t="s">
        <v>584</v>
      </c>
      <c r="L144" s="269" t="s">
        <v>616</v>
      </c>
      <c r="M144" s="274">
        <v>0</v>
      </c>
      <c r="N144" s="468" t="s">
        <v>332</v>
      </c>
      <c r="O144" s="274">
        <v>0</v>
      </c>
      <c r="P144" s="553" t="s">
        <v>1726</v>
      </c>
      <c r="Q144" s="469"/>
    </row>
    <row r="145" spans="1:17" hidden="1" x14ac:dyDescent="0.2">
      <c r="A145" s="269" t="s">
        <v>277</v>
      </c>
      <c r="B145" s="269" t="s">
        <v>277</v>
      </c>
      <c r="C145" s="269">
        <v>2019</v>
      </c>
      <c r="D145" s="269" t="s">
        <v>358</v>
      </c>
      <c r="E145" s="269" t="s">
        <v>391</v>
      </c>
      <c r="F145" s="269" t="s">
        <v>74</v>
      </c>
      <c r="G145" s="269" t="s">
        <v>458</v>
      </c>
      <c r="H145" s="269" t="s">
        <v>42</v>
      </c>
      <c r="I145" s="269" t="s">
        <v>589</v>
      </c>
      <c r="J145" s="269">
        <v>150</v>
      </c>
      <c r="K145" s="269" t="s">
        <v>584</v>
      </c>
      <c r="L145" s="269" t="s">
        <v>620</v>
      </c>
      <c r="M145" s="274">
        <v>157</v>
      </c>
      <c r="N145" s="468">
        <f t="shared" si="2"/>
        <v>105</v>
      </c>
      <c r="O145" s="274">
        <v>32</v>
      </c>
      <c r="P145" s="553" t="s">
        <v>647</v>
      </c>
      <c r="Q145" s="469"/>
    </row>
    <row r="146" spans="1:17" x14ac:dyDescent="0.2">
      <c r="A146" s="269" t="s">
        <v>277</v>
      </c>
      <c r="B146" s="269" t="s">
        <v>277</v>
      </c>
      <c r="C146" s="269">
        <v>2019</v>
      </c>
      <c r="D146" s="269" t="s">
        <v>358</v>
      </c>
      <c r="E146" s="269" t="s">
        <v>391</v>
      </c>
      <c r="F146" s="269" t="s">
        <v>74</v>
      </c>
      <c r="G146" s="269" t="s">
        <v>458</v>
      </c>
      <c r="H146" s="269" t="s">
        <v>19</v>
      </c>
      <c r="I146" s="269" t="s">
        <v>589</v>
      </c>
      <c r="J146" s="269">
        <v>150</v>
      </c>
      <c r="K146" s="269" t="s">
        <v>584</v>
      </c>
      <c r="L146" s="269" t="s">
        <v>620</v>
      </c>
      <c r="M146" s="274">
        <v>149</v>
      </c>
      <c r="N146" s="468">
        <f t="shared" si="2"/>
        <v>99</v>
      </c>
      <c r="O146" s="274">
        <v>32</v>
      </c>
      <c r="P146" s="553" t="s">
        <v>647</v>
      </c>
      <c r="Q146" s="469"/>
    </row>
    <row r="147" spans="1:17" x14ac:dyDescent="0.2">
      <c r="A147" s="269" t="s">
        <v>277</v>
      </c>
      <c r="B147" s="269" t="s">
        <v>277</v>
      </c>
      <c r="C147" s="269">
        <v>2019</v>
      </c>
      <c r="D147" s="269" t="s">
        <v>358</v>
      </c>
      <c r="E147" s="269" t="s">
        <v>391</v>
      </c>
      <c r="F147" s="269" t="s">
        <v>74</v>
      </c>
      <c r="G147" s="269" t="s">
        <v>458</v>
      </c>
      <c r="H147" s="269" t="s">
        <v>20</v>
      </c>
      <c r="I147" s="269" t="s">
        <v>589</v>
      </c>
      <c r="J147" s="269">
        <v>150</v>
      </c>
      <c r="K147" s="269" t="s">
        <v>584</v>
      </c>
      <c r="L147" s="269" t="s">
        <v>620</v>
      </c>
      <c r="M147" s="274">
        <v>149</v>
      </c>
      <c r="N147" s="468">
        <f t="shared" si="2"/>
        <v>99</v>
      </c>
      <c r="O147" s="274">
        <v>32</v>
      </c>
      <c r="P147" s="553" t="s">
        <v>647</v>
      </c>
      <c r="Q147" s="469"/>
    </row>
    <row r="148" spans="1:17" x14ac:dyDescent="0.2">
      <c r="A148" s="269" t="s">
        <v>277</v>
      </c>
      <c r="B148" s="269" t="s">
        <v>277</v>
      </c>
      <c r="C148" s="269">
        <v>2019</v>
      </c>
      <c r="D148" s="269" t="s">
        <v>358</v>
      </c>
      <c r="E148" s="269" t="s">
        <v>391</v>
      </c>
      <c r="F148" s="269" t="s">
        <v>74</v>
      </c>
      <c r="G148" s="269" t="s">
        <v>458</v>
      </c>
      <c r="H148" s="269" t="s">
        <v>587</v>
      </c>
      <c r="I148" s="269" t="s">
        <v>589</v>
      </c>
      <c r="J148" s="269">
        <v>150</v>
      </c>
      <c r="K148" s="269" t="s">
        <v>584</v>
      </c>
      <c r="L148" s="269" t="s">
        <v>620</v>
      </c>
      <c r="M148" s="274">
        <v>149</v>
      </c>
      <c r="N148" s="468">
        <f t="shared" si="2"/>
        <v>99</v>
      </c>
      <c r="O148" s="274">
        <v>32</v>
      </c>
      <c r="P148" s="553" t="s">
        <v>647</v>
      </c>
      <c r="Q148" s="469"/>
    </row>
    <row r="149" spans="1:17" x14ac:dyDescent="0.2">
      <c r="A149" s="269" t="s">
        <v>277</v>
      </c>
      <c r="B149" s="269" t="s">
        <v>277</v>
      </c>
      <c r="C149" s="269">
        <v>2019</v>
      </c>
      <c r="D149" s="269" t="s">
        <v>358</v>
      </c>
      <c r="E149" s="269" t="s">
        <v>391</v>
      </c>
      <c r="F149" s="269" t="s">
        <v>74</v>
      </c>
      <c r="G149" s="269" t="s">
        <v>458</v>
      </c>
      <c r="H149" s="269" t="s">
        <v>588</v>
      </c>
      <c r="I149" s="269" t="s">
        <v>589</v>
      </c>
      <c r="J149" s="269">
        <v>150</v>
      </c>
      <c r="K149" s="269" t="s">
        <v>584</v>
      </c>
      <c r="L149" s="269" t="s">
        <v>620</v>
      </c>
      <c r="M149" s="274">
        <v>149</v>
      </c>
      <c r="N149" s="468">
        <f t="shared" si="2"/>
        <v>99</v>
      </c>
      <c r="O149" s="274">
        <v>32</v>
      </c>
      <c r="P149" s="553" t="s">
        <v>647</v>
      </c>
      <c r="Q149" s="469"/>
    </row>
    <row r="150" spans="1:17" ht="25.5" hidden="1" x14ac:dyDescent="0.2">
      <c r="A150" s="269" t="s">
        <v>277</v>
      </c>
      <c r="B150" s="269" t="s">
        <v>277</v>
      </c>
      <c r="C150" s="269">
        <v>2019</v>
      </c>
      <c r="D150" s="269" t="s">
        <v>358</v>
      </c>
      <c r="E150" s="269" t="s">
        <v>391</v>
      </c>
      <c r="F150" s="269" t="s">
        <v>74</v>
      </c>
      <c r="G150" s="269" t="s">
        <v>459</v>
      </c>
      <c r="H150" s="269" t="s">
        <v>42</v>
      </c>
      <c r="I150" s="269" t="s">
        <v>583</v>
      </c>
      <c r="J150" s="269">
        <v>2000</v>
      </c>
      <c r="K150" s="269" t="s">
        <v>584</v>
      </c>
      <c r="L150" s="269"/>
      <c r="M150" s="274">
        <v>3227</v>
      </c>
      <c r="N150" s="468">
        <f t="shared" si="2"/>
        <v>161</v>
      </c>
      <c r="O150" s="274">
        <v>178</v>
      </c>
      <c r="P150" s="553" t="s">
        <v>1722</v>
      </c>
      <c r="Q150" s="624" t="s">
        <v>1901</v>
      </c>
    </row>
    <row r="151" spans="1:17" ht="51" hidden="1" x14ac:dyDescent="0.2">
      <c r="A151" s="269" t="s">
        <v>277</v>
      </c>
      <c r="B151" s="269" t="s">
        <v>277</v>
      </c>
      <c r="C151" s="269">
        <v>2019</v>
      </c>
      <c r="D151" s="269" t="s">
        <v>358</v>
      </c>
      <c r="E151" s="269" t="s">
        <v>391</v>
      </c>
      <c r="F151" s="269" t="s">
        <v>74</v>
      </c>
      <c r="G151" s="269" t="s">
        <v>459</v>
      </c>
      <c r="H151" s="269" t="s">
        <v>19</v>
      </c>
      <c r="I151" s="269" t="s">
        <v>583</v>
      </c>
      <c r="J151" s="269">
        <v>500</v>
      </c>
      <c r="K151" s="269" t="s">
        <v>584</v>
      </c>
      <c r="L151" s="269" t="s">
        <v>625</v>
      </c>
      <c r="M151" s="274">
        <v>334</v>
      </c>
      <c r="N151" s="468">
        <f t="shared" si="2"/>
        <v>67</v>
      </c>
      <c r="O151" s="274">
        <v>34</v>
      </c>
      <c r="P151" s="553" t="s">
        <v>1737</v>
      </c>
      <c r="Q151" s="469" t="s">
        <v>1717</v>
      </c>
    </row>
    <row r="152" spans="1:17" ht="51" hidden="1" x14ac:dyDescent="0.2">
      <c r="A152" s="269" t="s">
        <v>277</v>
      </c>
      <c r="B152" s="269" t="s">
        <v>277</v>
      </c>
      <c r="C152" s="269">
        <v>2019</v>
      </c>
      <c r="D152" s="269" t="s">
        <v>358</v>
      </c>
      <c r="E152" s="269" t="s">
        <v>391</v>
      </c>
      <c r="F152" s="269" t="s">
        <v>74</v>
      </c>
      <c r="G152" s="269" t="s">
        <v>459</v>
      </c>
      <c r="H152" s="269" t="s">
        <v>20</v>
      </c>
      <c r="I152" s="269" t="s">
        <v>583</v>
      </c>
      <c r="J152" s="269">
        <v>500</v>
      </c>
      <c r="K152" s="269" t="s">
        <v>584</v>
      </c>
      <c r="L152" s="269" t="s">
        <v>625</v>
      </c>
      <c r="M152" s="274">
        <v>334</v>
      </c>
      <c r="N152" s="468">
        <f t="shared" si="2"/>
        <v>67</v>
      </c>
      <c r="O152" s="274">
        <v>34</v>
      </c>
      <c r="P152" s="553" t="s">
        <v>1737</v>
      </c>
      <c r="Q152" s="469" t="s">
        <v>1717</v>
      </c>
    </row>
    <row r="153" spans="1:17" hidden="1" x14ac:dyDescent="0.2">
      <c r="A153" s="269" t="s">
        <v>277</v>
      </c>
      <c r="B153" s="269" t="s">
        <v>277</v>
      </c>
      <c r="C153" s="269">
        <v>2019</v>
      </c>
      <c r="D153" s="269" t="s">
        <v>358</v>
      </c>
      <c r="E153" s="269" t="s">
        <v>391</v>
      </c>
      <c r="F153" s="269" t="s">
        <v>74</v>
      </c>
      <c r="G153" s="269" t="s">
        <v>459</v>
      </c>
      <c r="H153" s="269" t="s">
        <v>587</v>
      </c>
      <c r="I153" s="269" t="s">
        <v>583</v>
      </c>
      <c r="J153" s="269">
        <v>0</v>
      </c>
      <c r="K153" s="269" t="s">
        <v>584</v>
      </c>
      <c r="L153" s="269" t="s">
        <v>616</v>
      </c>
      <c r="M153" s="274">
        <v>272</v>
      </c>
      <c r="N153" s="468" t="s">
        <v>332</v>
      </c>
      <c r="O153" s="274">
        <v>31</v>
      </c>
      <c r="P153" s="553" t="s">
        <v>1737</v>
      </c>
      <c r="Q153" s="469"/>
    </row>
    <row r="154" spans="1:17" hidden="1" x14ac:dyDescent="0.2">
      <c r="A154" s="269" t="s">
        <v>277</v>
      </c>
      <c r="B154" s="269" t="s">
        <v>277</v>
      </c>
      <c r="C154" s="269">
        <v>2019</v>
      </c>
      <c r="D154" s="269" t="s">
        <v>358</v>
      </c>
      <c r="E154" s="269" t="s">
        <v>391</v>
      </c>
      <c r="F154" s="269" t="s">
        <v>74</v>
      </c>
      <c r="G154" s="269" t="s">
        <v>459</v>
      </c>
      <c r="H154" s="269" t="s">
        <v>588</v>
      </c>
      <c r="I154" s="269" t="s">
        <v>583</v>
      </c>
      <c r="J154" s="269">
        <v>0</v>
      </c>
      <c r="K154" s="269" t="s">
        <v>584</v>
      </c>
      <c r="L154" s="269" t="s">
        <v>616</v>
      </c>
      <c r="M154" s="274">
        <v>72</v>
      </c>
      <c r="N154" s="468" t="s">
        <v>332</v>
      </c>
      <c r="O154" s="274">
        <v>3</v>
      </c>
      <c r="P154" s="553" t="s">
        <v>1737</v>
      </c>
      <c r="Q154" s="469"/>
    </row>
    <row r="155" spans="1:17" hidden="1" x14ac:dyDescent="0.2">
      <c r="A155" s="269" t="s">
        <v>277</v>
      </c>
      <c r="B155" s="269" t="s">
        <v>277</v>
      </c>
      <c r="C155" s="269">
        <v>2019</v>
      </c>
      <c r="D155" s="269" t="s">
        <v>358</v>
      </c>
      <c r="E155" s="269" t="s">
        <v>391</v>
      </c>
      <c r="F155" s="269" t="s">
        <v>74</v>
      </c>
      <c r="G155" s="269" t="s">
        <v>459</v>
      </c>
      <c r="H155" s="269" t="s">
        <v>42</v>
      </c>
      <c r="I155" s="269" t="s">
        <v>589</v>
      </c>
      <c r="J155" s="269">
        <v>1000</v>
      </c>
      <c r="K155" s="269" t="s">
        <v>584</v>
      </c>
      <c r="L155" s="269" t="s">
        <v>620</v>
      </c>
      <c r="M155" s="274">
        <v>743</v>
      </c>
      <c r="N155" s="468">
        <f t="shared" si="2"/>
        <v>74</v>
      </c>
      <c r="O155" s="274">
        <v>114</v>
      </c>
      <c r="P155" s="553" t="s">
        <v>647</v>
      </c>
      <c r="Q155" s="469" t="s">
        <v>1718</v>
      </c>
    </row>
    <row r="156" spans="1:17" x14ac:dyDescent="0.2">
      <c r="A156" s="269" t="s">
        <v>277</v>
      </c>
      <c r="B156" s="269" t="s">
        <v>277</v>
      </c>
      <c r="C156" s="269">
        <v>2019</v>
      </c>
      <c r="D156" s="269" t="s">
        <v>358</v>
      </c>
      <c r="E156" s="269" t="s">
        <v>391</v>
      </c>
      <c r="F156" s="269" t="s">
        <v>74</v>
      </c>
      <c r="G156" s="269" t="s">
        <v>459</v>
      </c>
      <c r="H156" s="269" t="s">
        <v>19</v>
      </c>
      <c r="I156" s="269" t="s">
        <v>589</v>
      </c>
      <c r="J156" s="269">
        <v>1000</v>
      </c>
      <c r="K156" s="269" t="s">
        <v>584</v>
      </c>
      <c r="L156" s="269" t="s">
        <v>620</v>
      </c>
      <c r="M156" s="274">
        <v>670</v>
      </c>
      <c r="N156" s="468">
        <f t="shared" si="2"/>
        <v>67</v>
      </c>
      <c r="O156" s="274">
        <v>113</v>
      </c>
      <c r="P156" s="553" t="s">
        <v>647</v>
      </c>
      <c r="Q156" s="469" t="s">
        <v>1718</v>
      </c>
    </row>
    <row r="157" spans="1:17" x14ac:dyDescent="0.2">
      <c r="A157" s="269" t="s">
        <v>277</v>
      </c>
      <c r="B157" s="269" t="s">
        <v>277</v>
      </c>
      <c r="C157" s="269">
        <v>2019</v>
      </c>
      <c r="D157" s="269" t="s">
        <v>358</v>
      </c>
      <c r="E157" s="269" t="s">
        <v>391</v>
      </c>
      <c r="F157" s="269" t="s">
        <v>74</v>
      </c>
      <c r="G157" s="269" t="s">
        <v>459</v>
      </c>
      <c r="H157" s="269" t="s">
        <v>20</v>
      </c>
      <c r="I157" s="269" t="s">
        <v>589</v>
      </c>
      <c r="J157" s="269">
        <v>1000</v>
      </c>
      <c r="K157" s="269" t="s">
        <v>584</v>
      </c>
      <c r="L157" s="269" t="s">
        <v>620</v>
      </c>
      <c r="M157" s="274">
        <v>670</v>
      </c>
      <c r="N157" s="468">
        <f t="shared" si="2"/>
        <v>67</v>
      </c>
      <c r="O157" s="274">
        <v>113</v>
      </c>
      <c r="P157" s="553" t="s">
        <v>647</v>
      </c>
      <c r="Q157" s="469" t="s">
        <v>1718</v>
      </c>
    </row>
    <row r="158" spans="1:17" x14ac:dyDescent="0.2">
      <c r="A158" s="269" t="s">
        <v>277</v>
      </c>
      <c r="B158" s="269" t="s">
        <v>277</v>
      </c>
      <c r="C158" s="269">
        <v>2019</v>
      </c>
      <c r="D158" s="269" t="s">
        <v>358</v>
      </c>
      <c r="E158" s="269" t="s">
        <v>391</v>
      </c>
      <c r="F158" s="269" t="s">
        <v>74</v>
      </c>
      <c r="G158" s="269" t="s">
        <v>459</v>
      </c>
      <c r="H158" s="269" t="s">
        <v>587</v>
      </c>
      <c r="I158" s="269" t="s">
        <v>589</v>
      </c>
      <c r="J158" s="269">
        <v>1000</v>
      </c>
      <c r="K158" s="269" t="s">
        <v>584</v>
      </c>
      <c r="L158" s="269" t="s">
        <v>620</v>
      </c>
      <c r="M158" s="274">
        <v>670</v>
      </c>
      <c r="N158" s="468">
        <f t="shared" si="2"/>
        <v>67</v>
      </c>
      <c r="O158" s="274">
        <v>113</v>
      </c>
      <c r="P158" s="553" t="s">
        <v>647</v>
      </c>
      <c r="Q158" s="469" t="s">
        <v>1718</v>
      </c>
    </row>
    <row r="159" spans="1:17" x14ac:dyDescent="0.2">
      <c r="A159" s="269" t="s">
        <v>277</v>
      </c>
      <c r="B159" s="269" t="s">
        <v>277</v>
      </c>
      <c r="C159" s="269">
        <v>2019</v>
      </c>
      <c r="D159" s="269" t="s">
        <v>358</v>
      </c>
      <c r="E159" s="269" t="s">
        <v>391</v>
      </c>
      <c r="F159" s="269" t="s">
        <v>74</v>
      </c>
      <c r="G159" s="269" t="s">
        <v>459</v>
      </c>
      <c r="H159" s="269" t="s">
        <v>588</v>
      </c>
      <c r="I159" s="269" t="s">
        <v>589</v>
      </c>
      <c r="J159" s="269">
        <v>1000</v>
      </c>
      <c r="K159" s="269" t="s">
        <v>584</v>
      </c>
      <c r="L159" s="269" t="s">
        <v>620</v>
      </c>
      <c r="M159" s="274">
        <v>670</v>
      </c>
      <c r="N159" s="468">
        <f t="shared" si="2"/>
        <v>67</v>
      </c>
      <c r="O159" s="274">
        <v>113</v>
      </c>
      <c r="P159" s="553" t="s">
        <v>647</v>
      </c>
      <c r="Q159" s="469" t="s">
        <v>1718</v>
      </c>
    </row>
    <row r="160" spans="1:17" ht="25.5" hidden="1" x14ac:dyDescent="0.2">
      <c r="A160" s="269" t="s">
        <v>277</v>
      </c>
      <c r="B160" s="269" t="s">
        <v>277</v>
      </c>
      <c r="C160" s="269">
        <v>2019</v>
      </c>
      <c r="D160" s="269" t="s">
        <v>461</v>
      </c>
      <c r="E160" s="269" t="s">
        <v>391</v>
      </c>
      <c r="F160" s="269" t="s">
        <v>74</v>
      </c>
      <c r="G160" s="269" t="s">
        <v>458</v>
      </c>
      <c r="H160" s="269" t="s">
        <v>42</v>
      </c>
      <c r="I160" s="269" t="s">
        <v>583</v>
      </c>
      <c r="J160" s="269">
        <v>1000</v>
      </c>
      <c r="K160" s="269" t="s">
        <v>584</v>
      </c>
      <c r="L160" s="269" t="s">
        <v>623</v>
      </c>
      <c r="M160" s="274">
        <v>2376</v>
      </c>
      <c r="N160" s="468">
        <f t="shared" si="2"/>
        <v>238</v>
      </c>
      <c r="O160" s="274">
        <v>96</v>
      </c>
      <c r="P160" s="553" t="s">
        <v>1722</v>
      </c>
      <c r="Q160" s="624" t="s">
        <v>1901</v>
      </c>
    </row>
    <row r="161" spans="1:17" hidden="1" x14ac:dyDescent="0.2">
      <c r="A161" s="269" t="s">
        <v>277</v>
      </c>
      <c r="B161" s="269" t="s">
        <v>277</v>
      </c>
      <c r="C161" s="269">
        <v>2019</v>
      </c>
      <c r="D161" s="269" t="s">
        <v>461</v>
      </c>
      <c r="E161" s="269" t="s">
        <v>391</v>
      </c>
      <c r="F161" s="269" t="s">
        <v>74</v>
      </c>
      <c r="G161" s="269" t="s">
        <v>458</v>
      </c>
      <c r="H161" s="269" t="s">
        <v>19</v>
      </c>
      <c r="I161" s="269" t="s">
        <v>583</v>
      </c>
      <c r="J161" s="269">
        <v>200</v>
      </c>
      <c r="K161" s="269" t="s">
        <v>584</v>
      </c>
      <c r="L161" s="269" t="s">
        <v>625</v>
      </c>
      <c r="M161" s="274">
        <v>244</v>
      </c>
      <c r="N161" s="468">
        <f t="shared" si="2"/>
        <v>122</v>
      </c>
      <c r="O161" s="274">
        <v>19</v>
      </c>
      <c r="P161" s="553" t="s">
        <v>1737</v>
      </c>
      <c r="Q161" s="469"/>
    </row>
    <row r="162" spans="1:17" hidden="1" x14ac:dyDescent="0.2">
      <c r="A162" s="269" t="s">
        <v>277</v>
      </c>
      <c r="B162" s="269" t="s">
        <v>277</v>
      </c>
      <c r="C162" s="269">
        <v>2019</v>
      </c>
      <c r="D162" s="269" t="s">
        <v>461</v>
      </c>
      <c r="E162" s="269" t="s">
        <v>391</v>
      </c>
      <c r="F162" s="269" t="s">
        <v>74</v>
      </c>
      <c r="G162" s="269" t="s">
        <v>458</v>
      </c>
      <c r="H162" s="269" t="s">
        <v>20</v>
      </c>
      <c r="I162" s="269" t="s">
        <v>583</v>
      </c>
      <c r="J162" s="269">
        <v>200</v>
      </c>
      <c r="K162" s="269" t="s">
        <v>584</v>
      </c>
      <c r="L162" s="269" t="s">
        <v>625</v>
      </c>
      <c r="M162" s="274">
        <v>244</v>
      </c>
      <c r="N162" s="468">
        <f t="shared" si="2"/>
        <v>122</v>
      </c>
      <c r="O162" s="274">
        <v>19</v>
      </c>
      <c r="P162" s="553" t="s">
        <v>1737</v>
      </c>
      <c r="Q162" s="469"/>
    </row>
    <row r="163" spans="1:17" hidden="1" x14ac:dyDescent="0.2">
      <c r="A163" s="269" t="s">
        <v>277</v>
      </c>
      <c r="B163" s="269" t="s">
        <v>277</v>
      </c>
      <c r="C163" s="269">
        <v>2019</v>
      </c>
      <c r="D163" s="269" t="s">
        <v>461</v>
      </c>
      <c r="E163" s="269" t="s">
        <v>391</v>
      </c>
      <c r="F163" s="269" t="s">
        <v>74</v>
      </c>
      <c r="G163" s="269" t="s">
        <v>458</v>
      </c>
      <c r="H163" s="269" t="s">
        <v>587</v>
      </c>
      <c r="I163" s="269" t="s">
        <v>583</v>
      </c>
      <c r="J163" s="269">
        <v>0</v>
      </c>
      <c r="K163" s="269" t="s">
        <v>584</v>
      </c>
      <c r="L163" s="269" t="s">
        <v>616</v>
      </c>
      <c r="M163" s="274">
        <v>197</v>
      </c>
      <c r="N163" s="468" t="s">
        <v>332</v>
      </c>
      <c r="O163" s="274">
        <v>17</v>
      </c>
      <c r="P163" s="553" t="s">
        <v>1726</v>
      </c>
      <c r="Q163" s="469"/>
    </row>
    <row r="164" spans="1:17" hidden="1" x14ac:dyDescent="0.2">
      <c r="A164" s="269" t="s">
        <v>277</v>
      </c>
      <c r="B164" s="269" t="s">
        <v>277</v>
      </c>
      <c r="C164" s="269">
        <v>2019</v>
      </c>
      <c r="D164" s="269" t="s">
        <v>461</v>
      </c>
      <c r="E164" s="269" t="s">
        <v>391</v>
      </c>
      <c r="F164" s="269" t="s">
        <v>74</v>
      </c>
      <c r="G164" s="269" t="s">
        <v>458</v>
      </c>
      <c r="H164" s="269" t="s">
        <v>588</v>
      </c>
      <c r="I164" s="269" t="s">
        <v>583</v>
      </c>
      <c r="J164" s="269">
        <v>0</v>
      </c>
      <c r="K164" s="269" t="s">
        <v>584</v>
      </c>
      <c r="L164" s="269" t="s">
        <v>616</v>
      </c>
      <c r="M164" s="274">
        <v>17</v>
      </c>
      <c r="N164" s="468" t="s">
        <v>332</v>
      </c>
      <c r="O164" s="274">
        <v>3</v>
      </c>
      <c r="P164" s="553" t="s">
        <v>1726</v>
      </c>
      <c r="Q164" s="469"/>
    </row>
    <row r="165" spans="1:17" ht="25.5" hidden="1" x14ac:dyDescent="0.2">
      <c r="A165" s="269" t="s">
        <v>277</v>
      </c>
      <c r="B165" s="269" t="s">
        <v>277</v>
      </c>
      <c r="C165" s="269">
        <v>2019</v>
      </c>
      <c r="D165" s="269" t="s">
        <v>461</v>
      </c>
      <c r="E165" s="269" t="s">
        <v>391</v>
      </c>
      <c r="F165" s="269" t="s">
        <v>74</v>
      </c>
      <c r="G165" s="269" t="s">
        <v>458</v>
      </c>
      <c r="H165" s="269" t="s">
        <v>42</v>
      </c>
      <c r="I165" s="269" t="s">
        <v>589</v>
      </c>
      <c r="J165" s="269">
        <v>500</v>
      </c>
      <c r="K165" s="269" t="s">
        <v>584</v>
      </c>
      <c r="L165" s="269" t="s">
        <v>626</v>
      </c>
      <c r="M165" s="274">
        <v>955</v>
      </c>
      <c r="N165" s="468">
        <f t="shared" si="2"/>
        <v>191</v>
      </c>
      <c r="O165" s="274">
        <v>65</v>
      </c>
      <c r="P165" s="553" t="s">
        <v>647</v>
      </c>
      <c r="Q165" s="624" t="s">
        <v>1901</v>
      </c>
    </row>
    <row r="166" spans="1:17" ht="25.5" x14ac:dyDescent="0.2">
      <c r="A166" s="269" t="s">
        <v>277</v>
      </c>
      <c r="B166" s="269" t="s">
        <v>277</v>
      </c>
      <c r="C166" s="269">
        <v>2019</v>
      </c>
      <c r="D166" s="269" t="s">
        <v>461</v>
      </c>
      <c r="E166" s="269" t="s">
        <v>391</v>
      </c>
      <c r="F166" s="269" t="s">
        <v>74</v>
      </c>
      <c r="G166" s="269" t="s">
        <v>458</v>
      </c>
      <c r="H166" s="269" t="s">
        <v>19</v>
      </c>
      <c r="I166" s="269" t="s">
        <v>589</v>
      </c>
      <c r="J166" s="269">
        <v>500</v>
      </c>
      <c r="K166" s="269" t="s">
        <v>584</v>
      </c>
      <c r="L166" s="269" t="s">
        <v>626</v>
      </c>
      <c r="M166" s="274">
        <v>914</v>
      </c>
      <c r="N166" s="468">
        <f t="shared" si="2"/>
        <v>183</v>
      </c>
      <c r="O166" s="274">
        <v>66</v>
      </c>
      <c r="P166" s="553" t="s">
        <v>647</v>
      </c>
      <c r="Q166" s="624" t="s">
        <v>1901</v>
      </c>
    </row>
    <row r="167" spans="1:17" ht="25.5" x14ac:dyDescent="0.2">
      <c r="A167" s="269" t="s">
        <v>277</v>
      </c>
      <c r="B167" s="269" t="s">
        <v>277</v>
      </c>
      <c r="C167" s="269">
        <v>2019</v>
      </c>
      <c r="D167" s="269" t="s">
        <v>461</v>
      </c>
      <c r="E167" s="269" t="s">
        <v>391</v>
      </c>
      <c r="F167" s="269" t="s">
        <v>74</v>
      </c>
      <c r="G167" s="269" t="s">
        <v>458</v>
      </c>
      <c r="H167" s="269" t="s">
        <v>20</v>
      </c>
      <c r="I167" s="269" t="s">
        <v>589</v>
      </c>
      <c r="J167" s="269">
        <v>500</v>
      </c>
      <c r="K167" s="269" t="s">
        <v>584</v>
      </c>
      <c r="L167" s="269" t="s">
        <v>626</v>
      </c>
      <c r="M167" s="274">
        <v>914</v>
      </c>
      <c r="N167" s="468">
        <f t="shared" si="2"/>
        <v>183</v>
      </c>
      <c r="O167" s="274">
        <v>66</v>
      </c>
      <c r="P167" s="553" t="s">
        <v>647</v>
      </c>
      <c r="Q167" s="624" t="s">
        <v>1901</v>
      </c>
    </row>
    <row r="168" spans="1:17" ht="25.5" x14ac:dyDescent="0.2">
      <c r="A168" s="269" t="s">
        <v>277</v>
      </c>
      <c r="B168" s="269" t="s">
        <v>277</v>
      </c>
      <c r="C168" s="269">
        <v>2019</v>
      </c>
      <c r="D168" s="269" t="s">
        <v>461</v>
      </c>
      <c r="E168" s="269" t="s">
        <v>391</v>
      </c>
      <c r="F168" s="269" t="s">
        <v>74</v>
      </c>
      <c r="G168" s="269" t="s">
        <v>458</v>
      </c>
      <c r="H168" s="269" t="s">
        <v>587</v>
      </c>
      <c r="I168" s="269" t="s">
        <v>589</v>
      </c>
      <c r="J168" s="269">
        <v>500</v>
      </c>
      <c r="K168" s="269" t="s">
        <v>584</v>
      </c>
      <c r="L168" s="269" t="s">
        <v>626</v>
      </c>
      <c r="M168" s="274">
        <v>914</v>
      </c>
      <c r="N168" s="468">
        <f t="shared" si="2"/>
        <v>183</v>
      </c>
      <c r="O168" s="274">
        <v>66</v>
      </c>
      <c r="P168" s="553" t="s">
        <v>647</v>
      </c>
      <c r="Q168" s="624" t="s">
        <v>1901</v>
      </c>
    </row>
    <row r="169" spans="1:17" ht="25.5" x14ac:dyDescent="0.2">
      <c r="A169" s="269" t="s">
        <v>277</v>
      </c>
      <c r="B169" s="269" t="s">
        <v>277</v>
      </c>
      <c r="C169" s="269">
        <v>2019</v>
      </c>
      <c r="D169" s="269" t="s">
        <v>461</v>
      </c>
      <c r="E169" s="269" t="s">
        <v>391</v>
      </c>
      <c r="F169" s="269" t="s">
        <v>74</v>
      </c>
      <c r="G169" s="269" t="s">
        <v>458</v>
      </c>
      <c r="H169" s="269" t="s">
        <v>588</v>
      </c>
      <c r="I169" s="269" t="s">
        <v>589</v>
      </c>
      <c r="J169" s="269">
        <v>500</v>
      </c>
      <c r="K169" s="269" t="s">
        <v>584</v>
      </c>
      <c r="L169" s="269" t="s">
        <v>626</v>
      </c>
      <c r="M169" s="274">
        <v>913</v>
      </c>
      <c r="N169" s="468">
        <f t="shared" si="2"/>
        <v>183</v>
      </c>
      <c r="O169" s="274">
        <v>66</v>
      </c>
      <c r="P169" s="553" t="s">
        <v>647</v>
      </c>
      <c r="Q169" s="624" t="s">
        <v>1901</v>
      </c>
    </row>
    <row r="170" spans="1:17" ht="25.5" hidden="1" x14ac:dyDescent="0.2">
      <c r="A170" s="269" t="s">
        <v>277</v>
      </c>
      <c r="B170" s="269" t="s">
        <v>277</v>
      </c>
      <c r="C170" s="269">
        <v>2019</v>
      </c>
      <c r="D170" s="269" t="s">
        <v>461</v>
      </c>
      <c r="E170" s="269" t="s">
        <v>391</v>
      </c>
      <c r="F170" s="269" t="s">
        <v>74</v>
      </c>
      <c r="G170" s="269" t="s">
        <v>459</v>
      </c>
      <c r="H170" s="269" t="s">
        <v>42</v>
      </c>
      <c r="I170" s="269" t="s">
        <v>583</v>
      </c>
      <c r="J170" s="269">
        <v>2000</v>
      </c>
      <c r="K170" s="269" t="s">
        <v>584</v>
      </c>
      <c r="L170" s="269"/>
      <c r="M170" s="274">
        <v>4790</v>
      </c>
      <c r="N170" s="468">
        <f t="shared" si="2"/>
        <v>240</v>
      </c>
      <c r="O170" s="274">
        <v>224</v>
      </c>
      <c r="P170" s="553" t="s">
        <v>1722</v>
      </c>
      <c r="Q170" s="624" t="s">
        <v>1901</v>
      </c>
    </row>
    <row r="171" spans="1:17" ht="51" hidden="1" x14ac:dyDescent="0.2">
      <c r="A171" s="269" t="s">
        <v>277</v>
      </c>
      <c r="B171" s="269" t="s">
        <v>277</v>
      </c>
      <c r="C171" s="269">
        <v>2019</v>
      </c>
      <c r="D171" s="269" t="s">
        <v>461</v>
      </c>
      <c r="E171" s="269" t="s">
        <v>391</v>
      </c>
      <c r="F171" s="269" t="s">
        <v>74</v>
      </c>
      <c r="G171" s="269" t="s">
        <v>459</v>
      </c>
      <c r="H171" s="269" t="s">
        <v>19</v>
      </c>
      <c r="I171" s="269" t="s">
        <v>583</v>
      </c>
      <c r="J171" s="269">
        <v>750</v>
      </c>
      <c r="K171" s="269" t="s">
        <v>584</v>
      </c>
      <c r="L171" s="269" t="s">
        <v>625</v>
      </c>
      <c r="M171" s="274">
        <v>430</v>
      </c>
      <c r="N171" s="468">
        <f t="shared" si="2"/>
        <v>57</v>
      </c>
      <c r="O171" s="274">
        <v>42</v>
      </c>
      <c r="P171" s="553" t="s">
        <v>1737</v>
      </c>
      <c r="Q171" s="469" t="s">
        <v>1717</v>
      </c>
    </row>
    <row r="172" spans="1:17" ht="51" hidden="1" x14ac:dyDescent="0.2">
      <c r="A172" s="269" t="s">
        <v>277</v>
      </c>
      <c r="B172" s="269" t="s">
        <v>277</v>
      </c>
      <c r="C172" s="269">
        <v>2019</v>
      </c>
      <c r="D172" s="269" t="s">
        <v>461</v>
      </c>
      <c r="E172" s="269" t="s">
        <v>391</v>
      </c>
      <c r="F172" s="269" t="s">
        <v>74</v>
      </c>
      <c r="G172" s="269" t="s">
        <v>459</v>
      </c>
      <c r="H172" s="269" t="s">
        <v>20</v>
      </c>
      <c r="I172" s="269" t="s">
        <v>583</v>
      </c>
      <c r="J172" s="269">
        <v>750</v>
      </c>
      <c r="K172" s="269" t="s">
        <v>584</v>
      </c>
      <c r="L172" s="269" t="s">
        <v>625</v>
      </c>
      <c r="M172" s="274">
        <v>430</v>
      </c>
      <c r="N172" s="468">
        <f t="shared" si="2"/>
        <v>57</v>
      </c>
      <c r="O172" s="274">
        <v>42</v>
      </c>
      <c r="P172" s="553" t="s">
        <v>1737</v>
      </c>
      <c r="Q172" s="469" t="s">
        <v>1717</v>
      </c>
    </row>
    <row r="173" spans="1:17" hidden="1" x14ac:dyDescent="0.2">
      <c r="A173" s="269" t="s">
        <v>277</v>
      </c>
      <c r="B173" s="269" t="s">
        <v>277</v>
      </c>
      <c r="C173" s="269">
        <v>2019</v>
      </c>
      <c r="D173" s="269" t="s">
        <v>461</v>
      </c>
      <c r="E173" s="269" t="s">
        <v>391</v>
      </c>
      <c r="F173" s="269" t="s">
        <v>74</v>
      </c>
      <c r="G173" s="269" t="s">
        <v>459</v>
      </c>
      <c r="H173" s="269" t="s">
        <v>587</v>
      </c>
      <c r="I173" s="269" t="s">
        <v>583</v>
      </c>
      <c r="J173" s="269">
        <v>0</v>
      </c>
      <c r="K173" s="269" t="s">
        <v>584</v>
      </c>
      <c r="L173" s="269" t="s">
        <v>616</v>
      </c>
      <c r="M173" s="274">
        <v>338</v>
      </c>
      <c r="N173" s="468" t="s">
        <v>332</v>
      </c>
      <c r="O173" s="274">
        <v>34</v>
      </c>
      <c r="P173" s="553" t="s">
        <v>1726</v>
      </c>
      <c r="Q173" s="469"/>
    </row>
    <row r="174" spans="1:17" hidden="1" x14ac:dyDescent="0.2">
      <c r="A174" s="269" t="s">
        <v>277</v>
      </c>
      <c r="B174" s="269" t="s">
        <v>277</v>
      </c>
      <c r="C174" s="269">
        <v>2019</v>
      </c>
      <c r="D174" s="269" t="s">
        <v>461</v>
      </c>
      <c r="E174" s="269" t="s">
        <v>391</v>
      </c>
      <c r="F174" s="269" t="s">
        <v>74</v>
      </c>
      <c r="G174" s="269" t="s">
        <v>459</v>
      </c>
      <c r="H174" s="269" t="s">
        <v>588</v>
      </c>
      <c r="I174" s="269" t="s">
        <v>583</v>
      </c>
      <c r="J174" s="269">
        <v>0</v>
      </c>
      <c r="K174" s="269" t="s">
        <v>584</v>
      </c>
      <c r="L174" s="269" t="s">
        <v>616</v>
      </c>
      <c r="M174" s="274">
        <v>16</v>
      </c>
      <c r="N174" s="468" t="s">
        <v>332</v>
      </c>
      <c r="O174" s="274">
        <v>2</v>
      </c>
      <c r="P174" s="553" t="s">
        <v>1726</v>
      </c>
      <c r="Q174" s="469"/>
    </row>
    <row r="175" spans="1:17" ht="25.5" hidden="1" x14ac:dyDescent="0.2">
      <c r="A175" s="269" t="s">
        <v>277</v>
      </c>
      <c r="B175" s="269" t="s">
        <v>277</v>
      </c>
      <c r="C175" s="269">
        <v>2019</v>
      </c>
      <c r="D175" s="269" t="s">
        <v>461</v>
      </c>
      <c r="E175" s="269" t="s">
        <v>391</v>
      </c>
      <c r="F175" s="269" t="s">
        <v>74</v>
      </c>
      <c r="G175" s="269" t="s">
        <v>459</v>
      </c>
      <c r="H175" s="269" t="s">
        <v>42</v>
      </c>
      <c r="I175" s="269" t="s">
        <v>589</v>
      </c>
      <c r="J175" s="269">
        <v>750</v>
      </c>
      <c r="K175" s="269" t="s">
        <v>584</v>
      </c>
      <c r="L175" s="269" t="s">
        <v>620</v>
      </c>
      <c r="M175" s="274">
        <v>1171</v>
      </c>
      <c r="N175" s="468">
        <f t="shared" si="2"/>
        <v>156</v>
      </c>
      <c r="O175" s="274">
        <v>166</v>
      </c>
      <c r="P175" s="553" t="s">
        <v>647</v>
      </c>
      <c r="Q175" s="624" t="s">
        <v>1901</v>
      </c>
    </row>
    <row r="176" spans="1:17" x14ac:dyDescent="0.2">
      <c r="A176" s="269" t="s">
        <v>277</v>
      </c>
      <c r="B176" s="269" t="s">
        <v>277</v>
      </c>
      <c r="C176" s="269">
        <v>2019</v>
      </c>
      <c r="D176" s="269" t="s">
        <v>461</v>
      </c>
      <c r="E176" s="269" t="s">
        <v>391</v>
      </c>
      <c r="F176" s="269" t="s">
        <v>74</v>
      </c>
      <c r="G176" s="269" t="s">
        <v>459</v>
      </c>
      <c r="H176" s="269" t="s">
        <v>19</v>
      </c>
      <c r="I176" s="269" t="s">
        <v>589</v>
      </c>
      <c r="J176" s="269">
        <v>750</v>
      </c>
      <c r="K176" s="269" t="s">
        <v>584</v>
      </c>
      <c r="L176" s="269" t="s">
        <v>620</v>
      </c>
      <c r="M176" s="274">
        <v>1042</v>
      </c>
      <c r="N176" s="468">
        <f t="shared" si="2"/>
        <v>139</v>
      </c>
      <c r="O176" s="274">
        <v>167</v>
      </c>
      <c r="P176" s="553" t="s">
        <v>647</v>
      </c>
      <c r="Q176" s="469"/>
    </row>
    <row r="177" spans="1:17" x14ac:dyDescent="0.2">
      <c r="A177" s="269" t="s">
        <v>277</v>
      </c>
      <c r="B177" s="269" t="s">
        <v>277</v>
      </c>
      <c r="C177" s="269">
        <v>2019</v>
      </c>
      <c r="D177" s="269" t="s">
        <v>461</v>
      </c>
      <c r="E177" s="269" t="s">
        <v>391</v>
      </c>
      <c r="F177" s="269" t="s">
        <v>74</v>
      </c>
      <c r="G177" s="269" t="s">
        <v>459</v>
      </c>
      <c r="H177" s="269" t="s">
        <v>20</v>
      </c>
      <c r="I177" s="269" t="s">
        <v>589</v>
      </c>
      <c r="J177" s="269">
        <v>750</v>
      </c>
      <c r="K177" s="269" t="s">
        <v>584</v>
      </c>
      <c r="L177" s="269" t="s">
        <v>620</v>
      </c>
      <c r="M177" s="274">
        <v>1042</v>
      </c>
      <c r="N177" s="468">
        <f t="shared" si="2"/>
        <v>139</v>
      </c>
      <c r="O177" s="274">
        <v>167</v>
      </c>
      <c r="P177" s="553" t="s">
        <v>647</v>
      </c>
      <c r="Q177" s="469"/>
    </row>
    <row r="178" spans="1:17" x14ac:dyDescent="0.2">
      <c r="A178" s="269" t="s">
        <v>277</v>
      </c>
      <c r="B178" s="269" t="s">
        <v>277</v>
      </c>
      <c r="C178" s="269">
        <v>2019</v>
      </c>
      <c r="D178" s="269" t="s">
        <v>461</v>
      </c>
      <c r="E178" s="269" t="s">
        <v>391</v>
      </c>
      <c r="F178" s="269" t="s">
        <v>74</v>
      </c>
      <c r="G178" s="269" t="s">
        <v>459</v>
      </c>
      <c r="H178" s="269" t="s">
        <v>587</v>
      </c>
      <c r="I178" s="269" t="s">
        <v>589</v>
      </c>
      <c r="J178" s="269">
        <v>750</v>
      </c>
      <c r="K178" s="269" t="s">
        <v>584</v>
      </c>
      <c r="L178" s="269" t="s">
        <v>620</v>
      </c>
      <c r="M178" s="274">
        <v>1042</v>
      </c>
      <c r="N178" s="468">
        <f t="shared" si="2"/>
        <v>139</v>
      </c>
      <c r="O178" s="274">
        <v>167</v>
      </c>
      <c r="P178" s="553" t="s">
        <v>647</v>
      </c>
      <c r="Q178" s="469"/>
    </row>
    <row r="179" spans="1:17" x14ac:dyDescent="0.2">
      <c r="A179" s="269" t="s">
        <v>277</v>
      </c>
      <c r="B179" s="269" t="s">
        <v>277</v>
      </c>
      <c r="C179" s="269">
        <v>2019</v>
      </c>
      <c r="D179" s="269" t="s">
        <v>461</v>
      </c>
      <c r="E179" s="269" t="s">
        <v>391</v>
      </c>
      <c r="F179" s="269" t="s">
        <v>74</v>
      </c>
      <c r="G179" s="269" t="s">
        <v>459</v>
      </c>
      <c r="H179" s="269" t="s">
        <v>588</v>
      </c>
      <c r="I179" s="269" t="s">
        <v>589</v>
      </c>
      <c r="J179" s="269">
        <v>750</v>
      </c>
      <c r="K179" s="269" t="s">
        <v>584</v>
      </c>
      <c r="L179" s="269" t="s">
        <v>620</v>
      </c>
      <c r="M179" s="274">
        <v>1042</v>
      </c>
      <c r="N179" s="468">
        <f t="shared" si="2"/>
        <v>139</v>
      </c>
      <c r="O179" s="274">
        <v>167</v>
      </c>
      <c r="P179" s="553" t="s">
        <v>647</v>
      </c>
      <c r="Q179" s="469"/>
    </row>
    <row r="180" spans="1:17" ht="51" hidden="1" x14ac:dyDescent="0.2">
      <c r="A180" s="269" t="s">
        <v>277</v>
      </c>
      <c r="B180" s="269" t="s">
        <v>277</v>
      </c>
      <c r="C180" s="269">
        <v>2019</v>
      </c>
      <c r="D180" s="269" t="s">
        <v>329</v>
      </c>
      <c r="E180" s="269" t="s">
        <v>391</v>
      </c>
      <c r="F180" s="269" t="s">
        <v>74</v>
      </c>
      <c r="G180" s="269" t="s">
        <v>394</v>
      </c>
      <c r="H180" s="269" t="s">
        <v>42</v>
      </c>
      <c r="I180" s="269" t="s">
        <v>583</v>
      </c>
      <c r="J180" s="269">
        <v>5000</v>
      </c>
      <c r="K180" s="269" t="s">
        <v>584</v>
      </c>
      <c r="L180" s="269"/>
      <c r="M180" s="274">
        <v>4629</v>
      </c>
      <c r="N180" s="468">
        <f t="shared" si="2"/>
        <v>93</v>
      </c>
      <c r="O180" s="274">
        <v>41</v>
      </c>
      <c r="P180" s="553" t="s">
        <v>1722</v>
      </c>
      <c r="Q180" s="469" t="s">
        <v>1717</v>
      </c>
    </row>
    <row r="181" spans="1:17" hidden="1" x14ac:dyDescent="0.2">
      <c r="A181" s="269" t="s">
        <v>277</v>
      </c>
      <c r="B181" s="269" t="s">
        <v>277</v>
      </c>
      <c r="C181" s="269">
        <v>2019</v>
      </c>
      <c r="D181" s="269" t="s">
        <v>329</v>
      </c>
      <c r="E181" s="269" t="s">
        <v>391</v>
      </c>
      <c r="F181" s="269" t="s">
        <v>74</v>
      </c>
      <c r="G181" s="269" t="s">
        <v>394</v>
      </c>
      <c r="H181" s="269" t="s">
        <v>19</v>
      </c>
      <c r="I181" s="269" t="s">
        <v>583</v>
      </c>
      <c r="J181" s="269">
        <v>500</v>
      </c>
      <c r="K181" s="269" t="s">
        <v>584</v>
      </c>
      <c r="L181" s="269" t="s">
        <v>627</v>
      </c>
      <c r="M181" s="274">
        <v>950</v>
      </c>
      <c r="N181" s="468">
        <f t="shared" si="2"/>
        <v>190</v>
      </c>
      <c r="O181" s="274">
        <v>28</v>
      </c>
      <c r="P181" s="553" t="s">
        <v>1733</v>
      </c>
      <c r="Q181" s="469"/>
    </row>
    <row r="182" spans="1:17" hidden="1" x14ac:dyDescent="0.2">
      <c r="A182" s="269" t="s">
        <v>277</v>
      </c>
      <c r="B182" s="269" t="s">
        <v>277</v>
      </c>
      <c r="C182" s="269">
        <v>2019</v>
      </c>
      <c r="D182" s="269" t="s">
        <v>329</v>
      </c>
      <c r="E182" s="269" t="s">
        <v>391</v>
      </c>
      <c r="F182" s="269" t="s">
        <v>74</v>
      </c>
      <c r="G182" s="269" t="s">
        <v>394</v>
      </c>
      <c r="H182" s="269" t="s">
        <v>20</v>
      </c>
      <c r="I182" s="269" t="s">
        <v>583</v>
      </c>
      <c r="J182" s="269">
        <v>500</v>
      </c>
      <c r="K182" s="269" t="s">
        <v>584</v>
      </c>
      <c r="L182" s="269" t="s">
        <v>623</v>
      </c>
      <c r="M182" s="274">
        <v>950</v>
      </c>
      <c r="N182" s="468">
        <f t="shared" si="2"/>
        <v>190</v>
      </c>
      <c r="O182" s="274">
        <v>28</v>
      </c>
      <c r="P182" s="553" t="s">
        <v>1733</v>
      </c>
      <c r="Q182" s="469"/>
    </row>
    <row r="183" spans="1:17" hidden="1" x14ac:dyDescent="0.2">
      <c r="A183" s="269" t="s">
        <v>277</v>
      </c>
      <c r="B183" s="269" t="s">
        <v>277</v>
      </c>
      <c r="C183" s="269">
        <v>2019</v>
      </c>
      <c r="D183" s="269" t="s">
        <v>329</v>
      </c>
      <c r="E183" s="269" t="s">
        <v>391</v>
      </c>
      <c r="F183" s="269" t="s">
        <v>74</v>
      </c>
      <c r="G183" s="269" t="s">
        <v>394</v>
      </c>
      <c r="H183" s="269" t="s">
        <v>587</v>
      </c>
      <c r="I183" s="269" t="s">
        <v>583</v>
      </c>
      <c r="J183" s="269">
        <v>0</v>
      </c>
      <c r="K183" s="269" t="s">
        <v>584</v>
      </c>
      <c r="L183" s="269" t="s">
        <v>616</v>
      </c>
      <c r="M183" s="274">
        <v>730</v>
      </c>
      <c r="N183" s="468" t="s">
        <v>332</v>
      </c>
      <c r="O183" s="274">
        <v>23</v>
      </c>
      <c r="P183" s="553" t="s">
        <v>1726</v>
      </c>
      <c r="Q183" s="469"/>
    </row>
    <row r="184" spans="1:17" ht="25.5" hidden="1" x14ac:dyDescent="0.2">
      <c r="A184" s="269" t="s">
        <v>277</v>
      </c>
      <c r="B184" s="269" t="s">
        <v>277</v>
      </c>
      <c r="C184" s="269">
        <v>2019</v>
      </c>
      <c r="D184" s="269" t="s">
        <v>329</v>
      </c>
      <c r="E184" s="269" t="s">
        <v>391</v>
      </c>
      <c r="F184" s="269" t="s">
        <v>74</v>
      </c>
      <c r="G184" s="269" t="s">
        <v>394</v>
      </c>
      <c r="H184" s="269" t="s">
        <v>588</v>
      </c>
      <c r="I184" s="269" t="s">
        <v>583</v>
      </c>
      <c r="J184" s="269">
        <v>100</v>
      </c>
      <c r="K184" s="269" t="s">
        <v>584</v>
      </c>
      <c r="L184" s="269" t="s">
        <v>615</v>
      </c>
      <c r="M184" s="274">
        <v>57</v>
      </c>
      <c r="N184" s="468">
        <f t="shared" si="2"/>
        <v>57</v>
      </c>
      <c r="O184" s="274">
        <v>3</v>
      </c>
      <c r="P184" s="553" t="s">
        <v>1733</v>
      </c>
      <c r="Q184" s="469" t="s">
        <v>1738</v>
      </c>
    </row>
    <row r="185" spans="1:17" ht="25.5" hidden="1" x14ac:dyDescent="0.2">
      <c r="A185" s="269" t="s">
        <v>277</v>
      </c>
      <c r="B185" s="269" t="s">
        <v>277</v>
      </c>
      <c r="C185" s="269">
        <v>2019</v>
      </c>
      <c r="D185" s="269" t="s">
        <v>329</v>
      </c>
      <c r="E185" s="269" t="s">
        <v>391</v>
      </c>
      <c r="F185" s="269" t="s">
        <v>74</v>
      </c>
      <c r="G185" s="269" t="s">
        <v>394</v>
      </c>
      <c r="H185" s="269" t="s">
        <v>42</v>
      </c>
      <c r="I185" s="269" t="s">
        <v>589</v>
      </c>
      <c r="J185" s="269">
        <v>5000</v>
      </c>
      <c r="K185" s="269" t="s">
        <v>584</v>
      </c>
      <c r="L185" s="269" t="s">
        <v>620</v>
      </c>
      <c r="M185" s="274">
        <v>9420</v>
      </c>
      <c r="N185" s="468">
        <f t="shared" si="2"/>
        <v>188</v>
      </c>
      <c r="O185" s="274">
        <v>77</v>
      </c>
      <c r="P185" s="553" t="s">
        <v>647</v>
      </c>
      <c r="Q185" s="624" t="s">
        <v>1901</v>
      </c>
    </row>
    <row r="186" spans="1:17" ht="25.5" x14ac:dyDescent="0.2">
      <c r="A186" s="269" t="s">
        <v>277</v>
      </c>
      <c r="B186" s="269" t="s">
        <v>277</v>
      </c>
      <c r="C186" s="269">
        <v>2019</v>
      </c>
      <c r="D186" s="269" t="s">
        <v>329</v>
      </c>
      <c r="E186" s="269" t="s">
        <v>391</v>
      </c>
      <c r="F186" s="269" t="s">
        <v>74</v>
      </c>
      <c r="G186" s="269" t="s">
        <v>394</v>
      </c>
      <c r="H186" s="269" t="s">
        <v>19</v>
      </c>
      <c r="I186" s="269" t="s">
        <v>589</v>
      </c>
      <c r="J186" s="269">
        <v>500</v>
      </c>
      <c r="K186" s="269" t="s">
        <v>584</v>
      </c>
      <c r="L186" s="269" t="s">
        <v>620</v>
      </c>
      <c r="M186" s="274">
        <v>1051</v>
      </c>
      <c r="N186" s="468">
        <f t="shared" si="2"/>
        <v>210</v>
      </c>
      <c r="O186" s="274">
        <v>77</v>
      </c>
      <c r="P186" s="553" t="s">
        <v>647</v>
      </c>
      <c r="Q186" s="624" t="s">
        <v>1901</v>
      </c>
    </row>
    <row r="187" spans="1:17" ht="25.5" x14ac:dyDescent="0.2">
      <c r="A187" s="269" t="s">
        <v>277</v>
      </c>
      <c r="B187" s="269" t="s">
        <v>277</v>
      </c>
      <c r="C187" s="269">
        <v>2019</v>
      </c>
      <c r="D187" s="269" t="s">
        <v>329</v>
      </c>
      <c r="E187" s="269" t="s">
        <v>391</v>
      </c>
      <c r="F187" s="269" t="s">
        <v>74</v>
      </c>
      <c r="G187" s="269" t="s">
        <v>394</v>
      </c>
      <c r="H187" s="269" t="s">
        <v>20</v>
      </c>
      <c r="I187" s="269" t="s">
        <v>589</v>
      </c>
      <c r="J187" s="269">
        <v>500</v>
      </c>
      <c r="K187" s="269" t="s">
        <v>584</v>
      </c>
      <c r="L187" s="269" t="s">
        <v>620</v>
      </c>
      <c r="M187" s="274">
        <v>1051</v>
      </c>
      <c r="N187" s="468">
        <f t="shared" si="2"/>
        <v>210</v>
      </c>
      <c r="O187" s="274">
        <v>77</v>
      </c>
      <c r="P187" s="553" t="s">
        <v>647</v>
      </c>
      <c r="Q187" s="624" t="s">
        <v>1901</v>
      </c>
    </row>
    <row r="188" spans="1:17" ht="25.5" x14ac:dyDescent="0.2">
      <c r="A188" s="269" t="s">
        <v>277</v>
      </c>
      <c r="B188" s="269" t="s">
        <v>277</v>
      </c>
      <c r="C188" s="269">
        <v>2019</v>
      </c>
      <c r="D188" s="269" t="s">
        <v>329</v>
      </c>
      <c r="E188" s="269" t="s">
        <v>391</v>
      </c>
      <c r="F188" s="269" t="s">
        <v>74</v>
      </c>
      <c r="G188" s="269" t="s">
        <v>394</v>
      </c>
      <c r="H188" s="269" t="s">
        <v>587</v>
      </c>
      <c r="I188" s="269" t="s">
        <v>589</v>
      </c>
      <c r="J188" s="269">
        <v>500</v>
      </c>
      <c r="K188" s="269" t="s">
        <v>584</v>
      </c>
      <c r="L188" s="269" t="s">
        <v>628</v>
      </c>
      <c r="M188" s="274">
        <v>1051</v>
      </c>
      <c r="N188" s="468">
        <f t="shared" si="2"/>
        <v>210</v>
      </c>
      <c r="O188" s="274">
        <v>77</v>
      </c>
      <c r="P188" s="553" t="s">
        <v>647</v>
      </c>
      <c r="Q188" s="624" t="s">
        <v>1901</v>
      </c>
    </row>
    <row r="189" spans="1:17" ht="25.5" x14ac:dyDescent="0.2">
      <c r="A189" s="269" t="s">
        <v>277</v>
      </c>
      <c r="B189" s="269" t="s">
        <v>277</v>
      </c>
      <c r="C189" s="269">
        <v>2019</v>
      </c>
      <c r="D189" s="269" t="s">
        <v>329</v>
      </c>
      <c r="E189" s="269" t="s">
        <v>391</v>
      </c>
      <c r="F189" s="269" t="s">
        <v>74</v>
      </c>
      <c r="G189" s="269" t="s">
        <v>394</v>
      </c>
      <c r="H189" s="269" t="s">
        <v>588</v>
      </c>
      <c r="I189" s="269" t="s">
        <v>589</v>
      </c>
      <c r="J189" s="269">
        <v>500</v>
      </c>
      <c r="K189" s="269" t="s">
        <v>584</v>
      </c>
      <c r="L189" s="269" t="s">
        <v>628</v>
      </c>
      <c r="M189" s="274">
        <v>1051</v>
      </c>
      <c r="N189" s="468">
        <f t="shared" si="2"/>
        <v>210</v>
      </c>
      <c r="O189" s="274">
        <v>77</v>
      </c>
      <c r="P189" s="553" t="s">
        <v>647</v>
      </c>
      <c r="Q189" s="624" t="s">
        <v>1901</v>
      </c>
    </row>
    <row r="190" spans="1:17" ht="25.5" hidden="1" x14ac:dyDescent="0.2">
      <c r="A190" s="269" t="s">
        <v>277</v>
      </c>
      <c r="B190" s="269" t="s">
        <v>277</v>
      </c>
      <c r="C190" s="269">
        <v>2019</v>
      </c>
      <c r="D190" s="269" t="s">
        <v>329</v>
      </c>
      <c r="E190" s="269" t="s">
        <v>391</v>
      </c>
      <c r="F190" s="269" t="s">
        <v>74</v>
      </c>
      <c r="G190" s="269" t="s">
        <v>440</v>
      </c>
      <c r="H190" s="269" t="s">
        <v>42</v>
      </c>
      <c r="I190" s="269" t="s">
        <v>583</v>
      </c>
      <c r="J190" s="269">
        <v>2500</v>
      </c>
      <c r="K190" s="269" t="s">
        <v>584</v>
      </c>
      <c r="L190" s="269"/>
      <c r="M190" s="274">
        <v>9067</v>
      </c>
      <c r="N190" s="468">
        <f t="shared" si="2"/>
        <v>363</v>
      </c>
      <c r="O190" s="274">
        <v>52</v>
      </c>
      <c r="P190" s="553" t="s">
        <v>1722</v>
      </c>
      <c r="Q190" s="624" t="s">
        <v>1901</v>
      </c>
    </row>
    <row r="191" spans="1:17" ht="25.5" hidden="1" x14ac:dyDescent="0.2">
      <c r="A191" s="269" t="s">
        <v>277</v>
      </c>
      <c r="B191" s="269" t="s">
        <v>277</v>
      </c>
      <c r="C191" s="269">
        <v>2019</v>
      </c>
      <c r="D191" s="269" t="s">
        <v>329</v>
      </c>
      <c r="E191" s="269" t="s">
        <v>391</v>
      </c>
      <c r="F191" s="269" t="s">
        <v>74</v>
      </c>
      <c r="G191" s="269" t="s">
        <v>440</v>
      </c>
      <c r="H191" s="269" t="s">
        <v>19</v>
      </c>
      <c r="I191" s="269" t="s">
        <v>583</v>
      </c>
      <c r="J191" s="269">
        <v>200</v>
      </c>
      <c r="K191" s="269" t="s">
        <v>584</v>
      </c>
      <c r="L191" s="269" t="s">
        <v>615</v>
      </c>
      <c r="M191" s="274">
        <v>872</v>
      </c>
      <c r="N191" s="468">
        <f t="shared" si="2"/>
        <v>436</v>
      </c>
      <c r="O191" s="274">
        <v>14</v>
      </c>
      <c r="P191" s="553" t="s">
        <v>1733</v>
      </c>
      <c r="Q191" s="624" t="s">
        <v>1901</v>
      </c>
    </row>
    <row r="192" spans="1:17" ht="25.5" hidden="1" x14ac:dyDescent="0.2">
      <c r="A192" s="269" t="s">
        <v>277</v>
      </c>
      <c r="B192" s="269" t="s">
        <v>277</v>
      </c>
      <c r="C192" s="269">
        <v>2019</v>
      </c>
      <c r="D192" s="269" t="s">
        <v>329</v>
      </c>
      <c r="E192" s="269" t="s">
        <v>391</v>
      </c>
      <c r="F192" s="269" t="s">
        <v>74</v>
      </c>
      <c r="G192" s="269" t="s">
        <v>440</v>
      </c>
      <c r="H192" s="269" t="s">
        <v>20</v>
      </c>
      <c r="I192" s="269" t="s">
        <v>583</v>
      </c>
      <c r="J192" s="269">
        <v>200</v>
      </c>
      <c r="K192" s="269" t="s">
        <v>584</v>
      </c>
      <c r="L192" s="269" t="s">
        <v>615</v>
      </c>
      <c r="M192" s="274">
        <v>872</v>
      </c>
      <c r="N192" s="468">
        <f t="shared" si="2"/>
        <v>436</v>
      </c>
      <c r="O192" s="274">
        <v>14</v>
      </c>
      <c r="P192" s="553" t="s">
        <v>1733</v>
      </c>
      <c r="Q192" s="624" t="s">
        <v>1901</v>
      </c>
    </row>
    <row r="193" spans="1:17" hidden="1" x14ac:dyDescent="0.2">
      <c r="A193" s="269" t="s">
        <v>277</v>
      </c>
      <c r="B193" s="269" t="s">
        <v>277</v>
      </c>
      <c r="C193" s="269">
        <v>2019</v>
      </c>
      <c r="D193" s="269" t="s">
        <v>329</v>
      </c>
      <c r="E193" s="269" t="s">
        <v>391</v>
      </c>
      <c r="F193" s="269" t="s">
        <v>74</v>
      </c>
      <c r="G193" s="269" t="s">
        <v>440</v>
      </c>
      <c r="H193" s="269" t="s">
        <v>587</v>
      </c>
      <c r="I193" s="269" t="s">
        <v>583</v>
      </c>
      <c r="J193" s="269">
        <v>0</v>
      </c>
      <c r="K193" s="269" t="s">
        <v>584</v>
      </c>
      <c r="L193" s="269" t="s">
        <v>592</v>
      </c>
      <c r="M193" s="274">
        <v>748</v>
      </c>
      <c r="N193" s="468" t="s">
        <v>332</v>
      </c>
      <c r="O193" s="274">
        <v>12</v>
      </c>
      <c r="P193" s="553" t="s">
        <v>1726</v>
      </c>
      <c r="Q193" s="469"/>
    </row>
    <row r="194" spans="1:17" hidden="1" x14ac:dyDescent="0.2">
      <c r="A194" s="269" t="s">
        <v>277</v>
      </c>
      <c r="B194" s="269" t="s">
        <v>277</v>
      </c>
      <c r="C194" s="269">
        <v>2019</v>
      </c>
      <c r="D194" s="269" t="s">
        <v>329</v>
      </c>
      <c r="E194" s="269" t="s">
        <v>391</v>
      </c>
      <c r="F194" s="269" t="s">
        <v>74</v>
      </c>
      <c r="G194" s="269" t="s">
        <v>440</v>
      </c>
      <c r="H194" s="269" t="s">
        <v>588</v>
      </c>
      <c r="I194" s="269" t="s">
        <v>583</v>
      </c>
      <c r="J194" s="269">
        <v>0</v>
      </c>
      <c r="K194" s="269" t="s">
        <v>584</v>
      </c>
      <c r="L194" s="269" t="s">
        <v>592</v>
      </c>
      <c r="M194" s="274">
        <v>64</v>
      </c>
      <c r="N194" s="468" t="s">
        <v>332</v>
      </c>
      <c r="O194" s="274">
        <v>2</v>
      </c>
      <c r="P194" s="553" t="s">
        <v>1726</v>
      </c>
      <c r="Q194" s="469"/>
    </row>
    <row r="195" spans="1:17" hidden="1" x14ac:dyDescent="0.2">
      <c r="A195" s="269" t="s">
        <v>277</v>
      </c>
      <c r="B195" s="269" t="s">
        <v>277</v>
      </c>
      <c r="C195" s="269">
        <v>2019</v>
      </c>
      <c r="D195" s="269" t="s">
        <v>329</v>
      </c>
      <c r="E195" s="269" t="s">
        <v>391</v>
      </c>
      <c r="F195" s="269" t="s">
        <v>74</v>
      </c>
      <c r="G195" s="269" t="s">
        <v>440</v>
      </c>
      <c r="H195" s="269" t="s">
        <v>42</v>
      </c>
      <c r="I195" s="269" t="s">
        <v>589</v>
      </c>
      <c r="J195" s="269">
        <v>0</v>
      </c>
      <c r="K195" s="269" t="s">
        <v>584</v>
      </c>
      <c r="L195" s="269" t="s">
        <v>592</v>
      </c>
      <c r="M195" s="274">
        <v>0</v>
      </c>
      <c r="N195" s="468" t="s">
        <v>332</v>
      </c>
      <c r="O195" s="274">
        <v>0</v>
      </c>
      <c r="P195" s="553" t="s">
        <v>1726</v>
      </c>
      <c r="Q195" s="469"/>
    </row>
    <row r="196" spans="1:17" x14ac:dyDescent="0.2">
      <c r="A196" s="269" t="s">
        <v>277</v>
      </c>
      <c r="B196" s="269" t="s">
        <v>277</v>
      </c>
      <c r="C196" s="269">
        <v>2019</v>
      </c>
      <c r="D196" s="269" t="s">
        <v>329</v>
      </c>
      <c r="E196" s="269" t="s">
        <v>391</v>
      </c>
      <c r="F196" s="269" t="s">
        <v>74</v>
      </c>
      <c r="G196" s="269" t="s">
        <v>440</v>
      </c>
      <c r="H196" s="269" t="s">
        <v>19</v>
      </c>
      <c r="I196" s="269" t="s">
        <v>589</v>
      </c>
      <c r="J196" s="269">
        <v>0</v>
      </c>
      <c r="K196" s="269" t="s">
        <v>584</v>
      </c>
      <c r="L196" s="269" t="s">
        <v>592</v>
      </c>
      <c r="M196" s="274">
        <v>0</v>
      </c>
      <c r="N196" s="468" t="s">
        <v>332</v>
      </c>
      <c r="O196" s="274">
        <v>0</v>
      </c>
      <c r="P196" s="553" t="s">
        <v>1726</v>
      </c>
      <c r="Q196" s="469"/>
    </row>
    <row r="197" spans="1:17" x14ac:dyDescent="0.2">
      <c r="A197" s="269" t="s">
        <v>277</v>
      </c>
      <c r="B197" s="269" t="s">
        <v>277</v>
      </c>
      <c r="C197" s="269">
        <v>2019</v>
      </c>
      <c r="D197" s="269" t="s">
        <v>329</v>
      </c>
      <c r="E197" s="269" t="s">
        <v>391</v>
      </c>
      <c r="F197" s="269" t="s">
        <v>74</v>
      </c>
      <c r="G197" s="269" t="s">
        <v>440</v>
      </c>
      <c r="H197" s="269" t="s">
        <v>20</v>
      </c>
      <c r="I197" s="269" t="s">
        <v>589</v>
      </c>
      <c r="J197" s="269">
        <v>0</v>
      </c>
      <c r="K197" s="269" t="s">
        <v>584</v>
      </c>
      <c r="L197" s="269" t="s">
        <v>592</v>
      </c>
      <c r="M197" s="274">
        <v>0</v>
      </c>
      <c r="N197" s="468" t="s">
        <v>332</v>
      </c>
      <c r="O197" s="274">
        <v>0</v>
      </c>
      <c r="P197" s="553" t="s">
        <v>1726</v>
      </c>
      <c r="Q197" s="469"/>
    </row>
    <row r="198" spans="1:17" x14ac:dyDescent="0.2">
      <c r="A198" s="269" t="s">
        <v>277</v>
      </c>
      <c r="B198" s="269" t="s">
        <v>277</v>
      </c>
      <c r="C198" s="269">
        <v>2019</v>
      </c>
      <c r="D198" s="269" t="s">
        <v>329</v>
      </c>
      <c r="E198" s="269" t="s">
        <v>391</v>
      </c>
      <c r="F198" s="269" t="s">
        <v>74</v>
      </c>
      <c r="G198" s="269" t="s">
        <v>440</v>
      </c>
      <c r="H198" s="269" t="s">
        <v>587</v>
      </c>
      <c r="I198" s="269" t="s">
        <v>589</v>
      </c>
      <c r="J198" s="269">
        <v>0</v>
      </c>
      <c r="K198" s="269" t="s">
        <v>584</v>
      </c>
      <c r="L198" s="269" t="s">
        <v>592</v>
      </c>
      <c r="M198" s="274">
        <v>0</v>
      </c>
      <c r="N198" s="468" t="s">
        <v>332</v>
      </c>
      <c r="O198" s="274">
        <v>0</v>
      </c>
      <c r="P198" s="553" t="s">
        <v>1726</v>
      </c>
      <c r="Q198" s="469"/>
    </row>
    <row r="199" spans="1:17" x14ac:dyDescent="0.2">
      <c r="A199" s="269" t="s">
        <v>277</v>
      </c>
      <c r="B199" s="269" t="s">
        <v>277</v>
      </c>
      <c r="C199" s="269">
        <v>2019</v>
      </c>
      <c r="D199" s="269" t="s">
        <v>329</v>
      </c>
      <c r="E199" s="269" t="s">
        <v>391</v>
      </c>
      <c r="F199" s="269" t="s">
        <v>74</v>
      </c>
      <c r="G199" s="269" t="s">
        <v>440</v>
      </c>
      <c r="H199" s="269" t="s">
        <v>588</v>
      </c>
      <c r="I199" s="269" t="s">
        <v>589</v>
      </c>
      <c r="J199" s="269">
        <v>0</v>
      </c>
      <c r="K199" s="269" t="s">
        <v>584</v>
      </c>
      <c r="L199" s="269" t="s">
        <v>592</v>
      </c>
      <c r="M199" s="274">
        <v>0</v>
      </c>
      <c r="N199" s="468" t="s">
        <v>332</v>
      </c>
      <c r="O199" s="274">
        <v>0</v>
      </c>
      <c r="P199" s="553" t="s">
        <v>1726</v>
      </c>
      <c r="Q199" s="469"/>
    </row>
    <row r="200" spans="1:17" ht="25.5" hidden="1" x14ac:dyDescent="0.2">
      <c r="A200" s="269" t="s">
        <v>277</v>
      </c>
      <c r="B200" s="269" t="s">
        <v>277</v>
      </c>
      <c r="C200" s="269">
        <v>2019</v>
      </c>
      <c r="D200" s="269" t="s">
        <v>329</v>
      </c>
      <c r="E200" s="269" t="s">
        <v>391</v>
      </c>
      <c r="F200" s="269" t="s">
        <v>74</v>
      </c>
      <c r="G200" s="269" t="s">
        <v>415</v>
      </c>
      <c r="H200" s="269" t="s">
        <v>42</v>
      </c>
      <c r="I200" s="269" t="s">
        <v>583</v>
      </c>
      <c r="J200" s="269">
        <v>2000</v>
      </c>
      <c r="K200" s="269" t="s">
        <v>584</v>
      </c>
      <c r="L200" s="269"/>
      <c r="M200" s="274">
        <v>4751</v>
      </c>
      <c r="N200" s="468">
        <f t="shared" ref="N200:N263" si="3">ROUND(100*M200/J200,0)</f>
        <v>238</v>
      </c>
      <c r="O200" s="274">
        <v>59</v>
      </c>
      <c r="P200" s="553" t="s">
        <v>1722</v>
      </c>
      <c r="Q200" s="624" t="s">
        <v>1901</v>
      </c>
    </row>
    <row r="201" spans="1:17" hidden="1" x14ac:dyDescent="0.2">
      <c r="A201" s="269" t="s">
        <v>277</v>
      </c>
      <c r="B201" s="269" t="s">
        <v>277</v>
      </c>
      <c r="C201" s="269">
        <v>2019</v>
      </c>
      <c r="D201" s="269" t="s">
        <v>329</v>
      </c>
      <c r="E201" s="269" t="s">
        <v>391</v>
      </c>
      <c r="F201" s="269" t="s">
        <v>74</v>
      </c>
      <c r="G201" s="269" t="s">
        <v>415</v>
      </c>
      <c r="H201" s="269" t="s">
        <v>19</v>
      </c>
      <c r="I201" s="269" t="s">
        <v>583</v>
      </c>
      <c r="J201" s="269">
        <v>300</v>
      </c>
      <c r="K201" s="269" t="s">
        <v>584</v>
      </c>
      <c r="L201" s="269" t="s">
        <v>615</v>
      </c>
      <c r="M201" s="274">
        <v>379</v>
      </c>
      <c r="N201" s="468">
        <f t="shared" si="3"/>
        <v>126</v>
      </c>
      <c r="O201" s="274">
        <v>21</v>
      </c>
      <c r="P201" s="553" t="s">
        <v>1733</v>
      </c>
      <c r="Q201" s="469"/>
    </row>
    <row r="202" spans="1:17" hidden="1" x14ac:dyDescent="0.2">
      <c r="A202" s="269" t="s">
        <v>277</v>
      </c>
      <c r="B202" s="269" t="s">
        <v>277</v>
      </c>
      <c r="C202" s="269">
        <v>2019</v>
      </c>
      <c r="D202" s="269" t="s">
        <v>329</v>
      </c>
      <c r="E202" s="269" t="s">
        <v>391</v>
      </c>
      <c r="F202" s="269" t="s">
        <v>74</v>
      </c>
      <c r="G202" s="269" t="s">
        <v>415</v>
      </c>
      <c r="H202" s="269" t="s">
        <v>20</v>
      </c>
      <c r="I202" s="269" t="s">
        <v>583</v>
      </c>
      <c r="J202" s="269">
        <v>300</v>
      </c>
      <c r="K202" s="269" t="s">
        <v>584</v>
      </c>
      <c r="L202" s="269" t="s">
        <v>615</v>
      </c>
      <c r="M202" s="274">
        <v>379</v>
      </c>
      <c r="N202" s="468">
        <f t="shared" si="3"/>
        <v>126</v>
      </c>
      <c r="O202" s="274">
        <v>21</v>
      </c>
      <c r="P202" s="553" t="s">
        <v>1733</v>
      </c>
      <c r="Q202" s="469"/>
    </row>
    <row r="203" spans="1:17" ht="25.5" hidden="1" x14ac:dyDescent="0.2">
      <c r="A203" s="269" t="s">
        <v>277</v>
      </c>
      <c r="B203" s="269" t="s">
        <v>277</v>
      </c>
      <c r="C203" s="269">
        <v>2019</v>
      </c>
      <c r="D203" s="269" t="s">
        <v>329</v>
      </c>
      <c r="E203" s="269" t="s">
        <v>391</v>
      </c>
      <c r="F203" s="269" t="s">
        <v>74</v>
      </c>
      <c r="G203" s="269" t="s">
        <v>415</v>
      </c>
      <c r="H203" s="269" t="s">
        <v>587</v>
      </c>
      <c r="I203" s="269" t="s">
        <v>583</v>
      </c>
      <c r="J203" s="269">
        <v>100</v>
      </c>
      <c r="K203" s="269" t="s">
        <v>584</v>
      </c>
      <c r="L203" s="269" t="s">
        <v>615</v>
      </c>
      <c r="M203" s="274">
        <v>202</v>
      </c>
      <c r="N203" s="468">
        <f t="shared" si="3"/>
        <v>202</v>
      </c>
      <c r="O203" s="274">
        <v>16</v>
      </c>
      <c r="P203" s="553" t="s">
        <v>1733</v>
      </c>
      <c r="Q203" s="624" t="s">
        <v>1901</v>
      </c>
    </row>
    <row r="204" spans="1:17" ht="25.5" hidden="1" x14ac:dyDescent="0.2">
      <c r="A204" s="269" t="s">
        <v>277</v>
      </c>
      <c r="B204" s="269" t="s">
        <v>277</v>
      </c>
      <c r="C204" s="269">
        <v>2019</v>
      </c>
      <c r="D204" s="269" t="s">
        <v>329</v>
      </c>
      <c r="E204" s="269" t="s">
        <v>391</v>
      </c>
      <c r="F204" s="269" t="s">
        <v>74</v>
      </c>
      <c r="G204" s="269" t="s">
        <v>415</v>
      </c>
      <c r="H204" s="269" t="s">
        <v>588</v>
      </c>
      <c r="I204" s="269" t="s">
        <v>583</v>
      </c>
      <c r="J204" s="269">
        <v>50</v>
      </c>
      <c r="K204" s="269" t="s">
        <v>584</v>
      </c>
      <c r="L204" s="269" t="s">
        <v>615</v>
      </c>
      <c r="M204" s="274">
        <v>0</v>
      </c>
      <c r="N204" s="468">
        <f t="shared" si="3"/>
        <v>0</v>
      </c>
      <c r="O204" s="274">
        <v>0</v>
      </c>
      <c r="P204" s="553" t="s">
        <v>1733</v>
      </c>
      <c r="Q204" s="469" t="s">
        <v>1738</v>
      </c>
    </row>
    <row r="205" spans="1:17" hidden="1" x14ac:dyDescent="0.2">
      <c r="A205" s="269" t="s">
        <v>277</v>
      </c>
      <c r="B205" s="269" t="s">
        <v>277</v>
      </c>
      <c r="C205" s="269">
        <v>2019</v>
      </c>
      <c r="D205" s="269" t="s">
        <v>329</v>
      </c>
      <c r="E205" s="269" t="s">
        <v>391</v>
      </c>
      <c r="F205" s="269" t="s">
        <v>74</v>
      </c>
      <c r="G205" s="269" t="s">
        <v>415</v>
      </c>
      <c r="H205" s="269" t="s">
        <v>42</v>
      </c>
      <c r="I205" s="269" t="s">
        <v>589</v>
      </c>
      <c r="J205" s="269">
        <v>0</v>
      </c>
      <c r="K205" s="269" t="s">
        <v>584</v>
      </c>
      <c r="L205" s="269" t="s">
        <v>592</v>
      </c>
      <c r="M205" s="274">
        <v>0</v>
      </c>
      <c r="N205" s="468" t="s">
        <v>332</v>
      </c>
      <c r="O205" s="274">
        <v>0</v>
      </c>
      <c r="P205" s="553" t="s">
        <v>1726</v>
      </c>
      <c r="Q205" s="469"/>
    </row>
    <row r="206" spans="1:17" x14ac:dyDescent="0.2">
      <c r="A206" s="269" t="s">
        <v>277</v>
      </c>
      <c r="B206" s="269" t="s">
        <v>277</v>
      </c>
      <c r="C206" s="269">
        <v>2019</v>
      </c>
      <c r="D206" s="269" t="s">
        <v>329</v>
      </c>
      <c r="E206" s="269" t="s">
        <v>391</v>
      </c>
      <c r="F206" s="269" t="s">
        <v>74</v>
      </c>
      <c r="G206" s="269" t="s">
        <v>415</v>
      </c>
      <c r="H206" s="269" t="s">
        <v>19</v>
      </c>
      <c r="I206" s="269" t="s">
        <v>589</v>
      </c>
      <c r="J206" s="269">
        <v>0</v>
      </c>
      <c r="K206" s="269" t="s">
        <v>584</v>
      </c>
      <c r="L206" s="269" t="s">
        <v>592</v>
      </c>
      <c r="M206" s="274">
        <v>0</v>
      </c>
      <c r="N206" s="468" t="s">
        <v>332</v>
      </c>
      <c r="O206" s="274">
        <v>0</v>
      </c>
      <c r="P206" s="553" t="s">
        <v>1726</v>
      </c>
      <c r="Q206" s="469"/>
    </row>
    <row r="207" spans="1:17" x14ac:dyDescent="0.2">
      <c r="A207" s="269" t="s">
        <v>277</v>
      </c>
      <c r="B207" s="269" t="s">
        <v>277</v>
      </c>
      <c r="C207" s="269">
        <v>2019</v>
      </c>
      <c r="D207" s="269" t="s">
        <v>329</v>
      </c>
      <c r="E207" s="269" t="s">
        <v>391</v>
      </c>
      <c r="F207" s="269" t="s">
        <v>74</v>
      </c>
      <c r="G207" s="269" t="s">
        <v>415</v>
      </c>
      <c r="H207" s="269" t="s">
        <v>20</v>
      </c>
      <c r="I207" s="269" t="s">
        <v>589</v>
      </c>
      <c r="J207" s="269">
        <v>0</v>
      </c>
      <c r="K207" s="269" t="s">
        <v>584</v>
      </c>
      <c r="L207" s="269" t="s">
        <v>592</v>
      </c>
      <c r="M207" s="274">
        <v>0</v>
      </c>
      <c r="N207" s="468" t="s">
        <v>332</v>
      </c>
      <c r="O207" s="274">
        <v>0</v>
      </c>
      <c r="P207" s="553" t="s">
        <v>1726</v>
      </c>
      <c r="Q207" s="469"/>
    </row>
    <row r="208" spans="1:17" x14ac:dyDescent="0.2">
      <c r="A208" s="269" t="s">
        <v>277</v>
      </c>
      <c r="B208" s="269" t="s">
        <v>277</v>
      </c>
      <c r="C208" s="269">
        <v>2019</v>
      </c>
      <c r="D208" s="269" t="s">
        <v>329</v>
      </c>
      <c r="E208" s="269" t="s">
        <v>391</v>
      </c>
      <c r="F208" s="269" t="s">
        <v>74</v>
      </c>
      <c r="G208" s="269" t="s">
        <v>415</v>
      </c>
      <c r="H208" s="269" t="s">
        <v>587</v>
      </c>
      <c r="I208" s="269" t="s">
        <v>589</v>
      </c>
      <c r="J208" s="269">
        <v>0</v>
      </c>
      <c r="K208" s="269" t="s">
        <v>584</v>
      </c>
      <c r="L208" s="269" t="s">
        <v>592</v>
      </c>
      <c r="M208" s="274">
        <v>0</v>
      </c>
      <c r="N208" s="468" t="s">
        <v>332</v>
      </c>
      <c r="O208" s="274">
        <v>0</v>
      </c>
      <c r="P208" s="553" t="s">
        <v>1726</v>
      </c>
      <c r="Q208" s="469"/>
    </row>
    <row r="209" spans="1:17" x14ac:dyDescent="0.2">
      <c r="A209" s="269" t="s">
        <v>277</v>
      </c>
      <c r="B209" s="269" t="s">
        <v>277</v>
      </c>
      <c r="C209" s="269">
        <v>2019</v>
      </c>
      <c r="D209" s="269" t="s">
        <v>329</v>
      </c>
      <c r="E209" s="269" t="s">
        <v>391</v>
      </c>
      <c r="F209" s="269" t="s">
        <v>74</v>
      </c>
      <c r="G209" s="269" t="s">
        <v>415</v>
      </c>
      <c r="H209" s="269" t="s">
        <v>588</v>
      </c>
      <c r="I209" s="269" t="s">
        <v>589</v>
      </c>
      <c r="J209" s="269">
        <v>0</v>
      </c>
      <c r="K209" s="269" t="s">
        <v>584</v>
      </c>
      <c r="L209" s="269" t="s">
        <v>592</v>
      </c>
      <c r="M209" s="274">
        <v>0</v>
      </c>
      <c r="N209" s="468" t="s">
        <v>332</v>
      </c>
      <c r="O209" s="274">
        <v>0</v>
      </c>
      <c r="P209" s="553" t="s">
        <v>1726</v>
      </c>
      <c r="Q209" s="469"/>
    </row>
    <row r="210" spans="1:17" ht="25.5" hidden="1" x14ac:dyDescent="0.2">
      <c r="A210" s="269" t="s">
        <v>277</v>
      </c>
      <c r="B210" s="269" t="s">
        <v>277</v>
      </c>
      <c r="C210" s="269">
        <v>2019</v>
      </c>
      <c r="D210" s="269" t="s">
        <v>329</v>
      </c>
      <c r="E210" s="269" t="s">
        <v>391</v>
      </c>
      <c r="F210" s="269" t="s">
        <v>74</v>
      </c>
      <c r="G210" s="269" t="s">
        <v>464</v>
      </c>
      <c r="H210" s="269" t="s">
        <v>42</v>
      </c>
      <c r="I210" s="269" t="s">
        <v>583</v>
      </c>
      <c r="J210" s="269">
        <v>5000</v>
      </c>
      <c r="K210" s="269" t="s">
        <v>584</v>
      </c>
      <c r="L210" s="269"/>
      <c r="M210" s="274">
        <v>16322</v>
      </c>
      <c r="N210" s="468">
        <f t="shared" si="3"/>
        <v>326</v>
      </c>
      <c r="O210" s="274">
        <v>351</v>
      </c>
      <c r="P210" s="553" t="s">
        <v>1722</v>
      </c>
      <c r="Q210" s="624" t="s">
        <v>1901</v>
      </c>
    </row>
    <row r="211" spans="1:17" ht="25.5" hidden="1" x14ac:dyDescent="0.2">
      <c r="A211" s="269" t="s">
        <v>277</v>
      </c>
      <c r="B211" s="269" t="s">
        <v>277</v>
      </c>
      <c r="C211" s="269">
        <v>2019</v>
      </c>
      <c r="D211" s="269" t="s">
        <v>329</v>
      </c>
      <c r="E211" s="269" t="s">
        <v>391</v>
      </c>
      <c r="F211" s="269" t="s">
        <v>74</v>
      </c>
      <c r="G211" s="269" t="s">
        <v>464</v>
      </c>
      <c r="H211" s="269" t="s">
        <v>19</v>
      </c>
      <c r="I211" s="269" t="s">
        <v>583</v>
      </c>
      <c r="J211" s="269">
        <v>1000</v>
      </c>
      <c r="K211" s="269" t="s">
        <v>584</v>
      </c>
      <c r="L211" s="269" t="s">
        <v>615</v>
      </c>
      <c r="M211" s="274">
        <v>2080</v>
      </c>
      <c r="N211" s="468">
        <f t="shared" si="3"/>
        <v>208</v>
      </c>
      <c r="O211" s="274">
        <v>107</v>
      </c>
      <c r="P211" s="553" t="s">
        <v>1733</v>
      </c>
      <c r="Q211" s="624" t="s">
        <v>1901</v>
      </c>
    </row>
    <row r="212" spans="1:17" ht="25.5" hidden="1" x14ac:dyDescent="0.2">
      <c r="A212" s="269" t="s">
        <v>277</v>
      </c>
      <c r="B212" s="269" t="s">
        <v>277</v>
      </c>
      <c r="C212" s="269">
        <v>2019</v>
      </c>
      <c r="D212" s="269" t="s">
        <v>329</v>
      </c>
      <c r="E212" s="269" t="s">
        <v>391</v>
      </c>
      <c r="F212" s="269" t="s">
        <v>74</v>
      </c>
      <c r="G212" s="269" t="s">
        <v>464</v>
      </c>
      <c r="H212" s="269" t="s">
        <v>20</v>
      </c>
      <c r="I212" s="269" t="s">
        <v>583</v>
      </c>
      <c r="J212" s="269">
        <v>1000</v>
      </c>
      <c r="K212" s="269" t="s">
        <v>584</v>
      </c>
      <c r="L212" s="269" t="s">
        <v>615</v>
      </c>
      <c r="M212" s="274">
        <v>2080</v>
      </c>
      <c r="N212" s="468">
        <f t="shared" si="3"/>
        <v>208</v>
      </c>
      <c r="O212" s="274">
        <v>107</v>
      </c>
      <c r="P212" s="553" t="s">
        <v>1733</v>
      </c>
      <c r="Q212" s="624" t="s">
        <v>1901</v>
      </c>
    </row>
    <row r="213" spans="1:17" hidden="1" x14ac:dyDescent="0.2">
      <c r="A213" s="269" t="s">
        <v>277</v>
      </c>
      <c r="B213" s="269" t="s">
        <v>277</v>
      </c>
      <c r="C213" s="269">
        <v>2019</v>
      </c>
      <c r="D213" s="269" t="s">
        <v>329</v>
      </c>
      <c r="E213" s="269" t="s">
        <v>391</v>
      </c>
      <c r="F213" s="269" t="s">
        <v>74</v>
      </c>
      <c r="G213" s="269" t="s">
        <v>464</v>
      </c>
      <c r="H213" s="269" t="s">
        <v>587</v>
      </c>
      <c r="I213" s="269" t="s">
        <v>583</v>
      </c>
      <c r="J213" s="269">
        <v>0</v>
      </c>
      <c r="K213" s="269" t="s">
        <v>584</v>
      </c>
      <c r="L213" s="269" t="s">
        <v>616</v>
      </c>
      <c r="M213" s="274">
        <v>1830</v>
      </c>
      <c r="N213" s="468" t="s">
        <v>332</v>
      </c>
      <c r="O213" s="274">
        <v>98</v>
      </c>
      <c r="P213" s="553" t="s">
        <v>1726</v>
      </c>
      <c r="Q213" s="469"/>
    </row>
    <row r="214" spans="1:17" hidden="1" x14ac:dyDescent="0.2">
      <c r="A214" s="269" t="s">
        <v>277</v>
      </c>
      <c r="B214" s="269" t="s">
        <v>277</v>
      </c>
      <c r="C214" s="269">
        <v>2019</v>
      </c>
      <c r="D214" s="269" t="s">
        <v>329</v>
      </c>
      <c r="E214" s="269" t="s">
        <v>391</v>
      </c>
      <c r="F214" s="269" t="s">
        <v>74</v>
      </c>
      <c r="G214" s="269" t="s">
        <v>464</v>
      </c>
      <c r="H214" s="269" t="s">
        <v>588</v>
      </c>
      <c r="I214" s="269" t="s">
        <v>583</v>
      </c>
      <c r="J214" s="269">
        <v>0</v>
      </c>
      <c r="K214" s="269" t="s">
        <v>584</v>
      </c>
      <c r="L214" s="269" t="s">
        <v>616</v>
      </c>
      <c r="M214" s="274">
        <v>63</v>
      </c>
      <c r="N214" s="468" t="s">
        <v>332</v>
      </c>
      <c r="O214" s="274">
        <v>4</v>
      </c>
      <c r="P214" s="553" t="s">
        <v>1726</v>
      </c>
      <c r="Q214" s="469"/>
    </row>
    <row r="215" spans="1:17" ht="25.5" hidden="1" x14ac:dyDescent="0.2">
      <c r="A215" s="269" t="s">
        <v>277</v>
      </c>
      <c r="B215" s="269" t="s">
        <v>277</v>
      </c>
      <c r="C215" s="269">
        <v>2019</v>
      </c>
      <c r="D215" s="269" t="s">
        <v>329</v>
      </c>
      <c r="E215" s="269" t="s">
        <v>391</v>
      </c>
      <c r="F215" s="269" t="s">
        <v>74</v>
      </c>
      <c r="G215" s="269" t="s">
        <v>464</v>
      </c>
      <c r="H215" s="269" t="s">
        <v>42</v>
      </c>
      <c r="I215" s="269" t="s">
        <v>589</v>
      </c>
      <c r="J215" s="269">
        <v>5000</v>
      </c>
      <c r="K215" s="269" t="s">
        <v>584</v>
      </c>
      <c r="L215" s="269" t="s">
        <v>620</v>
      </c>
      <c r="M215" s="274">
        <v>13540</v>
      </c>
      <c r="N215" s="468">
        <f t="shared" si="3"/>
        <v>271</v>
      </c>
      <c r="O215" s="274">
        <v>143</v>
      </c>
      <c r="P215" s="553" t="s">
        <v>647</v>
      </c>
      <c r="Q215" s="624" t="s">
        <v>1901</v>
      </c>
    </row>
    <row r="216" spans="1:17" ht="25.5" x14ac:dyDescent="0.2">
      <c r="A216" s="269" t="s">
        <v>277</v>
      </c>
      <c r="B216" s="269" t="s">
        <v>277</v>
      </c>
      <c r="C216" s="269">
        <v>2019</v>
      </c>
      <c r="D216" s="269" t="s">
        <v>329</v>
      </c>
      <c r="E216" s="269" t="s">
        <v>391</v>
      </c>
      <c r="F216" s="269" t="s">
        <v>74</v>
      </c>
      <c r="G216" s="269" t="s">
        <v>464</v>
      </c>
      <c r="H216" s="269" t="s">
        <v>19</v>
      </c>
      <c r="I216" s="269" t="s">
        <v>589</v>
      </c>
      <c r="J216" s="269">
        <v>750</v>
      </c>
      <c r="K216" s="269" t="s">
        <v>584</v>
      </c>
      <c r="L216" s="269" t="s">
        <v>620</v>
      </c>
      <c r="M216" s="274">
        <v>1863</v>
      </c>
      <c r="N216" s="468">
        <f t="shared" si="3"/>
        <v>248</v>
      </c>
      <c r="O216" s="274">
        <v>143</v>
      </c>
      <c r="P216" s="553" t="s">
        <v>647</v>
      </c>
      <c r="Q216" s="624" t="s">
        <v>1901</v>
      </c>
    </row>
    <row r="217" spans="1:17" ht="25.5" x14ac:dyDescent="0.2">
      <c r="A217" s="269" t="s">
        <v>277</v>
      </c>
      <c r="B217" s="269" t="s">
        <v>277</v>
      </c>
      <c r="C217" s="269">
        <v>2019</v>
      </c>
      <c r="D217" s="269" t="s">
        <v>329</v>
      </c>
      <c r="E217" s="269" t="s">
        <v>391</v>
      </c>
      <c r="F217" s="269" t="s">
        <v>74</v>
      </c>
      <c r="G217" s="269" t="s">
        <v>464</v>
      </c>
      <c r="H217" s="269" t="s">
        <v>20</v>
      </c>
      <c r="I217" s="269" t="s">
        <v>589</v>
      </c>
      <c r="J217" s="269">
        <v>750</v>
      </c>
      <c r="K217" s="269" t="s">
        <v>584</v>
      </c>
      <c r="L217" s="269" t="s">
        <v>620</v>
      </c>
      <c r="M217" s="274">
        <v>1863</v>
      </c>
      <c r="N217" s="468">
        <f t="shared" si="3"/>
        <v>248</v>
      </c>
      <c r="O217" s="274">
        <v>143</v>
      </c>
      <c r="P217" s="553" t="s">
        <v>647</v>
      </c>
      <c r="Q217" s="624" t="s">
        <v>1901</v>
      </c>
    </row>
    <row r="218" spans="1:17" ht="25.5" x14ac:dyDescent="0.2">
      <c r="A218" s="269" t="s">
        <v>277</v>
      </c>
      <c r="B218" s="269" t="s">
        <v>277</v>
      </c>
      <c r="C218" s="269">
        <v>2019</v>
      </c>
      <c r="D218" s="269" t="s">
        <v>329</v>
      </c>
      <c r="E218" s="269" t="s">
        <v>391</v>
      </c>
      <c r="F218" s="269" t="s">
        <v>74</v>
      </c>
      <c r="G218" s="269" t="s">
        <v>464</v>
      </c>
      <c r="H218" s="269" t="s">
        <v>587</v>
      </c>
      <c r="I218" s="269" t="s">
        <v>589</v>
      </c>
      <c r="J218" s="269">
        <v>750</v>
      </c>
      <c r="K218" s="269" t="s">
        <v>584</v>
      </c>
      <c r="L218" s="269" t="s">
        <v>620</v>
      </c>
      <c r="M218" s="274">
        <v>1863</v>
      </c>
      <c r="N218" s="468">
        <f t="shared" si="3"/>
        <v>248</v>
      </c>
      <c r="O218" s="274">
        <v>143</v>
      </c>
      <c r="P218" s="553" t="s">
        <v>647</v>
      </c>
      <c r="Q218" s="624" t="s">
        <v>1901</v>
      </c>
    </row>
    <row r="219" spans="1:17" ht="25.5" x14ac:dyDescent="0.2">
      <c r="A219" s="269" t="s">
        <v>277</v>
      </c>
      <c r="B219" s="269" t="s">
        <v>277</v>
      </c>
      <c r="C219" s="269">
        <v>2019</v>
      </c>
      <c r="D219" s="269" t="s">
        <v>329</v>
      </c>
      <c r="E219" s="269" t="s">
        <v>391</v>
      </c>
      <c r="F219" s="269" t="s">
        <v>74</v>
      </c>
      <c r="G219" s="269" t="s">
        <v>464</v>
      </c>
      <c r="H219" s="269" t="s">
        <v>588</v>
      </c>
      <c r="I219" s="269" t="s">
        <v>589</v>
      </c>
      <c r="J219" s="269">
        <v>750</v>
      </c>
      <c r="K219" s="269" t="s">
        <v>584</v>
      </c>
      <c r="L219" s="269" t="s">
        <v>620</v>
      </c>
      <c r="M219" s="274">
        <v>1863</v>
      </c>
      <c r="N219" s="468">
        <f t="shared" si="3"/>
        <v>248</v>
      </c>
      <c r="O219" s="274">
        <v>143</v>
      </c>
      <c r="P219" s="553" t="s">
        <v>647</v>
      </c>
      <c r="Q219" s="624" t="s">
        <v>1901</v>
      </c>
    </row>
    <row r="220" spans="1:17" hidden="1" x14ac:dyDescent="0.2">
      <c r="A220" s="269" t="s">
        <v>277</v>
      </c>
      <c r="B220" s="269" t="s">
        <v>277</v>
      </c>
      <c r="C220" s="269">
        <v>2019</v>
      </c>
      <c r="D220" s="269" t="s">
        <v>361</v>
      </c>
      <c r="E220" s="269" t="s">
        <v>391</v>
      </c>
      <c r="F220" s="269" t="s">
        <v>74</v>
      </c>
      <c r="G220" s="269" t="s">
        <v>394</v>
      </c>
      <c r="H220" s="269" t="s">
        <v>42</v>
      </c>
      <c r="I220" s="269" t="s">
        <v>583</v>
      </c>
      <c r="J220" s="269">
        <v>3000</v>
      </c>
      <c r="K220" s="269" t="s">
        <v>584</v>
      </c>
      <c r="L220" s="269"/>
      <c r="M220" s="274">
        <v>3715</v>
      </c>
      <c r="N220" s="468">
        <f t="shared" si="3"/>
        <v>124</v>
      </c>
      <c r="O220" s="274">
        <v>52</v>
      </c>
      <c r="P220" s="553" t="s">
        <v>1722</v>
      </c>
      <c r="Q220" s="469"/>
    </row>
    <row r="221" spans="1:17" hidden="1" x14ac:dyDescent="0.2">
      <c r="A221" s="269" t="s">
        <v>277</v>
      </c>
      <c r="B221" s="269" t="s">
        <v>277</v>
      </c>
      <c r="C221" s="269">
        <v>2019</v>
      </c>
      <c r="D221" s="269" t="s">
        <v>361</v>
      </c>
      <c r="E221" s="269" t="s">
        <v>391</v>
      </c>
      <c r="F221" s="269" t="s">
        <v>74</v>
      </c>
      <c r="G221" s="269" t="s">
        <v>394</v>
      </c>
      <c r="H221" s="269" t="s">
        <v>19</v>
      </c>
      <c r="I221" s="269" t="s">
        <v>583</v>
      </c>
      <c r="J221" s="269">
        <v>400</v>
      </c>
      <c r="K221" s="269" t="s">
        <v>584</v>
      </c>
      <c r="L221" s="269" t="s">
        <v>627</v>
      </c>
      <c r="M221" s="274">
        <v>351</v>
      </c>
      <c r="N221" s="468">
        <f t="shared" si="3"/>
        <v>88</v>
      </c>
      <c r="O221" s="274">
        <v>22</v>
      </c>
      <c r="P221" s="553" t="s">
        <v>1733</v>
      </c>
      <c r="Q221" s="469" t="s">
        <v>1899</v>
      </c>
    </row>
    <row r="222" spans="1:17" hidden="1" x14ac:dyDescent="0.2">
      <c r="A222" s="269" t="s">
        <v>277</v>
      </c>
      <c r="B222" s="269" t="s">
        <v>277</v>
      </c>
      <c r="C222" s="269">
        <v>2019</v>
      </c>
      <c r="D222" s="269" t="s">
        <v>361</v>
      </c>
      <c r="E222" s="269" t="s">
        <v>391</v>
      </c>
      <c r="F222" s="269" t="s">
        <v>74</v>
      </c>
      <c r="G222" s="269" t="s">
        <v>394</v>
      </c>
      <c r="H222" s="269" t="s">
        <v>20</v>
      </c>
      <c r="I222" s="269" t="s">
        <v>583</v>
      </c>
      <c r="J222" s="269">
        <v>400</v>
      </c>
      <c r="K222" s="269" t="s">
        <v>584</v>
      </c>
      <c r="L222" s="269" t="s">
        <v>627</v>
      </c>
      <c r="M222" s="274">
        <v>351</v>
      </c>
      <c r="N222" s="468">
        <f t="shared" si="3"/>
        <v>88</v>
      </c>
      <c r="O222" s="274">
        <v>22</v>
      </c>
      <c r="P222" s="553" t="s">
        <v>1733</v>
      </c>
      <c r="Q222" s="469" t="s">
        <v>1899</v>
      </c>
    </row>
    <row r="223" spans="1:17" hidden="1" x14ac:dyDescent="0.2">
      <c r="A223" s="269" t="s">
        <v>277</v>
      </c>
      <c r="B223" s="269" t="s">
        <v>277</v>
      </c>
      <c r="C223" s="269">
        <v>2019</v>
      </c>
      <c r="D223" s="269" t="s">
        <v>361</v>
      </c>
      <c r="E223" s="269" t="s">
        <v>391</v>
      </c>
      <c r="F223" s="269" t="s">
        <v>74</v>
      </c>
      <c r="G223" s="269" t="s">
        <v>394</v>
      </c>
      <c r="H223" s="269" t="s">
        <v>587</v>
      </c>
      <c r="I223" s="269" t="s">
        <v>583</v>
      </c>
      <c r="J223" s="269">
        <v>0</v>
      </c>
      <c r="K223" s="269" t="s">
        <v>584</v>
      </c>
      <c r="L223" s="269" t="s">
        <v>616</v>
      </c>
      <c r="M223" s="274">
        <v>257</v>
      </c>
      <c r="N223" s="468" t="s">
        <v>332</v>
      </c>
      <c r="O223" s="274">
        <v>19</v>
      </c>
      <c r="P223" s="553" t="s">
        <v>1733</v>
      </c>
      <c r="Q223" s="469"/>
    </row>
    <row r="224" spans="1:17" hidden="1" x14ac:dyDescent="0.2">
      <c r="A224" s="269" t="s">
        <v>277</v>
      </c>
      <c r="B224" s="269" t="s">
        <v>277</v>
      </c>
      <c r="C224" s="269">
        <v>2019</v>
      </c>
      <c r="D224" s="269" t="s">
        <v>361</v>
      </c>
      <c r="E224" s="269" t="s">
        <v>391</v>
      </c>
      <c r="F224" s="269" t="s">
        <v>74</v>
      </c>
      <c r="G224" s="269" t="s">
        <v>394</v>
      </c>
      <c r="H224" s="269" t="s">
        <v>588</v>
      </c>
      <c r="I224" s="269" t="s">
        <v>583</v>
      </c>
      <c r="J224" s="269">
        <v>0</v>
      </c>
      <c r="K224" s="269" t="s">
        <v>584</v>
      </c>
      <c r="L224" s="269" t="s">
        <v>616</v>
      </c>
      <c r="M224" s="274">
        <v>0</v>
      </c>
      <c r="N224" s="468" t="s">
        <v>332</v>
      </c>
      <c r="O224" s="274">
        <v>0</v>
      </c>
      <c r="P224" s="553" t="s">
        <v>1733</v>
      </c>
      <c r="Q224" s="469"/>
    </row>
    <row r="225" spans="1:17" ht="25.5" hidden="1" x14ac:dyDescent="0.2">
      <c r="A225" s="269" t="s">
        <v>277</v>
      </c>
      <c r="B225" s="269" t="s">
        <v>277</v>
      </c>
      <c r="C225" s="269">
        <v>2019</v>
      </c>
      <c r="D225" s="269" t="s">
        <v>361</v>
      </c>
      <c r="E225" s="269" t="s">
        <v>391</v>
      </c>
      <c r="F225" s="269" t="s">
        <v>74</v>
      </c>
      <c r="G225" s="269" t="s">
        <v>394</v>
      </c>
      <c r="H225" s="269" t="s">
        <v>42</v>
      </c>
      <c r="I225" s="269" t="s">
        <v>589</v>
      </c>
      <c r="J225" s="269">
        <v>5000</v>
      </c>
      <c r="K225" s="269" t="s">
        <v>584</v>
      </c>
      <c r="L225" s="269" t="s">
        <v>620</v>
      </c>
      <c r="M225" s="274">
        <v>8178</v>
      </c>
      <c r="N225" s="468">
        <f t="shared" si="3"/>
        <v>164</v>
      </c>
      <c r="O225" s="274">
        <v>67</v>
      </c>
      <c r="P225" s="553" t="s">
        <v>647</v>
      </c>
      <c r="Q225" s="624" t="s">
        <v>1901</v>
      </c>
    </row>
    <row r="226" spans="1:17" ht="25.5" x14ac:dyDescent="0.2">
      <c r="A226" s="269" t="s">
        <v>277</v>
      </c>
      <c r="B226" s="269" t="s">
        <v>277</v>
      </c>
      <c r="C226" s="269">
        <v>2019</v>
      </c>
      <c r="D226" s="269" t="s">
        <v>361</v>
      </c>
      <c r="E226" s="269" t="s">
        <v>391</v>
      </c>
      <c r="F226" s="269" t="s">
        <v>74</v>
      </c>
      <c r="G226" s="269" t="s">
        <v>394</v>
      </c>
      <c r="H226" s="269" t="s">
        <v>19</v>
      </c>
      <c r="I226" s="269" t="s">
        <v>589</v>
      </c>
      <c r="J226" s="269">
        <v>500</v>
      </c>
      <c r="K226" s="269" t="s">
        <v>584</v>
      </c>
      <c r="L226" s="269" t="s">
        <v>620</v>
      </c>
      <c r="M226" s="274">
        <v>785</v>
      </c>
      <c r="N226" s="468">
        <f t="shared" si="3"/>
        <v>157</v>
      </c>
      <c r="O226" s="274">
        <v>65</v>
      </c>
      <c r="P226" s="553" t="s">
        <v>647</v>
      </c>
      <c r="Q226" s="624" t="s">
        <v>1901</v>
      </c>
    </row>
    <row r="227" spans="1:17" ht="25.5" x14ac:dyDescent="0.2">
      <c r="A227" s="269" t="s">
        <v>277</v>
      </c>
      <c r="B227" s="269" t="s">
        <v>277</v>
      </c>
      <c r="C227" s="269">
        <v>2019</v>
      </c>
      <c r="D227" s="269" t="s">
        <v>361</v>
      </c>
      <c r="E227" s="269" t="s">
        <v>391</v>
      </c>
      <c r="F227" s="269" t="s">
        <v>74</v>
      </c>
      <c r="G227" s="269" t="s">
        <v>394</v>
      </c>
      <c r="H227" s="269" t="s">
        <v>20</v>
      </c>
      <c r="I227" s="269" t="s">
        <v>589</v>
      </c>
      <c r="J227" s="269">
        <v>500</v>
      </c>
      <c r="K227" s="269" t="s">
        <v>584</v>
      </c>
      <c r="L227" s="269" t="s">
        <v>620</v>
      </c>
      <c r="M227" s="274">
        <v>785</v>
      </c>
      <c r="N227" s="468">
        <f t="shared" si="3"/>
        <v>157</v>
      </c>
      <c r="O227" s="274">
        <v>65</v>
      </c>
      <c r="P227" s="553" t="s">
        <v>647</v>
      </c>
      <c r="Q227" s="624" t="s">
        <v>1901</v>
      </c>
    </row>
    <row r="228" spans="1:17" ht="25.5" x14ac:dyDescent="0.2">
      <c r="A228" s="269" t="s">
        <v>277</v>
      </c>
      <c r="B228" s="269" t="s">
        <v>277</v>
      </c>
      <c r="C228" s="269">
        <v>2019</v>
      </c>
      <c r="D228" s="269" t="s">
        <v>361</v>
      </c>
      <c r="E228" s="269" t="s">
        <v>391</v>
      </c>
      <c r="F228" s="269" t="s">
        <v>74</v>
      </c>
      <c r="G228" s="269" t="s">
        <v>394</v>
      </c>
      <c r="H228" s="269" t="s">
        <v>587</v>
      </c>
      <c r="I228" s="269" t="s">
        <v>589</v>
      </c>
      <c r="J228" s="269">
        <v>500</v>
      </c>
      <c r="K228" s="269" t="s">
        <v>584</v>
      </c>
      <c r="L228" s="269" t="s">
        <v>620</v>
      </c>
      <c r="M228" s="274">
        <v>785</v>
      </c>
      <c r="N228" s="468">
        <f t="shared" si="3"/>
        <v>157</v>
      </c>
      <c r="O228" s="274">
        <v>65</v>
      </c>
      <c r="P228" s="553" t="s">
        <v>647</v>
      </c>
      <c r="Q228" s="624" t="s">
        <v>1901</v>
      </c>
    </row>
    <row r="229" spans="1:17" ht="25.5" x14ac:dyDescent="0.2">
      <c r="A229" s="269" t="s">
        <v>277</v>
      </c>
      <c r="B229" s="269" t="s">
        <v>277</v>
      </c>
      <c r="C229" s="269">
        <v>2019</v>
      </c>
      <c r="D229" s="269" t="s">
        <v>361</v>
      </c>
      <c r="E229" s="269" t="s">
        <v>391</v>
      </c>
      <c r="F229" s="269" t="s">
        <v>74</v>
      </c>
      <c r="G229" s="269" t="s">
        <v>394</v>
      </c>
      <c r="H229" s="269" t="s">
        <v>588</v>
      </c>
      <c r="I229" s="269" t="s">
        <v>589</v>
      </c>
      <c r="J229" s="269">
        <v>100</v>
      </c>
      <c r="K229" s="269" t="s">
        <v>584</v>
      </c>
      <c r="L229" s="269" t="s">
        <v>620</v>
      </c>
      <c r="M229" s="274">
        <v>785</v>
      </c>
      <c r="N229" s="468">
        <f t="shared" si="3"/>
        <v>785</v>
      </c>
      <c r="O229" s="274">
        <v>65</v>
      </c>
      <c r="P229" s="553" t="s">
        <v>647</v>
      </c>
      <c r="Q229" s="624" t="s">
        <v>1901</v>
      </c>
    </row>
    <row r="230" spans="1:17" ht="51" hidden="1" x14ac:dyDescent="0.2">
      <c r="A230" s="269" t="s">
        <v>277</v>
      </c>
      <c r="B230" s="269" t="s">
        <v>277</v>
      </c>
      <c r="C230" s="269">
        <v>2019</v>
      </c>
      <c r="D230" s="269" t="s">
        <v>361</v>
      </c>
      <c r="E230" s="269" t="s">
        <v>391</v>
      </c>
      <c r="F230" s="269" t="s">
        <v>74</v>
      </c>
      <c r="G230" s="269" t="s">
        <v>415</v>
      </c>
      <c r="H230" s="269" t="s">
        <v>42</v>
      </c>
      <c r="I230" s="269" t="s">
        <v>583</v>
      </c>
      <c r="J230" s="269">
        <v>2500</v>
      </c>
      <c r="K230" s="269" t="s">
        <v>584</v>
      </c>
      <c r="L230" s="269"/>
      <c r="M230" s="274">
        <v>1462</v>
      </c>
      <c r="N230" s="468">
        <f t="shared" si="3"/>
        <v>58</v>
      </c>
      <c r="O230" s="274">
        <v>46</v>
      </c>
      <c r="P230" s="553" t="s">
        <v>1722</v>
      </c>
      <c r="Q230" s="469" t="s">
        <v>1717</v>
      </c>
    </row>
    <row r="231" spans="1:17" ht="25.5" hidden="1" x14ac:dyDescent="0.2">
      <c r="A231" s="269" t="s">
        <v>277</v>
      </c>
      <c r="B231" s="269" t="s">
        <v>277</v>
      </c>
      <c r="C231" s="269">
        <v>2019</v>
      </c>
      <c r="D231" s="269" t="s">
        <v>361</v>
      </c>
      <c r="E231" s="269" t="s">
        <v>391</v>
      </c>
      <c r="F231" s="269" t="s">
        <v>74</v>
      </c>
      <c r="G231" s="269" t="s">
        <v>415</v>
      </c>
      <c r="H231" s="269" t="s">
        <v>19</v>
      </c>
      <c r="I231" s="269" t="s">
        <v>583</v>
      </c>
      <c r="J231" s="269">
        <v>100</v>
      </c>
      <c r="K231" s="269" t="s">
        <v>584</v>
      </c>
      <c r="L231" s="269" t="s">
        <v>627</v>
      </c>
      <c r="M231" s="274">
        <v>175</v>
      </c>
      <c r="N231" s="468">
        <f t="shared" si="3"/>
        <v>175</v>
      </c>
      <c r="O231" s="274">
        <v>10</v>
      </c>
      <c r="P231" s="553" t="s">
        <v>1733</v>
      </c>
      <c r="Q231" s="624" t="s">
        <v>1901</v>
      </c>
    </row>
    <row r="232" spans="1:17" ht="25.5" hidden="1" x14ac:dyDescent="0.2">
      <c r="A232" s="269" t="s">
        <v>277</v>
      </c>
      <c r="B232" s="269" t="s">
        <v>277</v>
      </c>
      <c r="C232" s="269">
        <v>2019</v>
      </c>
      <c r="D232" s="269" t="s">
        <v>361</v>
      </c>
      <c r="E232" s="269" t="s">
        <v>391</v>
      </c>
      <c r="F232" s="269" t="s">
        <v>74</v>
      </c>
      <c r="G232" s="269" t="s">
        <v>415</v>
      </c>
      <c r="H232" s="269" t="s">
        <v>20</v>
      </c>
      <c r="I232" s="269" t="s">
        <v>583</v>
      </c>
      <c r="J232" s="269">
        <v>100</v>
      </c>
      <c r="K232" s="269" t="s">
        <v>584</v>
      </c>
      <c r="L232" s="269" t="s">
        <v>627</v>
      </c>
      <c r="M232" s="274">
        <v>175</v>
      </c>
      <c r="N232" s="468">
        <f t="shared" si="3"/>
        <v>175</v>
      </c>
      <c r="O232" s="274">
        <v>10</v>
      </c>
      <c r="P232" s="553" t="s">
        <v>1733</v>
      </c>
      <c r="Q232" s="624" t="s">
        <v>1901</v>
      </c>
    </row>
    <row r="233" spans="1:17" ht="25.5" hidden="1" x14ac:dyDescent="0.2">
      <c r="A233" s="269" t="s">
        <v>277</v>
      </c>
      <c r="B233" s="269" t="s">
        <v>277</v>
      </c>
      <c r="C233" s="269">
        <v>2019</v>
      </c>
      <c r="D233" s="269" t="s">
        <v>361</v>
      </c>
      <c r="E233" s="269" t="s">
        <v>391</v>
      </c>
      <c r="F233" s="269" t="s">
        <v>74</v>
      </c>
      <c r="G233" s="269" t="s">
        <v>415</v>
      </c>
      <c r="H233" s="269" t="s">
        <v>587</v>
      </c>
      <c r="I233" s="269" t="s">
        <v>583</v>
      </c>
      <c r="J233" s="269">
        <v>100</v>
      </c>
      <c r="K233" s="269" t="s">
        <v>584</v>
      </c>
      <c r="L233" s="269" t="s">
        <v>627</v>
      </c>
      <c r="M233" s="274">
        <v>70</v>
      </c>
      <c r="N233" s="468">
        <f t="shared" si="3"/>
        <v>70</v>
      </c>
      <c r="O233" s="274">
        <v>6</v>
      </c>
      <c r="P233" s="553" t="s">
        <v>1733</v>
      </c>
      <c r="Q233" s="469" t="s">
        <v>1739</v>
      </c>
    </row>
    <row r="234" spans="1:17" ht="25.5" hidden="1" x14ac:dyDescent="0.2">
      <c r="A234" s="269" t="s">
        <v>277</v>
      </c>
      <c r="B234" s="269" t="s">
        <v>277</v>
      </c>
      <c r="C234" s="269">
        <v>2019</v>
      </c>
      <c r="D234" s="269" t="s">
        <v>361</v>
      </c>
      <c r="E234" s="269" t="s">
        <v>391</v>
      </c>
      <c r="F234" s="269" t="s">
        <v>74</v>
      </c>
      <c r="G234" s="269" t="s">
        <v>415</v>
      </c>
      <c r="H234" s="269" t="s">
        <v>588</v>
      </c>
      <c r="I234" s="269" t="s">
        <v>583</v>
      </c>
      <c r="J234" s="269">
        <v>50</v>
      </c>
      <c r="K234" s="269" t="s">
        <v>584</v>
      </c>
      <c r="L234" s="269" t="s">
        <v>627</v>
      </c>
      <c r="M234" s="274">
        <v>0</v>
      </c>
      <c r="N234" s="468">
        <f t="shared" si="3"/>
        <v>0</v>
      </c>
      <c r="O234" s="274">
        <v>0</v>
      </c>
      <c r="P234" s="553" t="s">
        <v>1733</v>
      </c>
      <c r="Q234" s="469" t="s">
        <v>1738</v>
      </c>
    </row>
    <row r="235" spans="1:17" hidden="1" x14ac:dyDescent="0.2">
      <c r="A235" s="269" t="s">
        <v>277</v>
      </c>
      <c r="B235" s="269" t="s">
        <v>277</v>
      </c>
      <c r="C235" s="269">
        <v>2019</v>
      </c>
      <c r="D235" s="269" t="s">
        <v>361</v>
      </c>
      <c r="E235" s="269" t="s">
        <v>391</v>
      </c>
      <c r="F235" s="269" t="s">
        <v>74</v>
      </c>
      <c r="G235" s="269" t="s">
        <v>415</v>
      </c>
      <c r="H235" s="269" t="s">
        <v>42</v>
      </c>
      <c r="I235" s="269" t="s">
        <v>589</v>
      </c>
      <c r="J235" s="269">
        <v>0</v>
      </c>
      <c r="K235" s="269" t="s">
        <v>584</v>
      </c>
      <c r="L235" s="269" t="s">
        <v>606</v>
      </c>
      <c r="M235" s="274">
        <v>0</v>
      </c>
      <c r="N235" s="468" t="s">
        <v>332</v>
      </c>
      <c r="O235" s="274">
        <v>0</v>
      </c>
      <c r="P235" s="553" t="s">
        <v>1726</v>
      </c>
      <c r="Q235" s="469"/>
    </row>
    <row r="236" spans="1:17" x14ac:dyDescent="0.2">
      <c r="A236" s="269" t="s">
        <v>277</v>
      </c>
      <c r="B236" s="269" t="s">
        <v>277</v>
      </c>
      <c r="C236" s="269">
        <v>2019</v>
      </c>
      <c r="D236" s="269" t="s">
        <v>361</v>
      </c>
      <c r="E236" s="269" t="s">
        <v>391</v>
      </c>
      <c r="F236" s="269" t="s">
        <v>74</v>
      </c>
      <c r="G236" s="269" t="s">
        <v>415</v>
      </c>
      <c r="H236" s="269" t="s">
        <v>19</v>
      </c>
      <c r="I236" s="269" t="s">
        <v>589</v>
      </c>
      <c r="J236" s="269">
        <v>0</v>
      </c>
      <c r="K236" s="269" t="s">
        <v>584</v>
      </c>
      <c r="L236" s="269" t="s">
        <v>606</v>
      </c>
      <c r="M236" s="274">
        <v>0</v>
      </c>
      <c r="N236" s="468" t="s">
        <v>332</v>
      </c>
      <c r="O236" s="274">
        <v>0</v>
      </c>
      <c r="P236" s="553" t="s">
        <v>1726</v>
      </c>
      <c r="Q236" s="469"/>
    </row>
    <row r="237" spans="1:17" x14ac:dyDescent="0.2">
      <c r="A237" s="269" t="s">
        <v>277</v>
      </c>
      <c r="B237" s="269" t="s">
        <v>277</v>
      </c>
      <c r="C237" s="269">
        <v>2019</v>
      </c>
      <c r="D237" s="269" t="s">
        <v>361</v>
      </c>
      <c r="E237" s="269" t="s">
        <v>391</v>
      </c>
      <c r="F237" s="269" t="s">
        <v>74</v>
      </c>
      <c r="G237" s="269" t="s">
        <v>415</v>
      </c>
      <c r="H237" s="269" t="s">
        <v>20</v>
      </c>
      <c r="I237" s="269" t="s">
        <v>589</v>
      </c>
      <c r="J237" s="269">
        <v>0</v>
      </c>
      <c r="K237" s="269" t="s">
        <v>584</v>
      </c>
      <c r="L237" s="269" t="s">
        <v>606</v>
      </c>
      <c r="M237" s="274">
        <v>0</v>
      </c>
      <c r="N237" s="468" t="s">
        <v>332</v>
      </c>
      <c r="O237" s="274">
        <v>0</v>
      </c>
      <c r="P237" s="553" t="s">
        <v>1726</v>
      </c>
      <c r="Q237" s="469"/>
    </row>
    <row r="238" spans="1:17" x14ac:dyDescent="0.2">
      <c r="A238" s="269" t="s">
        <v>277</v>
      </c>
      <c r="B238" s="269" t="s">
        <v>277</v>
      </c>
      <c r="C238" s="269">
        <v>2019</v>
      </c>
      <c r="D238" s="269" t="s">
        <v>361</v>
      </c>
      <c r="E238" s="269" t="s">
        <v>391</v>
      </c>
      <c r="F238" s="269" t="s">
        <v>74</v>
      </c>
      <c r="G238" s="269" t="s">
        <v>415</v>
      </c>
      <c r="H238" s="269" t="s">
        <v>587</v>
      </c>
      <c r="I238" s="269" t="s">
        <v>589</v>
      </c>
      <c r="J238" s="269">
        <v>0</v>
      </c>
      <c r="K238" s="269" t="s">
        <v>584</v>
      </c>
      <c r="L238" s="269" t="s">
        <v>606</v>
      </c>
      <c r="M238" s="274">
        <v>0</v>
      </c>
      <c r="N238" s="468" t="s">
        <v>332</v>
      </c>
      <c r="O238" s="274">
        <v>0</v>
      </c>
      <c r="P238" s="553" t="s">
        <v>1726</v>
      </c>
      <c r="Q238" s="469"/>
    </row>
    <row r="239" spans="1:17" x14ac:dyDescent="0.2">
      <c r="A239" s="269" t="s">
        <v>277</v>
      </c>
      <c r="B239" s="269" t="s">
        <v>277</v>
      </c>
      <c r="C239" s="269">
        <v>2019</v>
      </c>
      <c r="D239" s="269" t="s">
        <v>361</v>
      </c>
      <c r="E239" s="269" t="s">
        <v>391</v>
      </c>
      <c r="F239" s="269" t="s">
        <v>74</v>
      </c>
      <c r="G239" s="269" t="s">
        <v>415</v>
      </c>
      <c r="H239" s="269" t="s">
        <v>588</v>
      </c>
      <c r="I239" s="269" t="s">
        <v>589</v>
      </c>
      <c r="J239" s="269">
        <v>0</v>
      </c>
      <c r="K239" s="269" t="s">
        <v>584</v>
      </c>
      <c r="L239" s="269" t="s">
        <v>606</v>
      </c>
      <c r="M239" s="274">
        <v>0</v>
      </c>
      <c r="N239" s="468" t="s">
        <v>332</v>
      </c>
      <c r="O239" s="274">
        <v>0</v>
      </c>
      <c r="P239" s="553" t="s">
        <v>1726</v>
      </c>
      <c r="Q239" s="469"/>
    </row>
    <row r="240" spans="1:17" ht="25.5" hidden="1" x14ac:dyDescent="0.2">
      <c r="A240" s="269" t="s">
        <v>277</v>
      </c>
      <c r="B240" s="269" t="s">
        <v>277</v>
      </c>
      <c r="C240" s="269">
        <v>2019</v>
      </c>
      <c r="D240" s="269" t="s">
        <v>361</v>
      </c>
      <c r="E240" s="269" t="s">
        <v>391</v>
      </c>
      <c r="F240" s="269" t="s">
        <v>74</v>
      </c>
      <c r="G240" s="269" t="s">
        <v>442</v>
      </c>
      <c r="H240" s="269" t="s">
        <v>42</v>
      </c>
      <c r="I240" s="269" t="s">
        <v>583</v>
      </c>
      <c r="J240" s="269">
        <v>5000</v>
      </c>
      <c r="K240" s="269" t="s">
        <v>584</v>
      </c>
      <c r="L240" s="269"/>
      <c r="M240" s="274">
        <v>9525</v>
      </c>
      <c r="N240" s="468">
        <f t="shared" si="3"/>
        <v>191</v>
      </c>
      <c r="O240" s="274">
        <v>231</v>
      </c>
      <c r="P240" s="553" t="s">
        <v>1722</v>
      </c>
      <c r="Q240" s="624" t="s">
        <v>1901</v>
      </c>
    </row>
    <row r="241" spans="1:17" ht="25.5" hidden="1" x14ac:dyDescent="0.2">
      <c r="A241" s="269" t="s">
        <v>277</v>
      </c>
      <c r="B241" s="269" t="s">
        <v>277</v>
      </c>
      <c r="C241" s="269">
        <v>2019</v>
      </c>
      <c r="D241" s="269" t="s">
        <v>361</v>
      </c>
      <c r="E241" s="269" t="s">
        <v>391</v>
      </c>
      <c r="F241" s="269" t="s">
        <v>74</v>
      </c>
      <c r="G241" s="269" t="s">
        <v>442</v>
      </c>
      <c r="H241" s="269" t="s">
        <v>19</v>
      </c>
      <c r="I241" s="269" t="s">
        <v>583</v>
      </c>
      <c r="J241" s="269">
        <v>1000</v>
      </c>
      <c r="K241" s="269" t="s">
        <v>584</v>
      </c>
      <c r="L241" s="269" t="s">
        <v>615</v>
      </c>
      <c r="M241" s="274">
        <v>1604</v>
      </c>
      <c r="N241" s="468">
        <f t="shared" si="3"/>
        <v>160</v>
      </c>
      <c r="O241" s="274">
        <v>95</v>
      </c>
      <c r="P241" s="553" t="s">
        <v>1733</v>
      </c>
      <c r="Q241" s="624" t="s">
        <v>1901</v>
      </c>
    </row>
    <row r="242" spans="1:17" ht="25.5" hidden="1" x14ac:dyDescent="0.2">
      <c r="A242" s="269" t="s">
        <v>277</v>
      </c>
      <c r="B242" s="269" t="s">
        <v>277</v>
      </c>
      <c r="C242" s="269">
        <v>2019</v>
      </c>
      <c r="D242" s="269" t="s">
        <v>361</v>
      </c>
      <c r="E242" s="269" t="s">
        <v>391</v>
      </c>
      <c r="F242" s="269" t="s">
        <v>74</v>
      </c>
      <c r="G242" s="269" t="s">
        <v>442</v>
      </c>
      <c r="H242" s="269" t="s">
        <v>20</v>
      </c>
      <c r="I242" s="269" t="s">
        <v>583</v>
      </c>
      <c r="J242" s="269">
        <v>1000</v>
      </c>
      <c r="K242" s="269" t="s">
        <v>584</v>
      </c>
      <c r="L242" s="269" t="s">
        <v>615</v>
      </c>
      <c r="M242" s="274">
        <v>1604</v>
      </c>
      <c r="N242" s="468">
        <f t="shared" si="3"/>
        <v>160</v>
      </c>
      <c r="O242" s="274">
        <v>95</v>
      </c>
      <c r="P242" s="553" t="s">
        <v>1733</v>
      </c>
      <c r="Q242" s="624" t="s">
        <v>1901</v>
      </c>
    </row>
    <row r="243" spans="1:17" hidden="1" x14ac:dyDescent="0.2">
      <c r="A243" s="269" t="s">
        <v>277</v>
      </c>
      <c r="B243" s="269" t="s">
        <v>277</v>
      </c>
      <c r="C243" s="269">
        <v>2019</v>
      </c>
      <c r="D243" s="269" t="s">
        <v>361</v>
      </c>
      <c r="E243" s="269" t="s">
        <v>391</v>
      </c>
      <c r="F243" s="269" t="s">
        <v>74</v>
      </c>
      <c r="G243" s="269" t="s">
        <v>442</v>
      </c>
      <c r="H243" s="269" t="s">
        <v>587</v>
      </c>
      <c r="I243" s="269" t="s">
        <v>583</v>
      </c>
      <c r="J243" s="269">
        <v>0</v>
      </c>
      <c r="K243" s="269" t="s">
        <v>584</v>
      </c>
      <c r="L243" s="269" t="s">
        <v>629</v>
      </c>
      <c r="M243" s="274">
        <v>1528</v>
      </c>
      <c r="N243" s="468" t="s">
        <v>332</v>
      </c>
      <c r="O243" s="274">
        <v>92</v>
      </c>
      <c r="P243" s="553" t="s">
        <v>1726</v>
      </c>
      <c r="Q243" s="469"/>
    </row>
    <row r="244" spans="1:17" hidden="1" x14ac:dyDescent="0.2">
      <c r="A244" s="269" t="s">
        <v>277</v>
      </c>
      <c r="B244" s="269" t="s">
        <v>277</v>
      </c>
      <c r="C244" s="269">
        <v>2019</v>
      </c>
      <c r="D244" s="269" t="s">
        <v>361</v>
      </c>
      <c r="E244" s="269" t="s">
        <v>391</v>
      </c>
      <c r="F244" s="269" t="s">
        <v>74</v>
      </c>
      <c r="G244" s="269" t="s">
        <v>442</v>
      </c>
      <c r="H244" s="269" t="s">
        <v>588</v>
      </c>
      <c r="I244" s="269" t="s">
        <v>583</v>
      </c>
      <c r="J244" s="269">
        <v>0</v>
      </c>
      <c r="K244" s="269" t="s">
        <v>584</v>
      </c>
      <c r="L244" s="269" t="s">
        <v>629</v>
      </c>
      <c r="M244" s="274">
        <v>0</v>
      </c>
      <c r="N244" s="468" t="s">
        <v>332</v>
      </c>
      <c r="O244" s="274">
        <v>0</v>
      </c>
      <c r="P244" s="553" t="s">
        <v>1726</v>
      </c>
      <c r="Q244" s="469"/>
    </row>
    <row r="245" spans="1:17" hidden="1" x14ac:dyDescent="0.2">
      <c r="A245" s="269" t="s">
        <v>277</v>
      </c>
      <c r="B245" s="269" t="s">
        <v>277</v>
      </c>
      <c r="C245" s="269">
        <v>2019</v>
      </c>
      <c r="D245" s="269" t="s">
        <v>361</v>
      </c>
      <c r="E245" s="269" t="s">
        <v>391</v>
      </c>
      <c r="F245" s="269" t="s">
        <v>74</v>
      </c>
      <c r="G245" s="269" t="s">
        <v>442</v>
      </c>
      <c r="H245" s="269" t="s">
        <v>42</v>
      </c>
      <c r="I245" s="269" t="s">
        <v>589</v>
      </c>
      <c r="J245" s="269">
        <v>5000</v>
      </c>
      <c r="K245" s="269" t="s">
        <v>584</v>
      </c>
      <c r="L245" s="269" t="s">
        <v>620</v>
      </c>
      <c r="M245" s="274">
        <v>6600</v>
      </c>
      <c r="N245" s="468">
        <f t="shared" si="3"/>
        <v>132</v>
      </c>
      <c r="O245" s="274">
        <v>84</v>
      </c>
      <c r="P245" s="553" t="s">
        <v>647</v>
      </c>
      <c r="Q245" s="469"/>
    </row>
    <row r="246" spans="1:17" x14ac:dyDescent="0.2">
      <c r="A246" s="269" t="s">
        <v>277</v>
      </c>
      <c r="B246" s="269" t="s">
        <v>277</v>
      </c>
      <c r="C246" s="269">
        <v>2019</v>
      </c>
      <c r="D246" s="269" t="s">
        <v>361</v>
      </c>
      <c r="E246" s="269" t="s">
        <v>391</v>
      </c>
      <c r="F246" s="269" t="s">
        <v>74</v>
      </c>
      <c r="G246" s="269" t="s">
        <v>442</v>
      </c>
      <c r="H246" s="269" t="s">
        <v>19</v>
      </c>
      <c r="I246" s="269" t="s">
        <v>589</v>
      </c>
      <c r="J246" s="269">
        <v>750</v>
      </c>
      <c r="K246" s="269" t="s">
        <v>584</v>
      </c>
      <c r="L246" s="269" t="s">
        <v>620</v>
      </c>
      <c r="M246" s="274">
        <v>784</v>
      </c>
      <c r="N246" s="468">
        <f t="shared" si="3"/>
        <v>105</v>
      </c>
      <c r="O246" s="274">
        <v>83</v>
      </c>
      <c r="P246" s="553" t="s">
        <v>647</v>
      </c>
      <c r="Q246" s="469"/>
    </row>
    <row r="247" spans="1:17" x14ac:dyDescent="0.2">
      <c r="A247" s="269" t="s">
        <v>277</v>
      </c>
      <c r="B247" s="269" t="s">
        <v>277</v>
      </c>
      <c r="C247" s="269">
        <v>2019</v>
      </c>
      <c r="D247" s="269" t="s">
        <v>361</v>
      </c>
      <c r="E247" s="269" t="s">
        <v>391</v>
      </c>
      <c r="F247" s="269" t="s">
        <v>74</v>
      </c>
      <c r="G247" s="269" t="s">
        <v>442</v>
      </c>
      <c r="H247" s="269" t="s">
        <v>20</v>
      </c>
      <c r="I247" s="269" t="s">
        <v>589</v>
      </c>
      <c r="J247" s="269">
        <v>750</v>
      </c>
      <c r="K247" s="269" t="s">
        <v>584</v>
      </c>
      <c r="L247" s="269" t="s">
        <v>620</v>
      </c>
      <c r="M247" s="274">
        <v>784</v>
      </c>
      <c r="N247" s="468">
        <f t="shared" si="3"/>
        <v>105</v>
      </c>
      <c r="O247" s="274">
        <v>83</v>
      </c>
      <c r="P247" s="553" t="s">
        <v>647</v>
      </c>
      <c r="Q247" s="469"/>
    </row>
    <row r="248" spans="1:17" x14ac:dyDescent="0.2">
      <c r="A248" s="269" t="s">
        <v>277</v>
      </c>
      <c r="B248" s="269" t="s">
        <v>277</v>
      </c>
      <c r="C248" s="269">
        <v>2019</v>
      </c>
      <c r="D248" s="269" t="s">
        <v>361</v>
      </c>
      <c r="E248" s="269" t="s">
        <v>391</v>
      </c>
      <c r="F248" s="269" t="s">
        <v>74</v>
      </c>
      <c r="G248" s="269" t="s">
        <v>442</v>
      </c>
      <c r="H248" s="269" t="s">
        <v>587</v>
      </c>
      <c r="I248" s="269" t="s">
        <v>589</v>
      </c>
      <c r="J248" s="269">
        <v>750</v>
      </c>
      <c r="K248" s="269" t="s">
        <v>584</v>
      </c>
      <c r="L248" s="269" t="s">
        <v>620</v>
      </c>
      <c r="M248" s="274">
        <v>784</v>
      </c>
      <c r="N248" s="468">
        <f t="shared" si="3"/>
        <v>105</v>
      </c>
      <c r="O248" s="274">
        <v>83</v>
      </c>
      <c r="P248" s="553" t="s">
        <v>647</v>
      </c>
      <c r="Q248" s="469"/>
    </row>
    <row r="249" spans="1:17" ht="25.5" x14ac:dyDescent="0.2">
      <c r="A249" s="269" t="s">
        <v>277</v>
      </c>
      <c r="B249" s="269" t="s">
        <v>277</v>
      </c>
      <c r="C249" s="269">
        <v>2019</v>
      </c>
      <c r="D249" s="269" t="s">
        <v>361</v>
      </c>
      <c r="E249" s="269" t="s">
        <v>391</v>
      </c>
      <c r="F249" s="269" t="s">
        <v>74</v>
      </c>
      <c r="G249" s="269" t="s">
        <v>442</v>
      </c>
      <c r="H249" s="269" t="s">
        <v>588</v>
      </c>
      <c r="I249" s="269" t="s">
        <v>589</v>
      </c>
      <c r="J249" s="269">
        <v>100</v>
      </c>
      <c r="K249" s="269" t="s">
        <v>584</v>
      </c>
      <c r="L249" s="269" t="s">
        <v>620</v>
      </c>
      <c r="M249" s="274">
        <v>784</v>
      </c>
      <c r="N249" s="468">
        <f t="shared" si="3"/>
        <v>784</v>
      </c>
      <c r="O249" s="274">
        <v>83</v>
      </c>
      <c r="P249" s="553" t="s">
        <v>647</v>
      </c>
      <c r="Q249" s="624" t="s">
        <v>1901</v>
      </c>
    </row>
    <row r="250" spans="1:17" ht="25.5" hidden="1" x14ac:dyDescent="0.2">
      <c r="A250" s="269" t="s">
        <v>277</v>
      </c>
      <c r="B250" s="269" t="s">
        <v>277</v>
      </c>
      <c r="C250" s="269">
        <v>2019</v>
      </c>
      <c r="D250" s="269" t="s">
        <v>362</v>
      </c>
      <c r="E250" s="269" t="s">
        <v>391</v>
      </c>
      <c r="F250" s="269" t="s">
        <v>74</v>
      </c>
      <c r="G250" s="269" t="s">
        <v>467</v>
      </c>
      <c r="H250" s="269" t="s">
        <v>42</v>
      </c>
      <c r="I250" s="269" t="s">
        <v>583</v>
      </c>
      <c r="J250" s="269">
        <v>5000</v>
      </c>
      <c r="K250" s="269" t="s">
        <v>584</v>
      </c>
      <c r="L250" s="269"/>
      <c r="M250" s="274">
        <v>9583</v>
      </c>
      <c r="N250" s="468">
        <f t="shared" si="3"/>
        <v>192</v>
      </c>
      <c r="O250" s="274">
        <v>407</v>
      </c>
      <c r="P250" s="553" t="s">
        <v>1722</v>
      </c>
      <c r="Q250" s="624" t="s">
        <v>1901</v>
      </c>
    </row>
    <row r="251" spans="1:17" ht="25.5" hidden="1" x14ac:dyDescent="0.2">
      <c r="A251" s="269" t="s">
        <v>277</v>
      </c>
      <c r="B251" s="269" t="s">
        <v>277</v>
      </c>
      <c r="C251" s="269">
        <v>2019</v>
      </c>
      <c r="D251" s="269" t="s">
        <v>362</v>
      </c>
      <c r="E251" s="269" t="s">
        <v>391</v>
      </c>
      <c r="F251" s="269" t="s">
        <v>74</v>
      </c>
      <c r="G251" s="269" t="s">
        <v>467</v>
      </c>
      <c r="H251" s="269" t="s">
        <v>19</v>
      </c>
      <c r="I251" s="269" t="s">
        <v>583</v>
      </c>
      <c r="J251" s="269">
        <v>250</v>
      </c>
      <c r="K251" s="269" t="s">
        <v>584</v>
      </c>
      <c r="L251" s="269" t="s">
        <v>625</v>
      </c>
      <c r="M251" s="274">
        <v>577</v>
      </c>
      <c r="N251" s="468">
        <f t="shared" si="3"/>
        <v>231</v>
      </c>
      <c r="O251" s="274">
        <v>53</v>
      </c>
      <c r="P251" s="553" t="s">
        <v>1733</v>
      </c>
      <c r="Q251" s="624" t="s">
        <v>1901</v>
      </c>
    </row>
    <row r="252" spans="1:17" ht="25.5" hidden="1" x14ac:dyDescent="0.2">
      <c r="A252" s="269" t="s">
        <v>277</v>
      </c>
      <c r="B252" s="269" t="s">
        <v>277</v>
      </c>
      <c r="C252" s="269">
        <v>2019</v>
      </c>
      <c r="D252" s="269" t="s">
        <v>362</v>
      </c>
      <c r="E252" s="269" t="s">
        <v>391</v>
      </c>
      <c r="F252" s="269" t="s">
        <v>74</v>
      </c>
      <c r="G252" s="269" t="s">
        <v>467</v>
      </c>
      <c r="H252" s="269" t="s">
        <v>20</v>
      </c>
      <c r="I252" s="269" t="s">
        <v>583</v>
      </c>
      <c r="J252" s="269">
        <v>250</v>
      </c>
      <c r="K252" s="269" t="s">
        <v>584</v>
      </c>
      <c r="L252" s="269" t="s">
        <v>625</v>
      </c>
      <c r="M252" s="274">
        <v>577</v>
      </c>
      <c r="N252" s="468">
        <f t="shared" si="3"/>
        <v>231</v>
      </c>
      <c r="O252" s="274">
        <v>53</v>
      </c>
      <c r="P252" s="553" t="s">
        <v>1733</v>
      </c>
      <c r="Q252" s="624" t="s">
        <v>1901</v>
      </c>
    </row>
    <row r="253" spans="1:17" hidden="1" x14ac:dyDescent="0.2">
      <c r="A253" s="269" t="s">
        <v>277</v>
      </c>
      <c r="B253" s="269" t="s">
        <v>277</v>
      </c>
      <c r="C253" s="269">
        <v>2019</v>
      </c>
      <c r="D253" s="269" t="s">
        <v>362</v>
      </c>
      <c r="E253" s="269" t="s">
        <v>391</v>
      </c>
      <c r="F253" s="269" t="s">
        <v>74</v>
      </c>
      <c r="G253" s="269" t="s">
        <v>467</v>
      </c>
      <c r="H253" s="269" t="s">
        <v>587</v>
      </c>
      <c r="I253" s="269" t="s">
        <v>583</v>
      </c>
      <c r="J253" s="269">
        <v>0</v>
      </c>
      <c r="K253" s="269" t="s">
        <v>584</v>
      </c>
      <c r="L253" s="269" t="s">
        <v>616</v>
      </c>
      <c r="M253" s="274">
        <v>525</v>
      </c>
      <c r="N253" s="468" t="s">
        <v>332</v>
      </c>
      <c r="O253" s="274">
        <v>48</v>
      </c>
      <c r="P253" s="553" t="s">
        <v>1733</v>
      </c>
      <c r="Q253" s="469"/>
    </row>
    <row r="254" spans="1:17" hidden="1" x14ac:dyDescent="0.2">
      <c r="A254" s="269" t="s">
        <v>277</v>
      </c>
      <c r="B254" s="269" t="s">
        <v>277</v>
      </c>
      <c r="C254" s="269">
        <v>2019</v>
      </c>
      <c r="D254" s="269" t="s">
        <v>362</v>
      </c>
      <c r="E254" s="269" t="s">
        <v>391</v>
      </c>
      <c r="F254" s="269" t="s">
        <v>74</v>
      </c>
      <c r="G254" s="269" t="s">
        <v>467</v>
      </c>
      <c r="H254" s="269" t="s">
        <v>588</v>
      </c>
      <c r="I254" s="269" t="s">
        <v>583</v>
      </c>
      <c r="J254" s="269">
        <v>0</v>
      </c>
      <c r="K254" s="269" t="s">
        <v>584</v>
      </c>
      <c r="L254" s="269" t="s">
        <v>616</v>
      </c>
      <c r="M254" s="274">
        <v>8</v>
      </c>
      <c r="N254" s="468" t="s">
        <v>332</v>
      </c>
      <c r="O254" s="274">
        <v>1</v>
      </c>
      <c r="P254" s="553" t="s">
        <v>1733</v>
      </c>
      <c r="Q254" s="469"/>
    </row>
    <row r="255" spans="1:17" ht="25.5" hidden="1" x14ac:dyDescent="0.2">
      <c r="A255" s="269" t="s">
        <v>277</v>
      </c>
      <c r="B255" s="269" t="s">
        <v>277</v>
      </c>
      <c r="C255" s="269">
        <v>2019</v>
      </c>
      <c r="D255" s="269" t="s">
        <v>362</v>
      </c>
      <c r="E255" s="269" t="s">
        <v>391</v>
      </c>
      <c r="F255" s="269" t="s">
        <v>74</v>
      </c>
      <c r="G255" s="269" t="s">
        <v>467</v>
      </c>
      <c r="H255" s="269" t="s">
        <v>42</v>
      </c>
      <c r="I255" s="269" t="s">
        <v>589</v>
      </c>
      <c r="J255" s="269">
        <v>5000</v>
      </c>
      <c r="K255" s="269" t="s">
        <v>584</v>
      </c>
      <c r="L255" s="269" t="s">
        <v>630</v>
      </c>
      <c r="M255" s="274">
        <v>9829</v>
      </c>
      <c r="N255" s="468">
        <f t="shared" si="3"/>
        <v>197</v>
      </c>
      <c r="O255" s="274">
        <v>249</v>
      </c>
      <c r="P255" s="553" t="s">
        <v>647</v>
      </c>
      <c r="Q255" s="624" t="s">
        <v>1901</v>
      </c>
    </row>
    <row r="256" spans="1:17" ht="25.5" x14ac:dyDescent="0.2">
      <c r="A256" s="269" t="s">
        <v>277</v>
      </c>
      <c r="B256" s="269" t="s">
        <v>277</v>
      </c>
      <c r="C256" s="269">
        <v>2019</v>
      </c>
      <c r="D256" s="269" t="s">
        <v>362</v>
      </c>
      <c r="E256" s="269" t="s">
        <v>391</v>
      </c>
      <c r="F256" s="269" t="s">
        <v>74</v>
      </c>
      <c r="G256" s="269" t="s">
        <v>467</v>
      </c>
      <c r="H256" s="269" t="s">
        <v>19</v>
      </c>
      <c r="I256" s="269" t="s">
        <v>589</v>
      </c>
      <c r="J256" s="269">
        <v>500</v>
      </c>
      <c r="K256" s="269" t="s">
        <v>584</v>
      </c>
      <c r="L256" s="269" t="s">
        <v>630</v>
      </c>
      <c r="M256" s="274">
        <v>2262</v>
      </c>
      <c r="N256" s="468">
        <f t="shared" si="3"/>
        <v>452</v>
      </c>
      <c r="O256" s="274">
        <v>212</v>
      </c>
      <c r="P256" s="553" t="s">
        <v>647</v>
      </c>
      <c r="Q256" s="624" t="s">
        <v>1901</v>
      </c>
    </row>
    <row r="257" spans="1:17" ht="25.5" x14ac:dyDescent="0.2">
      <c r="A257" s="269" t="s">
        <v>277</v>
      </c>
      <c r="B257" s="269" t="s">
        <v>277</v>
      </c>
      <c r="C257" s="269">
        <v>2019</v>
      </c>
      <c r="D257" s="269" t="s">
        <v>362</v>
      </c>
      <c r="E257" s="269" t="s">
        <v>391</v>
      </c>
      <c r="F257" s="269" t="s">
        <v>74</v>
      </c>
      <c r="G257" s="269" t="s">
        <v>467</v>
      </c>
      <c r="H257" s="269" t="s">
        <v>20</v>
      </c>
      <c r="I257" s="269" t="s">
        <v>589</v>
      </c>
      <c r="J257" s="269">
        <v>500</v>
      </c>
      <c r="K257" s="269" t="s">
        <v>584</v>
      </c>
      <c r="L257" s="269" t="s">
        <v>630</v>
      </c>
      <c r="M257" s="274">
        <v>2262</v>
      </c>
      <c r="N257" s="468">
        <f t="shared" si="3"/>
        <v>452</v>
      </c>
      <c r="O257" s="274">
        <v>212</v>
      </c>
      <c r="P257" s="553" t="s">
        <v>647</v>
      </c>
      <c r="Q257" s="624" t="s">
        <v>1901</v>
      </c>
    </row>
    <row r="258" spans="1:17" ht="25.5" x14ac:dyDescent="0.2">
      <c r="A258" s="269" t="s">
        <v>277</v>
      </c>
      <c r="B258" s="269" t="s">
        <v>277</v>
      </c>
      <c r="C258" s="269">
        <v>2019</v>
      </c>
      <c r="D258" s="269" t="s">
        <v>362</v>
      </c>
      <c r="E258" s="269" t="s">
        <v>391</v>
      </c>
      <c r="F258" s="269" t="s">
        <v>74</v>
      </c>
      <c r="G258" s="269" t="s">
        <v>467</v>
      </c>
      <c r="H258" s="269" t="s">
        <v>587</v>
      </c>
      <c r="I258" s="269" t="s">
        <v>589</v>
      </c>
      <c r="J258" s="269">
        <v>500</v>
      </c>
      <c r="K258" s="269" t="s">
        <v>584</v>
      </c>
      <c r="L258" s="269" t="s">
        <v>630</v>
      </c>
      <c r="M258" s="274">
        <v>2262</v>
      </c>
      <c r="N258" s="468">
        <f t="shared" si="3"/>
        <v>452</v>
      </c>
      <c r="O258" s="274">
        <v>212</v>
      </c>
      <c r="P258" s="553" t="s">
        <v>647</v>
      </c>
      <c r="Q258" s="624" t="s">
        <v>1901</v>
      </c>
    </row>
    <row r="259" spans="1:17" ht="25.5" x14ac:dyDescent="0.2">
      <c r="A259" s="269" t="s">
        <v>277</v>
      </c>
      <c r="B259" s="269" t="s">
        <v>277</v>
      </c>
      <c r="C259" s="269">
        <v>2019</v>
      </c>
      <c r="D259" s="269" t="s">
        <v>362</v>
      </c>
      <c r="E259" s="269" t="s">
        <v>391</v>
      </c>
      <c r="F259" s="269" t="s">
        <v>74</v>
      </c>
      <c r="G259" s="269" t="s">
        <v>467</v>
      </c>
      <c r="H259" s="269" t="s">
        <v>588</v>
      </c>
      <c r="I259" s="269" t="s">
        <v>589</v>
      </c>
      <c r="J259" s="269">
        <v>500</v>
      </c>
      <c r="K259" s="269" t="s">
        <v>584</v>
      </c>
      <c r="L259" s="269" t="s">
        <v>630</v>
      </c>
      <c r="M259" s="274">
        <v>2261</v>
      </c>
      <c r="N259" s="468">
        <f t="shared" si="3"/>
        <v>452</v>
      </c>
      <c r="O259" s="274">
        <v>212</v>
      </c>
      <c r="P259" s="553" t="s">
        <v>647</v>
      </c>
      <c r="Q259" s="624" t="s">
        <v>1901</v>
      </c>
    </row>
    <row r="260" spans="1:17" ht="25.5" hidden="1" x14ac:dyDescent="0.2">
      <c r="A260" s="269" t="s">
        <v>277</v>
      </c>
      <c r="B260" s="269" t="s">
        <v>277</v>
      </c>
      <c r="C260" s="269">
        <v>2019</v>
      </c>
      <c r="D260" s="269" t="s">
        <v>330</v>
      </c>
      <c r="E260" s="269" t="s">
        <v>391</v>
      </c>
      <c r="F260" s="269" t="s">
        <v>74</v>
      </c>
      <c r="G260" s="269" t="s">
        <v>471</v>
      </c>
      <c r="H260" s="269" t="s">
        <v>42</v>
      </c>
      <c r="I260" s="269" t="s">
        <v>583</v>
      </c>
      <c r="J260" s="269">
        <v>2000</v>
      </c>
      <c r="K260" s="269" t="s">
        <v>584</v>
      </c>
      <c r="L260" s="269" t="s">
        <v>623</v>
      </c>
      <c r="M260" s="274">
        <v>3559</v>
      </c>
      <c r="N260" s="468">
        <f t="shared" si="3"/>
        <v>178</v>
      </c>
      <c r="O260" s="274">
        <v>15</v>
      </c>
      <c r="P260" s="553" t="s">
        <v>1722</v>
      </c>
      <c r="Q260" s="624" t="s">
        <v>1901</v>
      </c>
    </row>
    <row r="261" spans="1:17" hidden="1" x14ac:dyDescent="0.2">
      <c r="A261" s="269" t="s">
        <v>277</v>
      </c>
      <c r="B261" s="269" t="s">
        <v>277</v>
      </c>
      <c r="C261" s="269">
        <v>2019</v>
      </c>
      <c r="D261" s="269" t="s">
        <v>330</v>
      </c>
      <c r="E261" s="269" t="s">
        <v>391</v>
      </c>
      <c r="F261" s="269" t="s">
        <v>74</v>
      </c>
      <c r="G261" s="269" t="s">
        <v>471</v>
      </c>
      <c r="H261" s="269" t="s">
        <v>19</v>
      </c>
      <c r="I261" s="269" t="s">
        <v>583</v>
      </c>
      <c r="J261" s="269">
        <v>1000</v>
      </c>
      <c r="K261" s="269" t="s">
        <v>584</v>
      </c>
      <c r="L261" s="269" t="s">
        <v>631</v>
      </c>
      <c r="M261" s="274">
        <v>1500</v>
      </c>
      <c r="N261" s="468">
        <f t="shared" si="3"/>
        <v>150</v>
      </c>
      <c r="O261" s="274">
        <v>15</v>
      </c>
      <c r="P261" s="553" t="s">
        <v>1740</v>
      </c>
      <c r="Q261" s="469"/>
    </row>
    <row r="262" spans="1:17" hidden="1" x14ac:dyDescent="0.2">
      <c r="A262" s="269" t="s">
        <v>277</v>
      </c>
      <c r="B262" s="269" t="s">
        <v>277</v>
      </c>
      <c r="C262" s="269">
        <v>2019</v>
      </c>
      <c r="D262" s="269" t="s">
        <v>330</v>
      </c>
      <c r="E262" s="269" t="s">
        <v>391</v>
      </c>
      <c r="F262" s="269" t="s">
        <v>74</v>
      </c>
      <c r="G262" s="269" t="s">
        <v>471</v>
      </c>
      <c r="H262" s="269" t="s">
        <v>20</v>
      </c>
      <c r="I262" s="269" t="s">
        <v>583</v>
      </c>
      <c r="J262" s="269">
        <v>1000</v>
      </c>
      <c r="K262" s="269" t="s">
        <v>584</v>
      </c>
      <c r="L262" s="269" t="s">
        <v>631</v>
      </c>
      <c r="M262" s="274">
        <v>1500</v>
      </c>
      <c r="N262" s="468">
        <f t="shared" si="3"/>
        <v>150</v>
      </c>
      <c r="O262" s="274">
        <v>15</v>
      </c>
      <c r="P262" s="553" t="s">
        <v>1740</v>
      </c>
      <c r="Q262" s="469"/>
    </row>
    <row r="263" spans="1:17" hidden="1" x14ac:dyDescent="0.2">
      <c r="A263" s="269" t="s">
        <v>277</v>
      </c>
      <c r="B263" s="269" t="s">
        <v>277</v>
      </c>
      <c r="C263" s="269">
        <v>2019</v>
      </c>
      <c r="D263" s="269" t="s">
        <v>330</v>
      </c>
      <c r="E263" s="269" t="s">
        <v>391</v>
      </c>
      <c r="F263" s="269" t="s">
        <v>74</v>
      </c>
      <c r="G263" s="269" t="s">
        <v>471</v>
      </c>
      <c r="H263" s="269" t="s">
        <v>587</v>
      </c>
      <c r="I263" s="269" t="s">
        <v>583</v>
      </c>
      <c r="J263" s="269">
        <v>1000</v>
      </c>
      <c r="K263" s="269" t="s">
        <v>584</v>
      </c>
      <c r="L263" s="269" t="s">
        <v>632</v>
      </c>
      <c r="M263" s="274">
        <v>1500</v>
      </c>
      <c r="N263" s="468">
        <f t="shared" si="3"/>
        <v>150</v>
      </c>
      <c r="O263" s="274">
        <v>15</v>
      </c>
      <c r="P263" s="553" t="s">
        <v>1740</v>
      </c>
      <c r="Q263" s="469"/>
    </row>
    <row r="264" spans="1:17" hidden="1" x14ac:dyDescent="0.2">
      <c r="A264" s="269" t="s">
        <v>277</v>
      </c>
      <c r="B264" s="269" t="s">
        <v>277</v>
      </c>
      <c r="C264" s="269">
        <v>2019</v>
      </c>
      <c r="D264" s="269" t="s">
        <v>330</v>
      </c>
      <c r="E264" s="269" t="s">
        <v>391</v>
      </c>
      <c r="F264" s="269" t="s">
        <v>74</v>
      </c>
      <c r="G264" s="269" t="s">
        <v>471</v>
      </c>
      <c r="H264" s="269" t="s">
        <v>588</v>
      </c>
      <c r="I264" s="269" t="s">
        <v>583</v>
      </c>
      <c r="J264" s="269">
        <v>1000</v>
      </c>
      <c r="K264" s="269" t="s">
        <v>584</v>
      </c>
      <c r="L264" s="269" t="s">
        <v>632</v>
      </c>
      <c r="M264" s="274">
        <v>1499</v>
      </c>
      <c r="N264" s="468">
        <f t="shared" ref="N264:N327" si="4">ROUND(100*M264/J264,0)</f>
        <v>150</v>
      </c>
      <c r="O264" s="274">
        <v>15</v>
      </c>
      <c r="P264" s="553" t="s">
        <v>1740</v>
      </c>
      <c r="Q264" s="469"/>
    </row>
    <row r="265" spans="1:17" ht="25.5" hidden="1" x14ac:dyDescent="0.2">
      <c r="A265" s="269" t="s">
        <v>277</v>
      </c>
      <c r="B265" s="269" t="s">
        <v>277</v>
      </c>
      <c r="C265" s="269">
        <v>2019</v>
      </c>
      <c r="D265" s="269" t="s">
        <v>330</v>
      </c>
      <c r="E265" s="269" t="s">
        <v>391</v>
      </c>
      <c r="F265" s="269" t="s">
        <v>74</v>
      </c>
      <c r="G265" s="269" t="s">
        <v>471</v>
      </c>
      <c r="H265" s="269" t="s">
        <v>42</v>
      </c>
      <c r="I265" s="269" t="s">
        <v>589</v>
      </c>
      <c r="J265" s="269">
        <v>4000</v>
      </c>
      <c r="K265" s="269" t="s">
        <v>584</v>
      </c>
      <c r="L265" s="269" t="s">
        <v>623</v>
      </c>
      <c r="M265" s="274">
        <v>6535</v>
      </c>
      <c r="N265" s="468">
        <f t="shared" si="4"/>
        <v>163</v>
      </c>
      <c r="O265" s="274">
        <v>82</v>
      </c>
      <c r="P265" s="553" t="s">
        <v>1722</v>
      </c>
      <c r="Q265" s="624" t="s">
        <v>1901</v>
      </c>
    </row>
    <row r="266" spans="1:17" x14ac:dyDescent="0.2">
      <c r="A266" s="269" t="s">
        <v>277</v>
      </c>
      <c r="B266" s="269" t="s">
        <v>277</v>
      </c>
      <c r="C266" s="269">
        <v>2019</v>
      </c>
      <c r="D266" s="269" t="s">
        <v>330</v>
      </c>
      <c r="E266" s="269" t="s">
        <v>391</v>
      </c>
      <c r="F266" s="269" t="s">
        <v>74</v>
      </c>
      <c r="G266" s="269" t="s">
        <v>471</v>
      </c>
      <c r="H266" s="269" t="s">
        <v>19</v>
      </c>
      <c r="I266" s="269" t="s">
        <v>589</v>
      </c>
      <c r="J266" s="269">
        <v>500</v>
      </c>
      <c r="K266" s="269" t="s">
        <v>584</v>
      </c>
      <c r="L266" s="269" t="s">
        <v>631</v>
      </c>
      <c r="M266" s="274">
        <v>537</v>
      </c>
      <c r="N266" s="468">
        <f t="shared" si="4"/>
        <v>107</v>
      </c>
      <c r="O266" s="274">
        <v>80</v>
      </c>
      <c r="P266" s="553" t="s">
        <v>1740</v>
      </c>
      <c r="Q266" s="469"/>
    </row>
    <row r="267" spans="1:17" x14ac:dyDescent="0.2">
      <c r="A267" s="269" t="s">
        <v>277</v>
      </c>
      <c r="B267" s="269" t="s">
        <v>277</v>
      </c>
      <c r="C267" s="269">
        <v>2019</v>
      </c>
      <c r="D267" s="269" t="s">
        <v>330</v>
      </c>
      <c r="E267" s="269" t="s">
        <v>391</v>
      </c>
      <c r="F267" s="269" t="s">
        <v>74</v>
      </c>
      <c r="G267" s="269" t="s">
        <v>471</v>
      </c>
      <c r="H267" s="269" t="s">
        <v>20</v>
      </c>
      <c r="I267" s="269" t="s">
        <v>589</v>
      </c>
      <c r="J267" s="269">
        <v>500</v>
      </c>
      <c r="K267" s="269" t="s">
        <v>584</v>
      </c>
      <c r="L267" s="269" t="s">
        <v>631</v>
      </c>
      <c r="M267" s="274">
        <v>537</v>
      </c>
      <c r="N267" s="468">
        <f t="shared" si="4"/>
        <v>107</v>
      </c>
      <c r="O267" s="274">
        <v>80</v>
      </c>
      <c r="P267" s="553" t="s">
        <v>1740</v>
      </c>
      <c r="Q267" s="469"/>
    </row>
    <row r="268" spans="1:17" x14ac:dyDescent="0.2">
      <c r="A268" s="269" t="s">
        <v>277</v>
      </c>
      <c r="B268" s="269" t="s">
        <v>277</v>
      </c>
      <c r="C268" s="269">
        <v>2019</v>
      </c>
      <c r="D268" s="269" t="s">
        <v>330</v>
      </c>
      <c r="E268" s="269" t="s">
        <v>391</v>
      </c>
      <c r="F268" s="269" t="s">
        <v>74</v>
      </c>
      <c r="G268" s="269" t="s">
        <v>471</v>
      </c>
      <c r="H268" s="269" t="s">
        <v>587</v>
      </c>
      <c r="I268" s="269" t="s">
        <v>589</v>
      </c>
      <c r="J268" s="269">
        <v>500</v>
      </c>
      <c r="K268" s="269" t="s">
        <v>584</v>
      </c>
      <c r="L268" s="269" t="s">
        <v>631</v>
      </c>
      <c r="M268" s="274">
        <v>537</v>
      </c>
      <c r="N268" s="468">
        <f t="shared" si="4"/>
        <v>107</v>
      </c>
      <c r="O268" s="274">
        <v>80</v>
      </c>
      <c r="P268" s="553" t="s">
        <v>1740</v>
      </c>
      <c r="Q268" s="469"/>
    </row>
    <row r="269" spans="1:17" x14ac:dyDescent="0.2">
      <c r="A269" s="269" t="s">
        <v>277</v>
      </c>
      <c r="B269" s="269" t="s">
        <v>277</v>
      </c>
      <c r="C269" s="269">
        <v>2019</v>
      </c>
      <c r="D269" s="269" t="s">
        <v>330</v>
      </c>
      <c r="E269" s="269" t="s">
        <v>391</v>
      </c>
      <c r="F269" s="269" t="s">
        <v>74</v>
      </c>
      <c r="G269" s="269" t="s">
        <v>471</v>
      </c>
      <c r="H269" s="269" t="s">
        <v>588</v>
      </c>
      <c r="I269" s="269" t="s">
        <v>589</v>
      </c>
      <c r="J269" s="269">
        <v>500</v>
      </c>
      <c r="K269" s="269" t="s">
        <v>584</v>
      </c>
      <c r="L269" s="269" t="s">
        <v>632</v>
      </c>
      <c r="M269" s="274">
        <v>537</v>
      </c>
      <c r="N269" s="468">
        <f t="shared" si="4"/>
        <v>107</v>
      </c>
      <c r="O269" s="274">
        <v>80</v>
      </c>
      <c r="P269" s="553" t="s">
        <v>1740</v>
      </c>
      <c r="Q269" s="469"/>
    </row>
    <row r="270" spans="1:17" hidden="1" x14ac:dyDescent="0.2">
      <c r="A270" s="269" t="s">
        <v>277</v>
      </c>
      <c r="B270" s="269" t="s">
        <v>277</v>
      </c>
      <c r="C270" s="269">
        <v>2019</v>
      </c>
      <c r="D270" s="269" t="s">
        <v>370</v>
      </c>
      <c r="E270" s="269" t="s">
        <v>391</v>
      </c>
      <c r="F270" s="269" t="s">
        <v>74</v>
      </c>
      <c r="G270" s="269" t="s">
        <v>480</v>
      </c>
      <c r="H270" s="269" t="s">
        <v>42</v>
      </c>
      <c r="I270" s="269" t="s">
        <v>583</v>
      </c>
      <c r="J270" s="269">
        <v>80000</v>
      </c>
      <c r="K270" s="269" t="s">
        <v>584</v>
      </c>
      <c r="L270" s="269" t="s">
        <v>623</v>
      </c>
      <c r="M270" s="274">
        <v>78783</v>
      </c>
      <c r="N270" s="468">
        <f t="shared" si="4"/>
        <v>98</v>
      </c>
      <c r="O270" s="274">
        <v>218</v>
      </c>
      <c r="P270" s="553" t="s">
        <v>1722</v>
      </c>
      <c r="Q270" s="469"/>
    </row>
    <row r="271" spans="1:17" hidden="1" x14ac:dyDescent="0.2">
      <c r="A271" s="269" t="s">
        <v>277</v>
      </c>
      <c r="B271" s="269" t="s">
        <v>277</v>
      </c>
      <c r="C271" s="269">
        <v>2019</v>
      </c>
      <c r="D271" s="269" t="s">
        <v>370</v>
      </c>
      <c r="E271" s="269" t="s">
        <v>391</v>
      </c>
      <c r="F271" s="269" t="s">
        <v>74</v>
      </c>
      <c r="G271" s="269" t="s">
        <v>480</v>
      </c>
      <c r="H271" s="269" t="s">
        <v>19</v>
      </c>
      <c r="I271" s="269" t="s">
        <v>583</v>
      </c>
      <c r="J271" s="269">
        <v>0</v>
      </c>
      <c r="K271" s="269" t="s">
        <v>584</v>
      </c>
      <c r="L271" s="269" t="s">
        <v>592</v>
      </c>
      <c r="M271" s="274">
        <v>0</v>
      </c>
      <c r="N271" s="468" t="s">
        <v>332</v>
      </c>
      <c r="O271" s="274">
        <v>0</v>
      </c>
      <c r="P271" s="553" t="s">
        <v>1726</v>
      </c>
      <c r="Q271" s="469"/>
    </row>
    <row r="272" spans="1:17" hidden="1" x14ac:dyDescent="0.2">
      <c r="A272" s="269" t="s">
        <v>277</v>
      </c>
      <c r="B272" s="269" t="s">
        <v>277</v>
      </c>
      <c r="C272" s="269">
        <v>2019</v>
      </c>
      <c r="D272" s="269" t="s">
        <v>370</v>
      </c>
      <c r="E272" s="269" t="s">
        <v>391</v>
      </c>
      <c r="F272" s="269" t="s">
        <v>74</v>
      </c>
      <c r="G272" s="269" t="s">
        <v>480</v>
      </c>
      <c r="H272" s="269" t="s">
        <v>20</v>
      </c>
      <c r="I272" s="269" t="s">
        <v>583</v>
      </c>
      <c r="J272" s="269">
        <v>0</v>
      </c>
      <c r="K272" s="269" t="s">
        <v>584</v>
      </c>
      <c r="L272" s="269" t="s">
        <v>616</v>
      </c>
      <c r="M272" s="274">
        <v>0</v>
      </c>
      <c r="N272" s="468" t="s">
        <v>332</v>
      </c>
      <c r="O272" s="274">
        <v>0</v>
      </c>
      <c r="P272" s="553" t="s">
        <v>1726</v>
      </c>
      <c r="Q272" s="469"/>
    </row>
    <row r="273" spans="1:17" ht="25.5" hidden="1" x14ac:dyDescent="0.2">
      <c r="A273" s="269" t="s">
        <v>277</v>
      </c>
      <c r="B273" s="269" t="s">
        <v>277</v>
      </c>
      <c r="C273" s="269">
        <v>2019</v>
      </c>
      <c r="D273" s="269" t="s">
        <v>370</v>
      </c>
      <c r="E273" s="269" t="s">
        <v>391</v>
      </c>
      <c r="F273" s="269" t="s">
        <v>74</v>
      </c>
      <c r="G273" s="269" t="s">
        <v>480</v>
      </c>
      <c r="H273" s="269" t="s">
        <v>587</v>
      </c>
      <c r="I273" s="269" t="s">
        <v>583</v>
      </c>
      <c r="J273" s="269">
        <v>50000</v>
      </c>
      <c r="K273" s="269" t="s">
        <v>584</v>
      </c>
      <c r="L273" s="269" t="s">
        <v>623</v>
      </c>
      <c r="M273" s="274">
        <v>78783</v>
      </c>
      <c r="N273" s="468">
        <f t="shared" si="4"/>
        <v>158</v>
      </c>
      <c r="O273" s="274">
        <v>218</v>
      </c>
      <c r="P273" s="553" t="s">
        <v>1722</v>
      </c>
      <c r="Q273" s="624" t="s">
        <v>1901</v>
      </c>
    </row>
    <row r="274" spans="1:17" hidden="1" x14ac:dyDescent="0.2">
      <c r="A274" s="269" t="s">
        <v>277</v>
      </c>
      <c r="B274" s="269" t="s">
        <v>277</v>
      </c>
      <c r="C274" s="269">
        <v>2019</v>
      </c>
      <c r="D274" s="269" t="s">
        <v>370</v>
      </c>
      <c r="E274" s="269" t="s">
        <v>391</v>
      </c>
      <c r="F274" s="269" t="s">
        <v>74</v>
      </c>
      <c r="G274" s="269" t="s">
        <v>480</v>
      </c>
      <c r="H274" s="269" t="s">
        <v>588</v>
      </c>
      <c r="I274" s="269" t="s">
        <v>583</v>
      </c>
      <c r="J274" s="269">
        <v>20000</v>
      </c>
      <c r="K274" s="269" t="s">
        <v>584</v>
      </c>
      <c r="L274" s="269"/>
      <c r="M274" s="274">
        <v>21111</v>
      </c>
      <c r="N274" s="468">
        <f t="shared" si="4"/>
        <v>106</v>
      </c>
      <c r="O274" s="274">
        <v>218</v>
      </c>
      <c r="P274" s="553" t="s">
        <v>1722</v>
      </c>
      <c r="Q274" s="469"/>
    </row>
    <row r="275" spans="1:17" ht="25.5" hidden="1" x14ac:dyDescent="0.2">
      <c r="A275" s="269" t="s">
        <v>277</v>
      </c>
      <c r="B275" s="269" t="s">
        <v>277</v>
      </c>
      <c r="C275" s="269">
        <v>2019</v>
      </c>
      <c r="D275" s="269" t="s">
        <v>370</v>
      </c>
      <c r="E275" s="269" t="s">
        <v>391</v>
      </c>
      <c r="F275" s="269" t="s">
        <v>74</v>
      </c>
      <c r="G275" s="269" t="s">
        <v>480</v>
      </c>
      <c r="H275" s="269" t="s">
        <v>42</v>
      </c>
      <c r="I275" s="269" t="s">
        <v>589</v>
      </c>
      <c r="J275" s="269">
        <v>1000</v>
      </c>
      <c r="K275" s="269" t="s">
        <v>584</v>
      </c>
      <c r="L275" s="269"/>
      <c r="M275" s="274">
        <v>2975</v>
      </c>
      <c r="N275" s="468">
        <f t="shared" si="4"/>
        <v>298</v>
      </c>
      <c r="O275" s="274">
        <v>67</v>
      </c>
      <c r="P275" s="553" t="s">
        <v>1741</v>
      </c>
      <c r="Q275" s="624" t="s">
        <v>1901</v>
      </c>
    </row>
    <row r="276" spans="1:17" x14ac:dyDescent="0.2">
      <c r="A276" s="269" t="s">
        <v>277</v>
      </c>
      <c r="B276" s="269" t="s">
        <v>277</v>
      </c>
      <c r="C276" s="269">
        <v>2019</v>
      </c>
      <c r="D276" s="269" t="s">
        <v>370</v>
      </c>
      <c r="E276" s="269" t="s">
        <v>391</v>
      </c>
      <c r="F276" s="269" t="s">
        <v>74</v>
      </c>
      <c r="G276" s="269" t="s">
        <v>480</v>
      </c>
      <c r="H276" s="269" t="s">
        <v>19</v>
      </c>
      <c r="I276" s="269" t="s">
        <v>589</v>
      </c>
      <c r="J276" s="269">
        <v>0</v>
      </c>
      <c r="K276" s="269" t="s">
        <v>584</v>
      </c>
      <c r="L276" s="269" t="s">
        <v>592</v>
      </c>
      <c r="M276" s="274">
        <v>0</v>
      </c>
      <c r="N276" s="468" t="s">
        <v>332</v>
      </c>
      <c r="O276" s="274">
        <v>0</v>
      </c>
      <c r="P276" s="553" t="s">
        <v>1726</v>
      </c>
      <c r="Q276" s="469"/>
    </row>
    <row r="277" spans="1:17" ht="25.5" x14ac:dyDescent="0.2">
      <c r="A277" s="269" t="s">
        <v>277</v>
      </c>
      <c r="B277" s="269" t="s">
        <v>277</v>
      </c>
      <c r="C277" s="269">
        <v>2019</v>
      </c>
      <c r="D277" s="269" t="s">
        <v>370</v>
      </c>
      <c r="E277" s="269" t="s">
        <v>391</v>
      </c>
      <c r="F277" s="269" t="s">
        <v>74</v>
      </c>
      <c r="G277" s="269" t="s">
        <v>480</v>
      </c>
      <c r="H277" s="269" t="s">
        <v>20</v>
      </c>
      <c r="I277" s="269" t="s">
        <v>589</v>
      </c>
      <c r="J277" s="269">
        <v>500</v>
      </c>
      <c r="K277" s="269" t="s">
        <v>584</v>
      </c>
      <c r="L277" s="269"/>
      <c r="M277" s="274">
        <v>1179</v>
      </c>
      <c r="N277" s="468">
        <f t="shared" si="4"/>
        <v>236</v>
      </c>
      <c r="O277" s="274">
        <v>67</v>
      </c>
      <c r="P277" s="553" t="s">
        <v>1741</v>
      </c>
      <c r="Q277" s="624" t="s">
        <v>1901</v>
      </c>
    </row>
    <row r="278" spans="1:17" ht="25.5" x14ac:dyDescent="0.2">
      <c r="A278" s="269" t="s">
        <v>277</v>
      </c>
      <c r="B278" s="269" t="s">
        <v>277</v>
      </c>
      <c r="C278" s="269">
        <v>2019</v>
      </c>
      <c r="D278" s="269" t="s">
        <v>370</v>
      </c>
      <c r="E278" s="269" t="s">
        <v>391</v>
      </c>
      <c r="F278" s="269" t="s">
        <v>74</v>
      </c>
      <c r="G278" s="269" t="s">
        <v>480</v>
      </c>
      <c r="H278" s="269" t="s">
        <v>587</v>
      </c>
      <c r="I278" s="269" t="s">
        <v>589</v>
      </c>
      <c r="J278" s="269">
        <v>1000</v>
      </c>
      <c r="K278" s="269" t="s">
        <v>584</v>
      </c>
      <c r="L278" s="269"/>
      <c r="M278" s="274">
        <v>2975</v>
      </c>
      <c r="N278" s="468">
        <f t="shared" si="4"/>
        <v>298</v>
      </c>
      <c r="O278" s="274">
        <v>67</v>
      </c>
      <c r="P278" s="553" t="s">
        <v>1741</v>
      </c>
      <c r="Q278" s="624" t="s">
        <v>1901</v>
      </c>
    </row>
    <row r="279" spans="1:17" x14ac:dyDescent="0.2">
      <c r="A279" s="269" t="s">
        <v>277</v>
      </c>
      <c r="B279" s="269" t="s">
        <v>277</v>
      </c>
      <c r="C279" s="269">
        <v>2019</v>
      </c>
      <c r="D279" s="269" t="s">
        <v>370</v>
      </c>
      <c r="E279" s="269" t="s">
        <v>391</v>
      </c>
      <c r="F279" s="269" t="s">
        <v>74</v>
      </c>
      <c r="G279" s="269" t="s">
        <v>480</v>
      </c>
      <c r="H279" s="269" t="s">
        <v>588</v>
      </c>
      <c r="I279" s="269" t="s">
        <v>589</v>
      </c>
      <c r="J279" s="269">
        <v>300</v>
      </c>
      <c r="K279" s="269" t="s">
        <v>584</v>
      </c>
      <c r="L279" s="269"/>
      <c r="M279" s="274">
        <v>347</v>
      </c>
      <c r="N279" s="468">
        <f t="shared" si="4"/>
        <v>116</v>
      </c>
      <c r="O279" s="274">
        <v>67</v>
      </c>
      <c r="P279" s="553" t="s">
        <v>1741</v>
      </c>
      <c r="Q279" s="469"/>
    </row>
    <row r="280" spans="1:17" hidden="1" x14ac:dyDescent="0.2">
      <c r="A280" s="269" t="s">
        <v>277</v>
      </c>
      <c r="B280" s="269" t="s">
        <v>277</v>
      </c>
      <c r="C280" s="269">
        <v>2019</v>
      </c>
      <c r="D280" s="269" t="s">
        <v>378</v>
      </c>
      <c r="E280" s="269" t="s">
        <v>391</v>
      </c>
      <c r="F280" s="269" t="s">
        <v>74</v>
      </c>
      <c r="G280" s="269" t="s">
        <v>415</v>
      </c>
      <c r="H280" s="269" t="s">
        <v>42</v>
      </c>
      <c r="I280" s="269" t="s">
        <v>583</v>
      </c>
      <c r="J280" s="269">
        <v>2000</v>
      </c>
      <c r="K280" s="269" t="s">
        <v>584</v>
      </c>
      <c r="L280" s="269"/>
      <c r="M280" s="274">
        <v>2196</v>
      </c>
      <c r="N280" s="468">
        <f t="shared" si="4"/>
        <v>110</v>
      </c>
      <c r="O280" s="274">
        <v>66</v>
      </c>
      <c r="P280" s="553" t="s">
        <v>1722</v>
      </c>
      <c r="Q280" s="469"/>
    </row>
    <row r="281" spans="1:17" ht="25.5" hidden="1" x14ac:dyDescent="0.2">
      <c r="A281" s="269" t="s">
        <v>277</v>
      </c>
      <c r="B281" s="269" t="s">
        <v>277</v>
      </c>
      <c r="C281" s="269">
        <v>2019</v>
      </c>
      <c r="D281" s="269" t="s">
        <v>378</v>
      </c>
      <c r="E281" s="269" t="s">
        <v>391</v>
      </c>
      <c r="F281" s="269" t="s">
        <v>74</v>
      </c>
      <c r="G281" s="269" t="s">
        <v>415</v>
      </c>
      <c r="H281" s="269" t="s">
        <v>19</v>
      </c>
      <c r="I281" s="269" t="s">
        <v>583</v>
      </c>
      <c r="J281" s="269">
        <v>250</v>
      </c>
      <c r="K281" s="269" t="s">
        <v>584</v>
      </c>
      <c r="L281" s="269" t="s">
        <v>621</v>
      </c>
      <c r="M281" s="274">
        <v>586</v>
      </c>
      <c r="N281" s="468">
        <f t="shared" si="4"/>
        <v>234</v>
      </c>
      <c r="O281" s="274">
        <v>26</v>
      </c>
      <c r="P281" s="553" t="s">
        <v>1733</v>
      </c>
      <c r="Q281" s="624" t="s">
        <v>1901</v>
      </c>
    </row>
    <row r="282" spans="1:17" ht="25.5" hidden="1" x14ac:dyDescent="0.2">
      <c r="A282" s="269" t="s">
        <v>277</v>
      </c>
      <c r="B282" s="269" t="s">
        <v>277</v>
      </c>
      <c r="C282" s="269">
        <v>2019</v>
      </c>
      <c r="D282" s="269" t="s">
        <v>378</v>
      </c>
      <c r="E282" s="269" t="s">
        <v>391</v>
      </c>
      <c r="F282" s="269" t="s">
        <v>74</v>
      </c>
      <c r="G282" s="269" t="s">
        <v>415</v>
      </c>
      <c r="H282" s="269" t="s">
        <v>20</v>
      </c>
      <c r="I282" s="269" t="s">
        <v>583</v>
      </c>
      <c r="J282" s="269">
        <v>250</v>
      </c>
      <c r="K282" s="269" t="s">
        <v>584</v>
      </c>
      <c r="L282" s="269" t="s">
        <v>621</v>
      </c>
      <c r="M282" s="274">
        <v>586</v>
      </c>
      <c r="N282" s="468">
        <f t="shared" si="4"/>
        <v>234</v>
      </c>
      <c r="O282" s="274">
        <v>26</v>
      </c>
      <c r="P282" s="553" t="s">
        <v>1733</v>
      </c>
      <c r="Q282" s="624" t="s">
        <v>1901</v>
      </c>
    </row>
    <row r="283" spans="1:17" ht="25.5" hidden="1" x14ac:dyDescent="0.2">
      <c r="A283" s="269" t="s">
        <v>277</v>
      </c>
      <c r="B283" s="269" t="s">
        <v>277</v>
      </c>
      <c r="C283" s="269">
        <v>2019</v>
      </c>
      <c r="D283" s="269" t="s">
        <v>378</v>
      </c>
      <c r="E283" s="269" t="s">
        <v>391</v>
      </c>
      <c r="F283" s="269" t="s">
        <v>74</v>
      </c>
      <c r="G283" s="269" t="s">
        <v>415</v>
      </c>
      <c r="H283" s="269" t="s">
        <v>587</v>
      </c>
      <c r="I283" s="269" t="s">
        <v>583</v>
      </c>
      <c r="J283" s="269">
        <v>100</v>
      </c>
      <c r="K283" s="269" t="s">
        <v>584</v>
      </c>
      <c r="L283" s="269" t="s">
        <v>621</v>
      </c>
      <c r="M283" s="274">
        <v>494</v>
      </c>
      <c r="N283" s="468">
        <f t="shared" si="4"/>
        <v>494</v>
      </c>
      <c r="O283" s="274">
        <v>22</v>
      </c>
      <c r="P283" s="553" t="s">
        <v>1733</v>
      </c>
      <c r="Q283" s="624" t="s">
        <v>1901</v>
      </c>
    </row>
    <row r="284" spans="1:17" ht="25.5" hidden="1" x14ac:dyDescent="0.2">
      <c r="A284" s="269" t="s">
        <v>277</v>
      </c>
      <c r="B284" s="269" t="s">
        <v>277</v>
      </c>
      <c r="C284" s="269">
        <v>2019</v>
      </c>
      <c r="D284" s="269" t="s">
        <v>378</v>
      </c>
      <c r="E284" s="269" t="s">
        <v>391</v>
      </c>
      <c r="F284" s="269" t="s">
        <v>74</v>
      </c>
      <c r="G284" s="269" t="s">
        <v>415</v>
      </c>
      <c r="H284" s="269" t="s">
        <v>588</v>
      </c>
      <c r="I284" s="269" t="s">
        <v>583</v>
      </c>
      <c r="J284" s="269">
        <v>50</v>
      </c>
      <c r="K284" s="269" t="s">
        <v>584</v>
      </c>
      <c r="L284" s="269" t="s">
        <v>621</v>
      </c>
      <c r="M284" s="274">
        <v>0</v>
      </c>
      <c r="N284" s="468">
        <f t="shared" si="4"/>
        <v>0</v>
      </c>
      <c r="O284" s="274">
        <v>0</v>
      </c>
      <c r="P284" s="553" t="s">
        <v>1733</v>
      </c>
      <c r="Q284" s="469" t="s">
        <v>1742</v>
      </c>
    </row>
    <row r="285" spans="1:17" hidden="1" x14ac:dyDescent="0.2">
      <c r="A285" s="269" t="s">
        <v>277</v>
      </c>
      <c r="B285" s="269" t="s">
        <v>277</v>
      </c>
      <c r="C285" s="269">
        <v>2019</v>
      </c>
      <c r="D285" s="269" t="s">
        <v>378</v>
      </c>
      <c r="E285" s="269" t="s">
        <v>391</v>
      </c>
      <c r="F285" s="269" t="s">
        <v>74</v>
      </c>
      <c r="G285" s="269" t="s">
        <v>415</v>
      </c>
      <c r="H285" s="269" t="s">
        <v>42</v>
      </c>
      <c r="I285" s="269" t="s">
        <v>589</v>
      </c>
      <c r="J285" s="269">
        <v>0</v>
      </c>
      <c r="K285" s="269" t="s">
        <v>584</v>
      </c>
      <c r="L285" s="269" t="s">
        <v>606</v>
      </c>
      <c r="M285" s="274">
        <v>0</v>
      </c>
      <c r="N285" s="468" t="s">
        <v>332</v>
      </c>
      <c r="O285" s="274">
        <v>0</v>
      </c>
      <c r="P285" s="553" t="s">
        <v>1726</v>
      </c>
      <c r="Q285" s="469"/>
    </row>
    <row r="286" spans="1:17" x14ac:dyDescent="0.2">
      <c r="A286" s="269" t="s">
        <v>277</v>
      </c>
      <c r="B286" s="269" t="s">
        <v>277</v>
      </c>
      <c r="C286" s="269">
        <v>2019</v>
      </c>
      <c r="D286" s="269" t="s">
        <v>378</v>
      </c>
      <c r="E286" s="269" t="s">
        <v>391</v>
      </c>
      <c r="F286" s="269" t="s">
        <v>74</v>
      </c>
      <c r="G286" s="269" t="s">
        <v>415</v>
      </c>
      <c r="H286" s="269" t="s">
        <v>19</v>
      </c>
      <c r="I286" s="269" t="s">
        <v>589</v>
      </c>
      <c r="J286" s="269">
        <v>0</v>
      </c>
      <c r="K286" s="269" t="s">
        <v>584</v>
      </c>
      <c r="L286" s="269" t="s">
        <v>606</v>
      </c>
      <c r="M286" s="274">
        <v>0</v>
      </c>
      <c r="N286" s="468" t="s">
        <v>332</v>
      </c>
      <c r="O286" s="274">
        <v>0</v>
      </c>
      <c r="P286" s="553" t="s">
        <v>1726</v>
      </c>
      <c r="Q286" s="469"/>
    </row>
    <row r="287" spans="1:17" x14ac:dyDescent="0.2">
      <c r="A287" s="269" t="s">
        <v>277</v>
      </c>
      <c r="B287" s="269" t="s">
        <v>277</v>
      </c>
      <c r="C287" s="269">
        <v>2019</v>
      </c>
      <c r="D287" s="269" t="s">
        <v>378</v>
      </c>
      <c r="E287" s="269" t="s">
        <v>391</v>
      </c>
      <c r="F287" s="269" t="s">
        <v>74</v>
      </c>
      <c r="G287" s="269" t="s">
        <v>415</v>
      </c>
      <c r="H287" s="269" t="s">
        <v>20</v>
      </c>
      <c r="I287" s="269" t="s">
        <v>589</v>
      </c>
      <c r="J287" s="269">
        <v>0</v>
      </c>
      <c r="K287" s="269" t="s">
        <v>584</v>
      </c>
      <c r="L287" s="269" t="s">
        <v>606</v>
      </c>
      <c r="M287" s="274">
        <v>0</v>
      </c>
      <c r="N287" s="468" t="s">
        <v>332</v>
      </c>
      <c r="O287" s="274">
        <v>0</v>
      </c>
      <c r="P287" s="553" t="s">
        <v>1726</v>
      </c>
      <c r="Q287" s="469"/>
    </row>
    <row r="288" spans="1:17" x14ac:dyDescent="0.2">
      <c r="A288" s="269" t="s">
        <v>277</v>
      </c>
      <c r="B288" s="269" t="s">
        <v>277</v>
      </c>
      <c r="C288" s="269">
        <v>2019</v>
      </c>
      <c r="D288" s="269" t="s">
        <v>378</v>
      </c>
      <c r="E288" s="269" t="s">
        <v>391</v>
      </c>
      <c r="F288" s="269" t="s">
        <v>74</v>
      </c>
      <c r="G288" s="269" t="s">
        <v>415</v>
      </c>
      <c r="H288" s="269" t="s">
        <v>587</v>
      </c>
      <c r="I288" s="269" t="s">
        <v>589</v>
      </c>
      <c r="J288" s="269">
        <v>0</v>
      </c>
      <c r="K288" s="269" t="s">
        <v>584</v>
      </c>
      <c r="L288" s="269" t="s">
        <v>606</v>
      </c>
      <c r="M288" s="274">
        <v>0</v>
      </c>
      <c r="N288" s="468" t="s">
        <v>332</v>
      </c>
      <c r="O288" s="274">
        <v>0</v>
      </c>
      <c r="P288" s="553" t="s">
        <v>1726</v>
      </c>
      <c r="Q288" s="469"/>
    </row>
    <row r="289" spans="1:17" x14ac:dyDescent="0.2">
      <c r="A289" s="269" t="s">
        <v>277</v>
      </c>
      <c r="B289" s="269" t="s">
        <v>277</v>
      </c>
      <c r="C289" s="269">
        <v>2019</v>
      </c>
      <c r="D289" s="269" t="s">
        <v>378</v>
      </c>
      <c r="E289" s="269" t="s">
        <v>391</v>
      </c>
      <c r="F289" s="269" t="s">
        <v>74</v>
      </c>
      <c r="G289" s="269" t="s">
        <v>415</v>
      </c>
      <c r="H289" s="269" t="s">
        <v>588</v>
      </c>
      <c r="I289" s="269" t="s">
        <v>589</v>
      </c>
      <c r="J289" s="269">
        <v>0</v>
      </c>
      <c r="K289" s="269" t="s">
        <v>584</v>
      </c>
      <c r="L289" s="269" t="s">
        <v>606</v>
      </c>
      <c r="M289" s="274">
        <v>0</v>
      </c>
      <c r="N289" s="468" t="s">
        <v>332</v>
      </c>
      <c r="O289" s="274">
        <v>0</v>
      </c>
      <c r="P289" s="553" t="s">
        <v>1726</v>
      </c>
      <c r="Q289" s="469"/>
    </row>
    <row r="290" spans="1:17" hidden="1" x14ac:dyDescent="0.2">
      <c r="A290" s="269" t="s">
        <v>277</v>
      </c>
      <c r="B290" s="269" t="s">
        <v>277</v>
      </c>
      <c r="C290" s="269">
        <v>2019</v>
      </c>
      <c r="D290" s="269" t="s">
        <v>378</v>
      </c>
      <c r="E290" s="269" t="s">
        <v>391</v>
      </c>
      <c r="F290" s="269" t="s">
        <v>74</v>
      </c>
      <c r="G290" s="269" t="s">
        <v>488</v>
      </c>
      <c r="H290" s="269" t="s">
        <v>42</v>
      </c>
      <c r="I290" s="269" t="s">
        <v>583</v>
      </c>
      <c r="J290" s="269">
        <v>0</v>
      </c>
      <c r="K290" s="269" t="s">
        <v>584</v>
      </c>
      <c r="L290" s="269" t="s">
        <v>629</v>
      </c>
      <c r="M290" s="274">
        <v>465</v>
      </c>
      <c r="N290" s="468" t="s">
        <v>332</v>
      </c>
      <c r="O290" s="274">
        <v>23</v>
      </c>
      <c r="P290" s="553" t="s">
        <v>1726</v>
      </c>
      <c r="Q290" s="469"/>
    </row>
    <row r="291" spans="1:17" hidden="1" x14ac:dyDescent="0.2">
      <c r="A291" s="269" t="s">
        <v>277</v>
      </c>
      <c r="B291" s="269" t="s">
        <v>277</v>
      </c>
      <c r="C291" s="269">
        <v>2019</v>
      </c>
      <c r="D291" s="269" t="s">
        <v>378</v>
      </c>
      <c r="E291" s="269" t="s">
        <v>391</v>
      </c>
      <c r="F291" s="269" t="s">
        <v>74</v>
      </c>
      <c r="G291" s="269" t="s">
        <v>488</v>
      </c>
      <c r="H291" s="269" t="s">
        <v>19</v>
      </c>
      <c r="I291" s="269" t="s">
        <v>583</v>
      </c>
      <c r="J291" s="269">
        <v>0</v>
      </c>
      <c r="K291" s="269" t="s">
        <v>584</v>
      </c>
      <c r="L291" s="269" t="s">
        <v>592</v>
      </c>
      <c r="M291" s="274">
        <v>136</v>
      </c>
      <c r="N291" s="468" t="s">
        <v>332</v>
      </c>
      <c r="O291" s="274">
        <v>8</v>
      </c>
      <c r="P291" s="553" t="s">
        <v>1726</v>
      </c>
      <c r="Q291" s="469"/>
    </row>
    <row r="292" spans="1:17" hidden="1" x14ac:dyDescent="0.2">
      <c r="A292" s="269" t="s">
        <v>277</v>
      </c>
      <c r="B292" s="269" t="s">
        <v>277</v>
      </c>
      <c r="C292" s="269">
        <v>2019</v>
      </c>
      <c r="D292" s="269" t="s">
        <v>378</v>
      </c>
      <c r="E292" s="269" t="s">
        <v>391</v>
      </c>
      <c r="F292" s="269" t="s">
        <v>74</v>
      </c>
      <c r="G292" s="269" t="s">
        <v>488</v>
      </c>
      <c r="H292" s="269" t="s">
        <v>20</v>
      </c>
      <c r="I292" s="269" t="s">
        <v>583</v>
      </c>
      <c r="J292" s="269">
        <v>0</v>
      </c>
      <c r="K292" s="269" t="s">
        <v>584</v>
      </c>
      <c r="L292" s="269" t="s">
        <v>629</v>
      </c>
      <c r="M292" s="274">
        <v>136</v>
      </c>
      <c r="N292" s="468" t="s">
        <v>332</v>
      </c>
      <c r="O292" s="274">
        <v>8</v>
      </c>
      <c r="P292" s="553" t="s">
        <v>1726</v>
      </c>
      <c r="Q292" s="469"/>
    </row>
    <row r="293" spans="1:17" hidden="1" x14ac:dyDescent="0.2">
      <c r="A293" s="269" t="s">
        <v>277</v>
      </c>
      <c r="B293" s="269" t="s">
        <v>277</v>
      </c>
      <c r="C293" s="269">
        <v>2019</v>
      </c>
      <c r="D293" s="269" t="s">
        <v>378</v>
      </c>
      <c r="E293" s="269" t="s">
        <v>391</v>
      </c>
      <c r="F293" s="269" t="s">
        <v>74</v>
      </c>
      <c r="G293" s="269" t="s">
        <v>488</v>
      </c>
      <c r="H293" s="269" t="s">
        <v>587</v>
      </c>
      <c r="I293" s="269" t="s">
        <v>583</v>
      </c>
      <c r="J293" s="269">
        <v>0</v>
      </c>
      <c r="K293" s="269" t="s">
        <v>584</v>
      </c>
      <c r="L293" s="269" t="s">
        <v>629</v>
      </c>
      <c r="M293" s="274">
        <v>119</v>
      </c>
      <c r="N293" s="468" t="s">
        <v>332</v>
      </c>
      <c r="O293" s="274">
        <v>8</v>
      </c>
      <c r="P293" s="553" t="s">
        <v>1726</v>
      </c>
      <c r="Q293" s="469"/>
    </row>
    <row r="294" spans="1:17" hidden="1" x14ac:dyDescent="0.2">
      <c r="A294" s="269" t="s">
        <v>277</v>
      </c>
      <c r="B294" s="269" t="s">
        <v>277</v>
      </c>
      <c r="C294" s="269">
        <v>2019</v>
      </c>
      <c r="D294" s="269" t="s">
        <v>378</v>
      </c>
      <c r="E294" s="269" t="s">
        <v>391</v>
      </c>
      <c r="F294" s="269" t="s">
        <v>74</v>
      </c>
      <c r="G294" s="269" t="s">
        <v>488</v>
      </c>
      <c r="H294" s="269" t="s">
        <v>588</v>
      </c>
      <c r="I294" s="269" t="s">
        <v>583</v>
      </c>
      <c r="J294" s="269">
        <v>0</v>
      </c>
      <c r="K294" s="269" t="s">
        <v>584</v>
      </c>
      <c r="L294" s="269" t="s">
        <v>629</v>
      </c>
      <c r="M294" s="274">
        <v>14</v>
      </c>
      <c r="N294" s="468" t="s">
        <v>332</v>
      </c>
      <c r="O294" s="274">
        <v>1</v>
      </c>
      <c r="P294" s="553" t="s">
        <v>1726</v>
      </c>
      <c r="Q294" s="469"/>
    </row>
    <row r="295" spans="1:17" hidden="1" x14ac:dyDescent="0.2">
      <c r="A295" s="269" t="s">
        <v>277</v>
      </c>
      <c r="B295" s="269" t="s">
        <v>277</v>
      </c>
      <c r="C295" s="269">
        <v>2019</v>
      </c>
      <c r="D295" s="269" t="s">
        <v>378</v>
      </c>
      <c r="E295" s="269" t="s">
        <v>391</v>
      </c>
      <c r="F295" s="269" t="s">
        <v>74</v>
      </c>
      <c r="G295" s="269" t="s">
        <v>488</v>
      </c>
      <c r="H295" s="269" t="s">
        <v>42</v>
      </c>
      <c r="I295" s="269" t="s">
        <v>589</v>
      </c>
      <c r="J295" s="269">
        <v>500</v>
      </c>
      <c r="K295" s="269" t="s">
        <v>584</v>
      </c>
      <c r="L295" s="269" t="s">
        <v>620</v>
      </c>
      <c r="M295" s="274">
        <v>320</v>
      </c>
      <c r="N295" s="468">
        <f t="shared" si="4"/>
        <v>64</v>
      </c>
      <c r="O295" s="274">
        <v>21</v>
      </c>
      <c r="P295" s="553" t="s">
        <v>647</v>
      </c>
      <c r="Q295" s="469" t="s">
        <v>1719</v>
      </c>
    </row>
    <row r="296" spans="1:17" x14ac:dyDescent="0.2">
      <c r="A296" s="269" t="s">
        <v>277</v>
      </c>
      <c r="B296" s="269" t="s">
        <v>277</v>
      </c>
      <c r="C296" s="269">
        <v>2019</v>
      </c>
      <c r="D296" s="269" t="s">
        <v>378</v>
      </c>
      <c r="E296" s="269" t="s">
        <v>391</v>
      </c>
      <c r="F296" s="269" t="s">
        <v>74</v>
      </c>
      <c r="G296" s="269" t="s">
        <v>488</v>
      </c>
      <c r="H296" s="269" t="s">
        <v>19</v>
      </c>
      <c r="I296" s="269" t="s">
        <v>589</v>
      </c>
      <c r="J296" s="269">
        <v>100</v>
      </c>
      <c r="K296" s="269" t="s">
        <v>584</v>
      </c>
      <c r="L296" s="269" t="s">
        <v>617</v>
      </c>
      <c r="M296" s="274">
        <v>145</v>
      </c>
      <c r="N296" s="468">
        <f t="shared" si="4"/>
        <v>145</v>
      </c>
      <c r="O296" s="274">
        <v>21</v>
      </c>
      <c r="P296" s="553" t="s">
        <v>647</v>
      </c>
      <c r="Q296" s="469"/>
    </row>
    <row r="297" spans="1:17" x14ac:dyDescent="0.2">
      <c r="A297" s="269" t="s">
        <v>277</v>
      </c>
      <c r="B297" s="269" t="s">
        <v>277</v>
      </c>
      <c r="C297" s="269">
        <v>2019</v>
      </c>
      <c r="D297" s="269" t="s">
        <v>378</v>
      </c>
      <c r="E297" s="269" t="s">
        <v>391</v>
      </c>
      <c r="F297" s="269" t="s">
        <v>74</v>
      </c>
      <c r="G297" s="269" t="s">
        <v>488</v>
      </c>
      <c r="H297" s="269" t="s">
        <v>20</v>
      </c>
      <c r="I297" s="269" t="s">
        <v>589</v>
      </c>
      <c r="J297" s="269">
        <v>100</v>
      </c>
      <c r="K297" s="269" t="s">
        <v>584</v>
      </c>
      <c r="L297" s="269" t="s">
        <v>620</v>
      </c>
      <c r="M297" s="274">
        <v>145</v>
      </c>
      <c r="N297" s="468">
        <f t="shared" si="4"/>
        <v>145</v>
      </c>
      <c r="O297" s="274">
        <v>21</v>
      </c>
      <c r="P297" s="553" t="s">
        <v>647</v>
      </c>
      <c r="Q297" s="469"/>
    </row>
    <row r="298" spans="1:17" x14ac:dyDescent="0.2">
      <c r="A298" s="269" t="s">
        <v>277</v>
      </c>
      <c r="B298" s="269" t="s">
        <v>277</v>
      </c>
      <c r="C298" s="269">
        <v>2019</v>
      </c>
      <c r="D298" s="269" t="s">
        <v>378</v>
      </c>
      <c r="E298" s="269" t="s">
        <v>391</v>
      </c>
      <c r="F298" s="269" t="s">
        <v>74</v>
      </c>
      <c r="G298" s="269" t="s">
        <v>488</v>
      </c>
      <c r="H298" s="269" t="s">
        <v>587</v>
      </c>
      <c r="I298" s="269" t="s">
        <v>589</v>
      </c>
      <c r="J298" s="269">
        <v>100</v>
      </c>
      <c r="K298" s="269" t="s">
        <v>584</v>
      </c>
      <c r="L298" s="269" t="s">
        <v>620</v>
      </c>
      <c r="M298" s="274">
        <v>145</v>
      </c>
      <c r="N298" s="468">
        <f t="shared" si="4"/>
        <v>145</v>
      </c>
      <c r="O298" s="274">
        <v>21</v>
      </c>
      <c r="P298" s="553" t="s">
        <v>647</v>
      </c>
      <c r="Q298" s="469"/>
    </row>
    <row r="299" spans="1:17" x14ac:dyDescent="0.2">
      <c r="A299" s="269" t="s">
        <v>277</v>
      </c>
      <c r="B299" s="269" t="s">
        <v>277</v>
      </c>
      <c r="C299" s="269">
        <v>2019</v>
      </c>
      <c r="D299" s="269" t="s">
        <v>378</v>
      </c>
      <c r="E299" s="269" t="s">
        <v>391</v>
      </c>
      <c r="F299" s="269" t="s">
        <v>74</v>
      </c>
      <c r="G299" s="269" t="s">
        <v>488</v>
      </c>
      <c r="H299" s="269" t="s">
        <v>588</v>
      </c>
      <c r="I299" s="269" t="s">
        <v>589</v>
      </c>
      <c r="J299" s="269">
        <v>100</v>
      </c>
      <c r="K299" s="269" t="s">
        <v>584</v>
      </c>
      <c r="L299" s="269" t="s">
        <v>620</v>
      </c>
      <c r="M299" s="274">
        <v>145</v>
      </c>
      <c r="N299" s="468">
        <f t="shared" si="4"/>
        <v>145</v>
      </c>
      <c r="O299" s="274">
        <v>21</v>
      </c>
      <c r="P299" s="553" t="s">
        <v>647</v>
      </c>
      <c r="Q299" s="469"/>
    </row>
    <row r="300" spans="1:17" hidden="1" x14ac:dyDescent="0.2">
      <c r="A300" s="269" t="s">
        <v>277</v>
      </c>
      <c r="B300" s="269" t="s">
        <v>277</v>
      </c>
      <c r="C300" s="269">
        <v>2019</v>
      </c>
      <c r="D300" s="269" t="s">
        <v>378</v>
      </c>
      <c r="E300" s="269" t="s">
        <v>391</v>
      </c>
      <c r="F300" s="269" t="s">
        <v>74</v>
      </c>
      <c r="G300" s="269" t="s">
        <v>487</v>
      </c>
      <c r="H300" s="269" t="s">
        <v>42</v>
      </c>
      <c r="I300" s="269" t="s">
        <v>583</v>
      </c>
      <c r="J300" s="269">
        <v>2500</v>
      </c>
      <c r="K300" s="269" t="s">
        <v>584</v>
      </c>
      <c r="L300" s="269"/>
      <c r="M300" s="274">
        <v>3722</v>
      </c>
      <c r="N300" s="468">
        <f t="shared" si="4"/>
        <v>149</v>
      </c>
      <c r="O300" s="274">
        <v>120</v>
      </c>
      <c r="P300" s="553" t="s">
        <v>1722</v>
      </c>
      <c r="Q300" s="469"/>
    </row>
    <row r="301" spans="1:17" hidden="1" x14ac:dyDescent="0.2">
      <c r="A301" s="269" t="s">
        <v>277</v>
      </c>
      <c r="B301" s="269" t="s">
        <v>277</v>
      </c>
      <c r="C301" s="269">
        <v>2019</v>
      </c>
      <c r="D301" s="269" t="s">
        <v>378</v>
      </c>
      <c r="E301" s="269" t="s">
        <v>391</v>
      </c>
      <c r="F301" s="269" t="s">
        <v>74</v>
      </c>
      <c r="G301" s="269" t="s">
        <v>487</v>
      </c>
      <c r="H301" s="269" t="s">
        <v>19</v>
      </c>
      <c r="I301" s="269" t="s">
        <v>583</v>
      </c>
      <c r="J301" s="269">
        <v>1000</v>
      </c>
      <c r="K301" s="269" t="s">
        <v>584</v>
      </c>
      <c r="L301" s="269" t="s">
        <v>621</v>
      </c>
      <c r="M301" s="274">
        <v>906</v>
      </c>
      <c r="N301" s="468">
        <f t="shared" si="4"/>
        <v>91</v>
      </c>
      <c r="O301" s="274">
        <v>43</v>
      </c>
      <c r="P301" s="553" t="s">
        <v>1733</v>
      </c>
      <c r="Q301" s="469"/>
    </row>
    <row r="302" spans="1:17" hidden="1" x14ac:dyDescent="0.2">
      <c r="A302" s="269" t="s">
        <v>277</v>
      </c>
      <c r="B302" s="269" t="s">
        <v>277</v>
      </c>
      <c r="C302" s="269">
        <v>2019</v>
      </c>
      <c r="D302" s="269" t="s">
        <v>378</v>
      </c>
      <c r="E302" s="269" t="s">
        <v>391</v>
      </c>
      <c r="F302" s="269" t="s">
        <v>74</v>
      </c>
      <c r="G302" s="269" t="s">
        <v>487</v>
      </c>
      <c r="H302" s="269" t="s">
        <v>20</v>
      </c>
      <c r="I302" s="269" t="s">
        <v>583</v>
      </c>
      <c r="J302" s="269">
        <v>1000</v>
      </c>
      <c r="K302" s="269" t="s">
        <v>584</v>
      </c>
      <c r="L302" s="269" t="s">
        <v>621</v>
      </c>
      <c r="M302" s="274">
        <v>906</v>
      </c>
      <c r="N302" s="468">
        <f t="shared" si="4"/>
        <v>91</v>
      </c>
      <c r="O302" s="274">
        <v>43</v>
      </c>
      <c r="P302" s="553" t="s">
        <v>1733</v>
      </c>
      <c r="Q302" s="469"/>
    </row>
    <row r="303" spans="1:17" hidden="1" x14ac:dyDescent="0.2">
      <c r="A303" s="269" t="s">
        <v>277</v>
      </c>
      <c r="B303" s="269" t="s">
        <v>277</v>
      </c>
      <c r="C303" s="269">
        <v>2019</v>
      </c>
      <c r="D303" s="269" t="s">
        <v>378</v>
      </c>
      <c r="E303" s="269" t="s">
        <v>391</v>
      </c>
      <c r="F303" s="269" t="s">
        <v>74</v>
      </c>
      <c r="G303" s="269" t="s">
        <v>487</v>
      </c>
      <c r="H303" s="269" t="s">
        <v>587</v>
      </c>
      <c r="I303" s="269" t="s">
        <v>583</v>
      </c>
      <c r="J303" s="269">
        <v>0</v>
      </c>
      <c r="K303" s="269" t="s">
        <v>584</v>
      </c>
      <c r="L303" s="269" t="s">
        <v>629</v>
      </c>
      <c r="M303" s="274">
        <v>859</v>
      </c>
      <c r="N303" s="468" t="s">
        <v>332</v>
      </c>
      <c r="O303" s="274">
        <v>41</v>
      </c>
      <c r="P303" s="553" t="s">
        <v>1726</v>
      </c>
      <c r="Q303" s="469"/>
    </row>
    <row r="304" spans="1:17" hidden="1" x14ac:dyDescent="0.2">
      <c r="A304" s="269" t="s">
        <v>277</v>
      </c>
      <c r="B304" s="269" t="s">
        <v>277</v>
      </c>
      <c r="C304" s="269">
        <v>2019</v>
      </c>
      <c r="D304" s="269" t="s">
        <v>378</v>
      </c>
      <c r="E304" s="269" t="s">
        <v>391</v>
      </c>
      <c r="F304" s="269" t="s">
        <v>74</v>
      </c>
      <c r="G304" s="269" t="s">
        <v>487</v>
      </c>
      <c r="H304" s="269" t="s">
        <v>588</v>
      </c>
      <c r="I304" s="269" t="s">
        <v>583</v>
      </c>
      <c r="J304" s="269">
        <v>0</v>
      </c>
      <c r="K304" s="269" t="s">
        <v>584</v>
      </c>
      <c r="L304" s="269" t="s">
        <v>629</v>
      </c>
      <c r="M304" s="274">
        <v>0</v>
      </c>
      <c r="N304" s="468" t="s">
        <v>332</v>
      </c>
      <c r="O304" s="274">
        <v>0</v>
      </c>
      <c r="P304" s="553" t="s">
        <v>1726</v>
      </c>
      <c r="Q304" s="469"/>
    </row>
    <row r="305" spans="1:17" ht="25.5" hidden="1" x14ac:dyDescent="0.2">
      <c r="A305" s="269" t="s">
        <v>277</v>
      </c>
      <c r="B305" s="269" t="s">
        <v>277</v>
      </c>
      <c r="C305" s="269">
        <v>2019</v>
      </c>
      <c r="D305" s="269" t="s">
        <v>378</v>
      </c>
      <c r="E305" s="269" t="s">
        <v>391</v>
      </c>
      <c r="F305" s="269" t="s">
        <v>74</v>
      </c>
      <c r="G305" s="269" t="s">
        <v>487</v>
      </c>
      <c r="H305" s="269" t="s">
        <v>42</v>
      </c>
      <c r="I305" s="269" t="s">
        <v>589</v>
      </c>
      <c r="J305" s="269">
        <v>500</v>
      </c>
      <c r="K305" s="269" t="s">
        <v>584</v>
      </c>
      <c r="L305" s="269" t="s">
        <v>633</v>
      </c>
      <c r="M305" s="274">
        <v>1057</v>
      </c>
      <c r="N305" s="468">
        <f t="shared" si="4"/>
        <v>211</v>
      </c>
      <c r="O305" s="274">
        <v>38</v>
      </c>
      <c r="P305" s="553" t="s">
        <v>647</v>
      </c>
      <c r="Q305" s="624" t="s">
        <v>1901</v>
      </c>
    </row>
    <row r="306" spans="1:17" ht="25.5" x14ac:dyDescent="0.2">
      <c r="A306" s="269" t="s">
        <v>277</v>
      </c>
      <c r="B306" s="269" t="s">
        <v>277</v>
      </c>
      <c r="C306" s="269">
        <v>2019</v>
      </c>
      <c r="D306" s="269" t="s">
        <v>378</v>
      </c>
      <c r="E306" s="269" t="s">
        <v>391</v>
      </c>
      <c r="F306" s="269" t="s">
        <v>74</v>
      </c>
      <c r="G306" s="269" t="s">
        <v>487</v>
      </c>
      <c r="H306" s="269" t="s">
        <v>19</v>
      </c>
      <c r="I306" s="269" t="s">
        <v>589</v>
      </c>
      <c r="J306" s="269">
        <v>200</v>
      </c>
      <c r="K306" s="269" t="s">
        <v>584</v>
      </c>
      <c r="L306" s="269" t="s">
        <v>633</v>
      </c>
      <c r="M306" s="274">
        <v>395</v>
      </c>
      <c r="N306" s="468">
        <f t="shared" si="4"/>
        <v>198</v>
      </c>
      <c r="O306" s="274">
        <v>39</v>
      </c>
      <c r="P306" s="553" t="s">
        <v>647</v>
      </c>
      <c r="Q306" s="624" t="s">
        <v>1901</v>
      </c>
    </row>
    <row r="307" spans="1:17" ht="25.5" x14ac:dyDescent="0.2">
      <c r="A307" s="269" t="s">
        <v>277</v>
      </c>
      <c r="B307" s="269" t="s">
        <v>277</v>
      </c>
      <c r="C307" s="269">
        <v>2019</v>
      </c>
      <c r="D307" s="269" t="s">
        <v>378</v>
      </c>
      <c r="E307" s="269" t="s">
        <v>391</v>
      </c>
      <c r="F307" s="269" t="s">
        <v>74</v>
      </c>
      <c r="G307" s="269" t="s">
        <v>487</v>
      </c>
      <c r="H307" s="269" t="s">
        <v>20</v>
      </c>
      <c r="I307" s="269" t="s">
        <v>589</v>
      </c>
      <c r="J307" s="269">
        <v>200</v>
      </c>
      <c r="K307" s="269" t="s">
        <v>584</v>
      </c>
      <c r="L307" s="269" t="s">
        <v>633</v>
      </c>
      <c r="M307" s="274">
        <v>395</v>
      </c>
      <c r="N307" s="468">
        <f t="shared" si="4"/>
        <v>198</v>
      </c>
      <c r="O307" s="274">
        <v>39</v>
      </c>
      <c r="P307" s="553" t="s">
        <v>647</v>
      </c>
      <c r="Q307" s="624" t="s">
        <v>1901</v>
      </c>
    </row>
    <row r="308" spans="1:17" ht="25.5" x14ac:dyDescent="0.2">
      <c r="A308" s="269" t="s">
        <v>277</v>
      </c>
      <c r="B308" s="269" t="s">
        <v>277</v>
      </c>
      <c r="C308" s="269">
        <v>2019</v>
      </c>
      <c r="D308" s="269" t="s">
        <v>378</v>
      </c>
      <c r="E308" s="269" t="s">
        <v>391</v>
      </c>
      <c r="F308" s="269" t="s">
        <v>74</v>
      </c>
      <c r="G308" s="269" t="s">
        <v>487</v>
      </c>
      <c r="H308" s="269" t="s">
        <v>587</v>
      </c>
      <c r="I308" s="269" t="s">
        <v>589</v>
      </c>
      <c r="J308" s="269">
        <v>200</v>
      </c>
      <c r="K308" s="269" t="s">
        <v>584</v>
      </c>
      <c r="L308" s="269" t="s">
        <v>633</v>
      </c>
      <c r="M308" s="274">
        <v>395</v>
      </c>
      <c r="N308" s="468">
        <f t="shared" si="4"/>
        <v>198</v>
      </c>
      <c r="O308" s="274">
        <v>39</v>
      </c>
      <c r="P308" s="553" t="s">
        <v>647</v>
      </c>
      <c r="Q308" s="624" t="s">
        <v>1901</v>
      </c>
    </row>
    <row r="309" spans="1:17" ht="25.5" x14ac:dyDescent="0.2">
      <c r="A309" s="269" t="s">
        <v>277</v>
      </c>
      <c r="B309" s="269" t="s">
        <v>277</v>
      </c>
      <c r="C309" s="269">
        <v>2019</v>
      </c>
      <c r="D309" s="269" t="s">
        <v>378</v>
      </c>
      <c r="E309" s="269" t="s">
        <v>391</v>
      </c>
      <c r="F309" s="269" t="s">
        <v>74</v>
      </c>
      <c r="G309" s="269" t="s">
        <v>487</v>
      </c>
      <c r="H309" s="269" t="s">
        <v>588</v>
      </c>
      <c r="I309" s="269" t="s">
        <v>589</v>
      </c>
      <c r="J309" s="269">
        <v>200</v>
      </c>
      <c r="K309" s="269" t="s">
        <v>584</v>
      </c>
      <c r="L309" s="269" t="s">
        <v>633</v>
      </c>
      <c r="M309" s="274">
        <v>394</v>
      </c>
      <c r="N309" s="468">
        <f t="shared" si="4"/>
        <v>197</v>
      </c>
      <c r="O309" s="274">
        <v>39</v>
      </c>
      <c r="P309" s="553" t="s">
        <v>647</v>
      </c>
      <c r="Q309" s="624" t="s">
        <v>1901</v>
      </c>
    </row>
    <row r="310" spans="1:17" hidden="1" x14ac:dyDescent="0.2">
      <c r="A310" s="269" t="s">
        <v>277</v>
      </c>
      <c r="B310" s="269" t="s">
        <v>277</v>
      </c>
      <c r="C310" s="269">
        <v>2019</v>
      </c>
      <c r="D310" s="269" t="s">
        <v>378</v>
      </c>
      <c r="E310" s="269" t="s">
        <v>391</v>
      </c>
      <c r="F310" s="269" t="s">
        <v>74</v>
      </c>
      <c r="G310" s="269" t="s">
        <v>489</v>
      </c>
      <c r="H310" s="269" t="s">
        <v>42</v>
      </c>
      <c r="I310" s="269" t="s">
        <v>583</v>
      </c>
      <c r="J310" s="269">
        <v>2000</v>
      </c>
      <c r="K310" s="269" t="s">
        <v>584</v>
      </c>
      <c r="L310" s="269"/>
      <c r="M310" s="274">
        <v>2274</v>
      </c>
      <c r="N310" s="468">
        <f t="shared" si="4"/>
        <v>114</v>
      </c>
      <c r="O310" s="274">
        <v>69</v>
      </c>
      <c r="P310" s="553" t="s">
        <v>1722</v>
      </c>
      <c r="Q310" s="469"/>
    </row>
    <row r="311" spans="1:17" hidden="1" x14ac:dyDescent="0.2">
      <c r="A311" s="269" t="s">
        <v>277</v>
      </c>
      <c r="B311" s="269" t="s">
        <v>277</v>
      </c>
      <c r="C311" s="269">
        <v>2019</v>
      </c>
      <c r="D311" s="269" t="s">
        <v>378</v>
      </c>
      <c r="E311" s="269" t="s">
        <v>391</v>
      </c>
      <c r="F311" s="269" t="s">
        <v>74</v>
      </c>
      <c r="G311" s="269" t="s">
        <v>489</v>
      </c>
      <c r="H311" s="269" t="s">
        <v>19</v>
      </c>
      <c r="I311" s="269" t="s">
        <v>583</v>
      </c>
      <c r="J311" s="269">
        <v>750</v>
      </c>
      <c r="K311" s="269" t="s">
        <v>584</v>
      </c>
      <c r="L311" s="269" t="s">
        <v>621</v>
      </c>
      <c r="M311" s="274">
        <v>889</v>
      </c>
      <c r="N311" s="468">
        <f t="shared" si="4"/>
        <v>119</v>
      </c>
      <c r="O311" s="274">
        <v>42</v>
      </c>
      <c r="P311" s="553" t="s">
        <v>1733</v>
      </c>
      <c r="Q311" s="469"/>
    </row>
    <row r="312" spans="1:17" hidden="1" x14ac:dyDescent="0.2">
      <c r="A312" s="269" t="s">
        <v>277</v>
      </c>
      <c r="B312" s="269" t="s">
        <v>277</v>
      </c>
      <c r="C312" s="269">
        <v>2019</v>
      </c>
      <c r="D312" s="269" t="s">
        <v>378</v>
      </c>
      <c r="E312" s="269" t="s">
        <v>391</v>
      </c>
      <c r="F312" s="269" t="s">
        <v>74</v>
      </c>
      <c r="G312" s="269" t="s">
        <v>489</v>
      </c>
      <c r="H312" s="269" t="s">
        <v>20</v>
      </c>
      <c r="I312" s="269" t="s">
        <v>583</v>
      </c>
      <c r="J312" s="269">
        <v>750</v>
      </c>
      <c r="K312" s="269" t="s">
        <v>584</v>
      </c>
      <c r="L312" s="269" t="s">
        <v>621</v>
      </c>
      <c r="M312" s="274">
        <v>889</v>
      </c>
      <c r="N312" s="468">
        <f t="shared" si="4"/>
        <v>119</v>
      </c>
      <c r="O312" s="274">
        <v>42</v>
      </c>
      <c r="P312" s="553" t="s">
        <v>1733</v>
      </c>
      <c r="Q312" s="469"/>
    </row>
    <row r="313" spans="1:17" hidden="1" x14ac:dyDescent="0.2">
      <c r="A313" s="269" t="s">
        <v>277</v>
      </c>
      <c r="B313" s="269" t="s">
        <v>277</v>
      </c>
      <c r="C313" s="269">
        <v>2019</v>
      </c>
      <c r="D313" s="269" t="s">
        <v>378</v>
      </c>
      <c r="E313" s="269" t="s">
        <v>391</v>
      </c>
      <c r="F313" s="269" t="s">
        <v>74</v>
      </c>
      <c r="G313" s="269" t="s">
        <v>489</v>
      </c>
      <c r="H313" s="269" t="s">
        <v>587</v>
      </c>
      <c r="I313" s="269" t="s">
        <v>583</v>
      </c>
      <c r="J313" s="269">
        <v>0</v>
      </c>
      <c r="K313" s="269" t="s">
        <v>584</v>
      </c>
      <c r="L313" s="269" t="s">
        <v>629</v>
      </c>
      <c r="M313" s="274">
        <v>886</v>
      </c>
      <c r="N313" s="468" t="s">
        <v>332</v>
      </c>
      <c r="O313" s="274">
        <v>41</v>
      </c>
      <c r="P313" s="553" t="s">
        <v>1726</v>
      </c>
      <c r="Q313" s="469"/>
    </row>
    <row r="314" spans="1:17" hidden="1" x14ac:dyDescent="0.2">
      <c r="A314" s="269" t="s">
        <v>277</v>
      </c>
      <c r="B314" s="269" t="s">
        <v>277</v>
      </c>
      <c r="C314" s="269">
        <v>2019</v>
      </c>
      <c r="D314" s="269" t="s">
        <v>378</v>
      </c>
      <c r="E314" s="269" t="s">
        <v>391</v>
      </c>
      <c r="F314" s="269" t="s">
        <v>74</v>
      </c>
      <c r="G314" s="269" t="s">
        <v>489</v>
      </c>
      <c r="H314" s="269" t="s">
        <v>588</v>
      </c>
      <c r="I314" s="269" t="s">
        <v>583</v>
      </c>
      <c r="J314" s="269">
        <v>0</v>
      </c>
      <c r="K314" s="269" t="s">
        <v>584</v>
      </c>
      <c r="L314" s="269" t="s">
        <v>629</v>
      </c>
      <c r="M314" s="274">
        <v>9</v>
      </c>
      <c r="N314" s="468" t="s">
        <v>332</v>
      </c>
      <c r="O314" s="274">
        <v>1</v>
      </c>
      <c r="P314" s="553" t="s">
        <v>1726</v>
      </c>
      <c r="Q314" s="469"/>
    </row>
    <row r="315" spans="1:17" hidden="1" x14ac:dyDescent="0.2">
      <c r="A315" s="269" t="s">
        <v>277</v>
      </c>
      <c r="B315" s="269" t="s">
        <v>277</v>
      </c>
      <c r="C315" s="269">
        <v>2019</v>
      </c>
      <c r="D315" s="269" t="s">
        <v>378</v>
      </c>
      <c r="E315" s="269" t="s">
        <v>391</v>
      </c>
      <c r="F315" s="269" t="s">
        <v>74</v>
      </c>
      <c r="G315" s="269" t="s">
        <v>489</v>
      </c>
      <c r="H315" s="269" t="s">
        <v>42</v>
      </c>
      <c r="I315" s="269" t="s">
        <v>589</v>
      </c>
      <c r="J315" s="269">
        <v>100</v>
      </c>
      <c r="K315" s="269" t="s">
        <v>584</v>
      </c>
      <c r="L315" s="269" t="s">
        <v>634</v>
      </c>
      <c r="M315" s="274">
        <v>89</v>
      </c>
      <c r="N315" s="468">
        <f t="shared" si="4"/>
        <v>89</v>
      </c>
      <c r="O315" s="274">
        <v>18</v>
      </c>
      <c r="P315" s="553" t="s">
        <v>647</v>
      </c>
      <c r="Q315" s="469" t="s">
        <v>1719</v>
      </c>
    </row>
    <row r="316" spans="1:17" x14ac:dyDescent="0.2">
      <c r="A316" s="269" t="s">
        <v>277</v>
      </c>
      <c r="B316" s="269" t="s">
        <v>277</v>
      </c>
      <c r="C316" s="269">
        <v>2019</v>
      </c>
      <c r="D316" s="269" t="s">
        <v>378</v>
      </c>
      <c r="E316" s="269" t="s">
        <v>391</v>
      </c>
      <c r="F316" s="269" t="s">
        <v>74</v>
      </c>
      <c r="G316" s="269" t="s">
        <v>489</v>
      </c>
      <c r="H316" s="269" t="s">
        <v>19</v>
      </c>
      <c r="I316" s="269" t="s">
        <v>589</v>
      </c>
      <c r="J316" s="269">
        <v>100</v>
      </c>
      <c r="K316" s="269" t="s">
        <v>584</v>
      </c>
      <c r="L316" s="269" t="s">
        <v>634</v>
      </c>
      <c r="M316" s="274">
        <v>64</v>
      </c>
      <c r="N316" s="468">
        <f t="shared" si="4"/>
        <v>64</v>
      </c>
      <c r="O316" s="274">
        <v>18</v>
      </c>
      <c r="P316" s="553" t="s">
        <v>647</v>
      </c>
      <c r="Q316" s="469" t="s">
        <v>1719</v>
      </c>
    </row>
    <row r="317" spans="1:17" x14ac:dyDescent="0.2">
      <c r="A317" s="269" t="s">
        <v>277</v>
      </c>
      <c r="B317" s="269" t="s">
        <v>277</v>
      </c>
      <c r="C317" s="269">
        <v>2019</v>
      </c>
      <c r="D317" s="269" t="s">
        <v>378</v>
      </c>
      <c r="E317" s="269" t="s">
        <v>391</v>
      </c>
      <c r="F317" s="269" t="s">
        <v>74</v>
      </c>
      <c r="G317" s="269" t="s">
        <v>489</v>
      </c>
      <c r="H317" s="269" t="s">
        <v>20</v>
      </c>
      <c r="I317" s="269" t="s">
        <v>589</v>
      </c>
      <c r="J317" s="269">
        <v>100</v>
      </c>
      <c r="K317" s="269" t="s">
        <v>584</v>
      </c>
      <c r="L317" s="269" t="s">
        <v>634</v>
      </c>
      <c r="M317" s="274">
        <v>64</v>
      </c>
      <c r="N317" s="468">
        <f t="shared" si="4"/>
        <v>64</v>
      </c>
      <c r="O317" s="274">
        <v>18</v>
      </c>
      <c r="P317" s="553" t="s">
        <v>647</v>
      </c>
      <c r="Q317" s="469" t="s">
        <v>1719</v>
      </c>
    </row>
    <row r="318" spans="1:17" x14ac:dyDescent="0.2">
      <c r="A318" s="269" t="s">
        <v>277</v>
      </c>
      <c r="B318" s="269" t="s">
        <v>277</v>
      </c>
      <c r="C318" s="269">
        <v>2019</v>
      </c>
      <c r="D318" s="269" t="s">
        <v>378</v>
      </c>
      <c r="E318" s="269" t="s">
        <v>391</v>
      </c>
      <c r="F318" s="269" t="s">
        <v>74</v>
      </c>
      <c r="G318" s="269" t="s">
        <v>489</v>
      </c>
      <c r="H318" s="269" t="s">
        <v>587</v>
      </c>
      <c r="I318" s="269" t="s">
        <v>589</v>
      </c>
      <c r="J318" s="269">
        <v>100</v>
      </c>
      <c r="K318" s="269" t="s">
        <v>584</v>
      </c>
      <c r="L318" s="269" t="s">
        <v>634</v>
      </c>
      <c r="M318" s="274">
        <v>64</v>
      </c>
      <c r="N318" s="468">
        <f t="shared" si="4"/>
        <v>64</v>
      </c>
      <c r="O318" s="274">
        <v>18</v>
      </c>
      <c r="P318" s="553" t="s">
        <v>647</v>
      </c>
      <c r="Q318" s="469" t="s">
        <v>1719</v>
      </c>
    </row>
    <row r="319" spans="1:17" x14ac:dyDescent="0.2">
      <c r="A319" s="269" t="s">
        <v>277</v>
      </c>
      <c r="B319" s="269" t="s">
        <v>277</v>
      </c>
      <c r="C319" s="269">
        <v>2019</v>
      </c>
      <c r="D319" s="269" t="s">
        <v>378</v>
      </c>
      <c r="E319" s="269" t="s">
        <v>391</v>
      </c>
      <c r="F319" s="269" t="s">
        <v>74</v>
      </c>
      <c r="G319" s="269" t="s">
        <v>489</v>
      </c>
      <c r="H319" s="269" t="s">
        <v>588</v>
      </c>
      <c r="I319" s="269" t="s">
        <v>589</v>
      </c>
      <c r="J319" s="269">
        <v>100</v>
      </c>
      <c r="K319" s="269" t="s">
        <v>584</v>
      </c>
      <c r="L319" s="269" t="s">
        <v>634</v>
      </c>
      <c r="M319" s="274">
        <v>64</v>
      </c>
      <c r="N319" s="468">
        <f t="shared" si="4"/>
        <v>64</v>
      </c>
      <c r="O319" s="274">
        <v>18</v>
      </c>
      <c r="P319" s="553" t="s">
        <v>647</v>
      </c>
      <c r="Q319" s="469" t="s">
        <v>1719</v>
      </c>
    </row>
    <row r="320" spans="1:17" hidden="1" x14ac:dyDescent="0.2">
      <c r="A320" s="269" t="s">
        <v>277</v>
      </c>
      <c r="B320" s="269" t="s">
        <v>277</v>
      </c>
      <c r="C320" s="269">
        <v>2019</v>
      </c>
      <c r="D320" s="269" t="s">
        <v>491</v>
      </c>
      <c r="E320" s="269" t="s">
        <v>391</v>
      </c>
      <c r="F320" s="269" t="s">
        <v>74</v>
      </c>
      <c r="G320" s="269" t="s">
        <v>492</v>
      </c>
      <c r="H320" s="269" t="s">
        <v>42</v>
      </c>
      <c r="I320" s="269" t="s">
        <v>583</v>
      </c>
      <c r="J320" s="269">
        <v>1000</v>
      </c>
      <c r="K320" s="269" t="s">
        <v>584</v>
      </c>
      <c r="L320" s="269" t="s">
        <v>635</v>
      </c>
      <c r="M320" s="274">
        <v>759</v>
      </c>
      <c r="N320" s="468">
        <f t="shared" si="4"/>
        <v>76</v>
      </c>
      <c r="O320" s="274">
        <v>49</v>
      </c>
      <c r="P320" s="553" t="s">
        <v>1722</v>
      </c>
      <c r="Q320" s="469" t="s">
        <v>1719</v>
      </c>
    </row>
    <row r="321" spans="1:17" ht="25.5" hidden="1" x14ac:dyDescent="0.2">
      <c r="A321" s="269" t="s">
        <v>277</v>
      </c>
      <c r="B321" s="269" t="s">
        <v>277</v>
      </c>
      <c r="C321" s="269">
        <v>2019</v>
      </c>
      <c r="D321" s="269" t="s">
        <v>491</v>
      </c>
      <c r="E321" s="269" t="s">
        <v>391</v>
      </c>
      <c r="F321" s="269" t="s">
        <v>74</v>
      </c>
      <c r="G321" s="269" t="s">
        <v>492</v>
      </c>
      <c r="H321" s="269" t="s">
        <v>19</v>
      </c>
      <c r="I321" s="269" t="s">
        <v>583</v>
      </c>
      <c r="J321" s="269">
        <v>250</v>
      </c>
      <c r="K321" s="269" t="s">
        <v>584</v>
      </c>
      <c r="L321" s="269" t="s">
        <v>636</v>
      </c>
      <c r="M321" s="274">
        <v>403</v>
      </c>
      <c r="N321" s="468">
        <f t="shared" si="4"/>
        <v>161</v>
      </c>
      <c r="O321" s="274">
        <v>42</v>
      </c>
      <c r="P321" s="553" t="s">
        <v>1733</v>
      </c>
      <c r="Q321" s="624" t="s">
        <v>1901</v>
      </c>
    </row>
    <row r="322" spans="1:17" ht="25.5" hidden="1" x14ac:dyDescent="0.2">
      <c r="A322" s="269" t="s">
        <v>277</v>
      </c>
      <c r="B322" s="269" t="s">
        <v>277</v>
      </c>
      <c r="C322" s="269">
        <v>2019</v>
      </c>
      <c r="D322" s="269" t="s">
        <v>491</v>
      </c>
      <c r="E322" s="269" t="s">
        <v>391</v>
      </c>
      <c r="F322" s="269" t="s">
        <v>74</v>
      </c>
      <c r="G322" s="269" t="s">
        <v>492</v>
      </c>
      <c r="H322" s="269" t="s">
        <v>20</v>
      </c>
      <c r="I322" s="269" t="s">
        <v>583</v>
      </c>
      <c r="J322" s="269">
        <v>250</v>
      </c>
      <c r="K322" s="269" t="s">
        <v>584</v>
      </c>
      <c r="L322" s="269" t="s">
        <v>636</v>
      </c>
      <c r="M322" s="274">
        <v>403</v>
      </c>
      <c r="N322" s="468">
        <f t="shared" si="4"/>
        <v>161</v>
      </c>
      <c r="O322" s="274">
        <v>42</v>
      </c>
      <c r="P322" s="553" t="s">
        <v>1733</v>
      </c>
      <c r="Q322" s="624" t="s">
        <v>1901</v>
      </c>
    </row>
    <row r="323" spans="1:17" hidden="1" x14ac:dyDescent="0.2">
      <c r="A323" s="269" t="s">
        <v>277</v>
      </c>
      <c r="B323" s="269" t="s">
        <v>277</v>
      </c>
      <c r="C323" s="269">
        <v>2019</v>
      </c>
      <c r="D323" s="269" t="s">
        <v>491</v>
      </c>
      <c r="E323" s="269" t="s">
        <v>391</v>
      </c>
      <c r="F323" s="269" t="s">
        <v>74</v>
      </c>
      <c r="G323" s="269" t="s">
        <v>492</v>
      </c>
      <c r="H323" s="269" t="s">
        <v>587</v>
      </c>
      <c r="I323" s="269" t="s">
        <v>583</v>
      </c>
      <c r="J323" s="269">
        <v>0</v>
      </c>
      <c r="K323" s="269" t="s">
        <v>584</v>
      </c>
      <c r="L323" s="269" t="s">
        <v>629</v>
      </c>
      <c r="M323" s="274">
        <v>403</v>
      </c>
      <c r="N323" s="468" t="s">
        <v>332</v>
      </c>
      <c r="O323" s="274">
        <v>42</v>
      </c>
      <c r="P323" s="553" t="s">
        <v>1726</v>
      </c>
      <c r="Q323" s="469"/>
    </row>
    <row r="324" spans="1:17" hidden="1" x14ac:dyDescent="0.2">
      <c r="A324" s="269" t="s">
        <v>277</v>
      </c>
      <c r="B324" s="269" t="s">
        <v>277</v>
      </c>
      <c r="C324" s="269">
        <v>2019</v>
      </c>
      <c r="D324" s="269" t="s">
        <v>491</v>
      </c>
      <c r="E324" s="269" t="s">
        <v>391</v>
      </c>
      <c r="F324" s="269" t="s">
        <v>74</v>
      </c>
      <c r="G324" s="269" t="s">
        <v>492</v>
      </c>
      <c r="H324" s="269" t="s">
        <v>588</v>
      </c>
      <c r="I324" s="269" t="s">
        <v>583</v>
      </c>
      <c r="J324" s="269">
        <v>0</v>
      </c>
      <c r="K324" s="269" t="s">
        <v>584</v>
      </c>
      <c r="L324" s="269" t="s">
        <v>629</v>
      </c>
      <c r="M324" s="274">
        <v>0</v>
      </c>
      <c r="N324" s="468" t="s">
        <v>332</v>
      </c>
      <c r="O324" s="274">
        <v>0</v>
      </c>
      <c r="P324" s="553" t="s">
        <v>1726</v>
      </c>
      <c r="Q324" s="469"/>
    </row>
    <row r="325" spans="1:17" hidden="1" x14ac:dyDescent="0.2">
      <c r="A325" s="269" t="s">
        <v>277</v>
      </c>
      <c r="B325" s="269" t="s">
        <v>277</v>
      </c>
      <c r="C325" s="269">
        <v>2019</v>
      </c>
      <c r="D325" s="269" t="s">
        <v>491</v>
      </c>
      <c r="E325" s="269" t="s">
        <v>391</v>
      </c>
      <c r="F325" s="269" t="s">
        <v>74</v>
      </c>
      <c r="G325" s="269" t="s">
        <v>492</v>
      </c>
      <c r="H325" s="269" t="s">
        <v>42</v>
      </c>
      <c r="I325" s="269" t="s">
        <v>589</v>
      </c>
      <c r="J325" s="269">
        <v>25</v>
      </c>
      <c r="K325" s="269" t="s">
        <v>584</v>
      </c>
      <c r="L325" s="269" t="s">
        <v>620</v>
      </c>
      <c r="M325" s="274">
        <v>32</v>
      </c>
      <c r="N325" s="468">
        <f t="shared" si="4"/>
        <v>128</v>
      </c>
      <c r="O325" s="274">
        <v>10</v>
      </c>
      <c r="P325" s="553" t="s">
        <v>647</v>
      </c>
      <c r="Q325" s="469"/>
    </row>
    <row r="326" spans="1:17" x14ac:dyDescent="0.2">
      <c r="A326" s="269" t="s">
        <v>277</v>
      </c>
      <c r="B326" s="269" t="s">
        <v>277</v>
      </c>
      <c r="C326" s="269">
        <v>2019</v>
      </c>
      <c r="D326" s="269" t="s">
        <v>491</v>
      </c>
      <c r="E326" s="269" t="s">
        <v>391</v>
      </c>
      <c r="F326" s="269" t="s">
        <v>74</v>
      </c>
      <c r="G326" s="269" t="s">
        <v>492</v>
      </c>
      <c r="H326" s="269" t="s">
        <v>19</v>
      </c>
      <c r="I326" s="269" t="s">
        <v>589</v>
      </c>
      <c r="J326" s="269">
        <v>25</v>
      </c>
      <c r="K326" s="269" t="s">
        <v>584</v>
      </c>
      <c r="L326" s="269" t="s">
        <v>620</v>
      </c>
      <c r="M326" s="274">
        <v>29</v>
      </c>
      <c r="N326" s="468">
        <f t="shared" si="4"/>
        <v>116</v>
      </c>
      <c r="O326" s="274">
        <v>10</v>
      </c>
      <c r="P326" s="553" t="s">
        <v>647</v>
      </c>
      <c r="Q326" s="469"/>
    </row>
    <row r="327" spans="1:17" x14ac:dyDescent="0.2">
      <c r="A327" s="269" t="s">
        <v>277</v>
      </c>
      <c r="B327" s="269" t="s">
        <v>277</v>
      </c>
      <c r="C327" s="269">
        <v>2019</v>
      </c>
      <c r="D327" s="269" t="s">
        <v>491</v>
      </c>
      <c r="E327" s="269" t="s">
        <v>391</v>
      </c>
      <c r="F327" s="269" t="s">
        <v>74</v>
      </c>
      <c r="G327" s="269" t="s">
        <v>492</v>
      </c>
      <c r="H327" s="269" t="s">
        <v>20</v>
      </c>
      <c r="I327" s="269" t="s">
        <v>589</v>
      </c>
      <c r="J327" s="269">
        <v>25</v>
      </c>
      <c r="K327" s="269" t="s">
        <v>584</v>
      </c>
      <c r="L327" s="269" t="s">
        <v>620</v>
      </c>
      <c r="M327" s="274">
        <v>29</v>
      </c>
      <c r="N327" s="468">
        <f t="shared" si="4"/>
        <v>116</v>
      </c>
      <c r="O327" s="274">
        <v>10</v>
      </c>
      <c r="P327" s="553" t="s">
        <v>647</v>
      </c>
      <c r="Q327" s="469"/>
    </row>
    <row r="328" spans="1:17" x14ac:dyDescent="0.2">
      <c r="A328" s="269" t="s">
        <v>277</v>
      </c>
      <c r="B328" s="269" t="s">
        <v>277</v>
      </c>
      <c r="C328" s="269">
        <v>2019</v>
      </c>
      <c r="D328" s="269" t="s">
        <v>491</v>
      </c>
      <c r="E328" s="269" t="s">
        <v>391</v>
      </c>
      <c r="F328" s="269" t="s">
        <v>74</v>
      </c>
      <c r="G328" s="269" t="s">
        <v>492</v>
      </c>
      <c r="H328" s="269" t="s">
        <v>587</v>
      </c>
      <c r="I328" s="269" t="s">
        <v>589</v>
      </c>
      <c r="J328" s="269">
        <v>25</v>
      </c>
      <c r="K328" s="269" t="s">
        <v>584</v>
      </c>
      <c r="L328" s="269" t="s">
        <v>620</v>
      </c>
      <c r="M328" s="274">
        <v>29</v>
      </c>
      <c r="N328" s="468">
        <f t="shared" ref="N328:N390" si="5">ROUND(100*M328/J328,0)</f>
        <v>116</v>
      </c>
      <c r="O328" s="274">
        <v>10</v>
      </c>
      <c r="P328" s="553" t="s">
        <v>647</v>
      </c>
      <c r="Q328" s="469"/>
    </row>
    <row r="329" spans="1:17" x14ac:dyDescent="0.2">
      <c r="A329" s="269" t="s">
        <v>277</v>
      </c>
      <c r="B329" s="269" t="s">
        <v>277</v>
      </c>
      <c r="C329" s="269">
        <v>2019</v>
      </c>
      <c r="D329" s="269" t="s">
        <v>491</v>
      </c>
      <c r="E329" s="269" t="s">
        <v>391</v>
      </c>
      <c r="F329" s="269" t="s">
        <v>74</v>
      </c>
      <c r="G329" s="269" t="s">
        <v>492</v>
      </c>
      <c r="H329" s="269" t="s">
        <v>588</v>
      </c>
      <c r="I329" s="269" t="s">
        <v>589</v>
      </c>
      <c r="J329" s="269">
        <v>25</v>
      </c>
      <c r="K329" s="269" t="s">
        <v>584</v>
      </c>
      <c r="L329" s="269" t="s">
        <v>620</v>
      </c>
      <c r="M329" s="274">
        <v>29</v>
      </c>
      <c r="N329" s="468">
        <f t="shared" si="5"/>
        <v>116</v>
      </c>
      <c r="O329" s="274">
        <v>10</v>
      </c>
      <c r="P329" s="553" t="s">
        <v>647</v>
      </c>
      <c r="Q329" s="469"/>
    </row>
    <row r="330" spans="1:17" hidden="1" x14ac:dyDescent="0.2">
      <c r="A330" s="269" t="s">
        <v>277</v>
      </c>
      <c r="B330" s="269" t="s">
        <v>277</v>
      </c>
      <c r="C330" s="269">
        <v>2019</v>
      </c>
      <c r="D330" s="269" t="s">
        <v>335</v>
      </c>
      <c r="E330" s="269" t="s">
        <v>391</v>
      </c>
      <c r="F330" s="269" t="s">
        <v>74</v>
      </c>
      <c r="G330" s="269" t="s">
        <v>424</v>
      </c>
      <c r="H330" s="269" t="s">
        <v>42</v>
      </c>
      <c r="I330" s="269" t="s">
        <v>583</v>
      </c>
      <c r="J330" s="269">
        <v>250</v>
      </c>
      <c r="K330" s="269" t="s">
        <v>584</v>
      </c>
      <c r="L330" s="269"/>
      <c r="M330" s="274">
        <v>319</v>
      </c>
      <c r="N330" s="468">
        <f t="shared" si="5"/>
        <v>128</v>
      </c>
      <c r="O330" s="274">
        <v>24</v>
      </c>
      <c r="P330" s="553" t="s">
        <v>1722</v>
      </c>
      <c r="Q330" s="469"/>
    </row>
    <row r="331" spans="1:17" ht="25.5" hidden="1" x14ac:dyDescent="0.2">
      <c r="A331" s="269" t="s">
        <v>277</v>
      </c>
      <c r="B331" s="269" t="s">
        <v>277</v>
      </c>
      <c r="C331" s="269">
        <v>2019</v>
      </c>
      <c r="D331" s="269" t="s">
        <v>335</v>
      </c>
      <c r="E331" s="269" t="s">
        <v>391</v>
      </c>
      <c r="F331" s="269" t="s">
        <v>74</v>
      </c>
      <c r="G331" s="269" t="s">
        <v>424</v>
      </c>
      <c r="H331" s="269" t="s">
        <v>19</v>
      </c>
      <c r="I331" s="269" t="s">
        <v>583</v>
      </c>
      <c r="J331" s="269">
        <v>100</v>
      </c>
      <c r="K331" s="269" t="s">
        <v>584</v>
      </c>
      <c r="L331" s="269" t="s">
        <v>637</v>
      </c>
      <c r="M331" s="274">
        <v>166</v>
      </c>
      <c r="N331" s="468">
        <f t="shared" si="5"/>
        <v>166</v>
      </c>
      <c r="O331" s="274">
        <v>20</v>
      </c>
      <c r="P331" s="553" t="s">
        <v>1733</v>
      </c>
      <c r="Q331" s="624" t="s">
        <v>1901</v>
      </c>
    </row>
    <row r="332" spans="1:17" ht="25.5" hidden="1" x14ac:dyDescent="0.2">
      <c r="A332" s="269" t="s">
        <v>277</v>
      </c>
      <c r="B332" s="269" t="s">
        <v>277</v>
      </c>
      <c r="C332" s="269">
        <v>2019</v>
      </c>
      <c r="D332" s="269" t="s">
        <v>335</v>
      </c>
      <c r="E332" s="269" t="s">
        <v>391</v>
      </c>
      <c r="F332" s="269" t="s">
        <v>74</v>
      </c>
      <c r="G332" s="269" t="s">
        <v>424</v>
      </c>
      <c r="H332" s="269" t="s">
        <v>20</v>
      </c>
      <c r="I332" s="269" t="s">
        <v>583</v>
      </c>
      <c r="J332" s="269">
        <v>100</v>
      </c>
      <c r="K332" s="269" t="s">
        <v>584</v>
      </c>
      <c r="L332" s="269" t="s">
        <v>637</v>
      </c>
      <c r="M332" s="274">
        <v>166</v>
      </c>
      <c r="N332" s="468">
        <f t="shared" si="5"/>
        <v>166</v>
      </c>
      <c r="O332" s="274">
        <v>20</v>
      </c>
      <c r="P332" s="553" t="s">
        <v>1733</v>
      </c>
      <c r="Q332" s="624" t="s">
        <v>1901</v>
      </c>
    </row>
    <row r="333" spans="1:17" hidden="1" x14ac:dyDescent="0.2">
      <c r="A333" s="269" t="s">
        <v>277</v>
      </c>
      <c r="B333" s="269" t="s">
        <v>277</v>
      </c>
      <c r="C333" s="269">
        <v>2019</v>
      </c>
      <c r="D333" s="269" t="s">
        <v>335</v>
      </c>
      <c r="E333" s="269" t="s">
        <v>391</v>
      </c>
      <c r="F333" s="269" t="s">
        <v>74</v>
      </c>
      <c r="G333" s="269" t="s">
        <v>424</v>
      </c>
      <c r="H333" s="269" t="s">
        <v>587</v>
      </c>
      <c r="I333" s="269" t="s">
        <v>583</v>
      </c>
      <c r="J333" s="269">
        <v>0</v>
      </c>
      <c r="K333" s="269" t="s">
        <v>584</v>
      </c>
      <c r="L333" s="269" t="s">
        <v>638</v>
      </c>
      <c r="M333" s="274">
        <v>166</v>
      </c>
      <c r="N333" s="468" t="s">
        <v>332</v>
      </c>
      <c r="O333" s="274">
        <v>20</v>
      </c>
      <c r="P333" s="553" t="s">
        <v>1726</v>
      </c>
      <c r="Q333" s="469"/>
    </row>
    <row r="334" spans="1:17" hidden="1" x14ac:dyDescent="0.2">
      <c r="A334" s="269" t="s">
        <v>277</v>
      </c>
      <c r="B334" s="269" t="s">
        <v>277</v>
      </c>
      <c r="C334" s="269">
        <v>2019</v>
      </c>
      <c r="D334" s="269" t="s">
        <v>335</v>
      </c>
      <c r="E334" s="269" t="s">
        <v>391</v>
      </c>
      <c r="F334" s="269" t="s">
        <v>74</v>
      </c>
      <c r="G334" s="269" t="s">
        <v>424</v>
      </c>
      <c r="H334" s="269" t="s">
        <v>588</v>
      </c>
      <c r="I334" s="269" t="s">
        <v>583</v>
      </c>
      <c r="J334" s="269">
        <v>0</v>
      </c>
      <c r="K334" s="269" t="s">
        <v>584</v>
      </c>
      <c r="L334" s="269" t="s">
        <v>592</v>
      </c>
      <c r="M334" s="274">
        <v>0</v>
      </c>
      <c r="N334" s="468" t="s">
        <v>332</v>
      </c>
      <c r="O334" s="274">
        <v>0</v>
      </c>
      <c r="P334" s="553" t="s">
        <v>1726</v>
      </c>
      <c r="Q334" s="469"/>
    </row>
    <row r="335" spans="1:17" hidden="1" x14ac:dyDescent="0.2">
      <c r="A335" s="269" t="s">
        <v>277</v>
      </c>
      <c r="B335" s="269" t="s">
        <v>277</v>
      </c>
      <c r="C335" s="269">
        <v>2019</v>
      </c>
      <c r="D335" s="269" t="s">
        <v>335</v>
      </c>
      <c r="E335" s="269" t="s">
        <v>391</v>
      </c>
      <c r="F335" s="269" t="s">
        <v>74</v>
      </c>
      <c r="G335" s="269" t="s">
        <v>424</v>
      </c>
      <c r="H335" s="269" t="s">
        <v>42</v>
      </c>
      <c r="I335" s="269" t="s">
        <v>589</v>
      </c>
      <c r="J335" s="269">
        <v>25</v>
      </c>
      <c r="K335" s="269" t="s">
        <v>584</v>
      </c>
      <c r="L335" s="269" t="s">
        <v>620</v>
      </c>
      <c r="M335" s="274">
        <v>27</v>
      </c>
      <c r="N335" s="468">
        <f t="shared" si="5"/>
        <v>108</v>
      </c>
      <c r="O335" s="274">
        <v>13</v>
      </c>
      <c r="P335" s="553" t="s">
        <v>647</v>
      </c>
      <c r="Q335" s="469"/>
    </row>
    <row r="336" spans="1:17" x14ac:dyDescent="0.2">
      <c r="A336" s="269" t="s">
        <v>277</v>
      </c>
      <c r="B336" s="269" t="s">
        <v>277</v>
      </c>
      <c r="C336" s="269">
        <v>2019</v>
      </c>
      <c r="D336" s="269" t="s">
        <v>335</v>
      </c>
      <c r="E336" s="269" t="s">
        <v>391</v>
      </c>
      <c r="F336" s="269" t="s">
        <v>74</v>
      </c>
      <c r="G336" s="269" t="s">
        <v>424</v>
      </c>
      <c r="H336" s="269" t="s">
        <v>19</v>
      </c>
      <c r="I336" s="269" t="s">
        <v>589</v>
      </c>
      <c r="J336" s="269">
        <v>25</v>
      </c>
      <c r="K336" s="269" t="s">
        <v>584</v>
      </c>
      <c r="L336" s="269" t="s">
        <v>620</v>
      </c>
      <c r="M336" s="274">
        <v>24</v>
      </c>
      <c r="N336" s="468">
        <f t="shared" si="5"/>
        <v>96</v>
      </c>
      <c r="O336" s="274">
        <v>13</v>
      </c>
      <c r="P336" s="553" t="s">
        <v>647</v>
      </c>
      <c r="Q336" s="469" t="s">
        <v>1839</v>
      </c>
    </row>
    <row r="337" spans="1:17" x14ac:dyDescent="0.2">
      <c r="A337" s="269" t="s">
        <v>277</v>
      </c>
      <c r="B337" s="269" t="s">
        <v>277</v>
      </c>
      <c r="C337" s="269">
        <v>2019</v>
      </c>
      <c r="D337" s="269" t="s">
        <v>335</v>
      </c>
      <c r="E337" s="269" t="s">
        <v>391</v>
      </c>
      <c r="F337" s="269" t="s">
        <v>74</v>
      </c>
      <c r="G337" s="269" t="s">
        <v>424</v>
      </c>
      <c r="H337" s="269" t="s">
        <v>20</v>
      </c>
      <c r="I337" s="269" t="s">
        <v>589</v>
      </c>
      <c r="J337" s="269">
        <v>25</v>
      </c>
      <c r="K337" s="269" t="s">
        <v>584</v>
      </c>
      <c r="L337" s="269" t="s">
        <v>620</v>
      </c>
      <c r="M337" s="274">
        <v>24</v>
      </c>
      <c r="N337" s="468">
        <f t="shared" si="5"/>
        <v>96</v>
      </c>
      <c r="O337" s="274">
        <v>13</v>
      </c>
      <c r="P337" s="553" t="s">
        <v>647</v>
      </c>
      <c r="Q337" s="469" t="s">
        <v>1839</v>
      </c>
    </row>
    <row r="338" spans="1:17" x14ac:dyDescent="0.2">
      <c r="A338" s="269" t="s">
        <v>277</v>
      </c>
      <c r="B338" s="269" t="s">
        <v>277</v>
      </c>
      <c r="C338" s="269">
        <v>2019</v>
      </c>
      <c r="D338" s="269" t="s">
        <v>335</v>
      </c>
      <c r="E338" s="269" t="s">
        <v>391</v>
      </c>
      <c r="F338" s="269" t="s">
        <v>74</v>
      </c>
      <c r="G338" s="269" t="s">
        <v>424</v>
      </c>
      <c r="H338" s="269" t="s">
        <v>587</v>
      </c>
      <c r="I338" s="269" t="s">
        <v>589</v>
      </c>
      <c r="J338" s="269">
        <v>25</v>
      </c>
      <c r="K338" s="269" t="s">
        <v>584</v>
      </c>
      <c r="L338" s="269" t="s">
        <v>620</v>
      </c>
      <c r="M338" s="274">
        <v>24</v>
      </c>
      <c r="N338" s="468">
        <f t="shared" si="5"/>
        <v>96</v>
      </c>
      <c r="O338" s="274">
        <v>13</v>
      </c>
      <c r="P338" s="553" t="s">
        <v>647</v>
      </c>
      <c r="Q338" s="469" t="s">
        <v>1839</v>
      </c>
    </row>
    <row r="339" spans="1:17" x14ac:dyDescent="0.2">
      <c r="A339" s="269" t="s">
        <v>277</v>
      </c>
      <c r="B339" s="269" t="s">
        <v>277</v>
      </c>
      <c r="C339" s="269">
        <v>2019</v>
      </c>
      <c r="D339" s="269" t="s">
        <v>335</v>
      </c>
      <c r="E339" s="269" t="s">
        <v>391</v>
      </c>
      <c r="F339" s="269" t="s">
        <v>74</v>
      </c>
      <c r="G339" s="269" t="s">
        <v>424</v>
      </c>
      <c r="H339" s="269" t="s">
        <v>588</v>
      </c>
      <c r="I339" s="269" t="s">
        <v>589</v>
      </c>
      <c r="J339" s="269">
        <v>25</v>
      </c>
      <c r="K339" s="269" t="s">
        <v>584</v>
      </c>
      <c r="L339" s="269" t="s">
        <v>620</v>
      </c>
      <c r="M339" s="274">
        <v>24</v>
      </c>
      <c r="N339" s="468">
        <f t="shared" si="5"/>
        <v>96</v>
      </c>
      <c r="O339" s="274">
        <v>13</v>
      </c>
      <c r="P339" s="553" t="s">
        <v>1726</v>
      </c>
      <c r="Q339" s="469" t="s">
        <v>1839</v>
      </c>
    </row>
    <row r="340" spans="1:17" ht="25.5" hidden="1" x14ac:dyDescent="0.2">
      <c r="A340" s="269" t="s">
        <v>277</v>
      </c>
      <c r="B340" s="269" t="s">
        <v>277</v>
      </c>
      <c r="C340" s="269">
        <v>2019</v>
      </c>
      <c r="D340" s="269" t="s">
        <v>337</v>
      </c>
      <c r="E340" s="269" t="s">
        <v>391</v>
      </c>
      <c r="F340" s="269" t="s">
        <v>74</v>
      </c>
      <c r="G340" s="269" t="s">
        <v>502</v>
      </c>
      <c r="H340" s="269" t="s">
        <v>42</v>
      </c>
      <c r="I340" s="269" t="s">
        <v>583</v>
      </c>
      <c r="J340" s="269">
        <v>5000</v>
      </c>
      <c r="K340" s="269" t="s">
        <v>584</v>
      </c>
      <c r="L340" s="269"/>
      <c r="M340" s="274">
        <v>7583</v>
      </c>
      <c r="N340" s="468">
        <f t="shared" si="5"/>
        <v>152</v>
      </c>
      <c r="O340" s="274">
        <v>39</v>
      </c>
      <c r="P340" s="553" t="s">
        <v>1722</v>
      </c>
      <c r="Q340" s="624" t="s">
        <v>1901</v>
      </c>
    </row>
    <row r="341" spans="1:17" hidden="1" x14ac:dyDescent="0.2">
      <c r="A341" s="269" t="s">
        <v>277</v>
      </c>
      <c r="B341" s="269" t="s">
        <v>277</v>
      </c>
      <c r="C341" s="269">
        <v>2019</v>
      </c>
      <c r="D341" s="269" t="s">
        <v>337</v>
      </c>
      <c r="E341" s="269" t="s">
        <v>391</v>
      </c>
      <c r="F341" s="269" t="s">
        <v>74</v>
      </c>
      <c r="G341" s="269" t="s">
        <v>502</v>
      </c>
      <c r="H341" s="269" t="s">
        <v>19</v>
      </c>
      <c r="I341" s="269" t="s">
        <v>583</v>
      </c>
      <c r="J341" s="269">
        <v>1000</v>
      </c>
      <c r="K341" s="269" t="s">
        <v>584</v>
      </c>
      <c r="L341" s="269" t="s">
        <v>639</v>
      </c>
      <c r="M341" s="274">
        <v>1497</v>
      </c>
      <c r="N341" s="468">
        <f t="shared" si="5"/>
        <v>150</v>
      </c>
      <c r="O341" s="274">
        <v>32</v>
      </c>
      <c r="P341" s="553" t="s">
        <v>1743</v>
      </c>
      <c r="Q341" s="469"/>
    </row>
    <row r="342" spans="1:17" hidden="1" x14ac:dyDescent="0.2">
      <c r="A342" s="269" t="s">
        <v>277</v>
      </c>
      <c r="B342" s="269" t="s">
        <v>277</v>
      </c>
      <c r="C342" s="269">
        <v>2019</v>
      </c>
      <c r="D342" s="269" t="s">
        <v>337</v>
      </c>
      <c r="E342" s="269" t="s">
        <v>391</v>
      </c>
      <c r="F342" s="269" t="s">
        <v>74</v>
      </c>
      <c r="G342" s="269" t="s">
        <v>502</v>
      </c>
      <c r="H342" s="269" t="s">
        <v>20</v>
      </c>
      <c r="I342" s="269" t="s">
        <v>583</v>
      </c>
      <c r="J342" s="269">
        <v>1000</v>
      </c>
      <c r="K342" s="269" t="s">
        <v>584</v>
      </c>
      <c r="L342" s="269" t="s">
        <v>639</v>
      </c>
      <c r="M342" s="274">
        <v>1497</v>
      </c>
      <c r="N342" s="468">
        <f t="shared" si="5"/>
        <v>150</v>
      </c>
      <c r="O342" s="274">
        <v>32</v>
      </c>
      <c r="P342" s="553" t="s">
        <v>1743</v>
      </c>
      <c r="Q342" s="469"/>
    </row>
    <row r="343" spans="1:17" hidden="1" x14ac:dyDescent="0.2">
      <c r="A343" s="269" t="s">
        <v>277</v>
      </c>
      <c r="B343" s="269" t="s">
        <v>277</v>
      </c>
      <c r="C343" s="269">
        <v>2019</v>
      </c>
      <c r="D343" s="269" t="s">
        <v>337</v>
      </c>
      <c r="E343" s="269" t="s">
        <v>391</v>
      </c>
      <c r="F343" s="269" t="s">
        <v>74</v>
      </c>
      <c r="G343" s="269" t="s">
        <v>502</v>
      </c>
      <c r="H343" s="269" t="s">
        <v>587</v>
      </c>
      <c r="I343" s="269" t="s">
        <v>583</v>
      </c>
      <c r="J343" s="269">
        <v>1000</v>
      </c>
      <c r="K343" s="269" t="s">
        <v>584</v>
      </c>
      <c r="L343" s="269" t="s">
        <v>639</v>
      </c>
      <c r="M343" s="274">
        <v>1497</v>
      </c>
      <c r="N343" s="468">
        <f t="shared" si="5"/>
        <v>150</v>
      </c>
      <c r="O343" s="274">
        <v>32</v>
      </c>
      <c r="P343" s="553" t="s">
        <v>1743</v>
      </c>
      <c r="Q343" s="469"/>
    </row>
    <row r="344" spans="1:17" hidden="1" x14ac:dyDescent="0.2">
      <c r="A344" s="269" t="s">
        <v>277</v>
      </c>
      <c r="B344" s="269" t="s">
        <v>277</v>
      </c>
      <c r="C344" s="269">
        <v>2019</v>
      </c>
      <c r="D344" s="269" t="s">
        <v>337</v>
      </c>
      <c r="E344" s="269" t="s">
        <v>391</v>
      </c>
      <c r="F344" s="269" t="s">
        <v>74</v>
      </c>
      <c r="G344" s="269" t="s">
        <v>502</v>
      </c>
      <c r="H344" s="269" t="s">
        <v>588</v>
      </c>
      <c r="I344" s="269" t="s">
        <v>583</v>
      </c>
      <c r="J344" s="269">
        <v>1000</v>
      </c>
      <c r="K344" s="269" t="s">
        <v>584</v>
      </c>
      <c r="L344" s="269" t="s">
        <v>639</v>
      </c>
      <c r="M344" s="274">
        <v>1497</v>
      </c>
      <c r="N344" s="468">
        <f t="shared" si="5"/>
        <v>150</v>
      </c>
      <c r="O344" s="274">
        <v>32</v>
      </c>
      <c r="P344" s="553" t="s">
        <v>1743</v>
      </c>
      <c r="Q344" s="469"/>
    </row>
    <row r="345" spans="1:17" ht="25.5" hidden="1" x14ac:dyDescent="0.2">
      <c r="A345" s="269" t="s">
        <v>277</v>
      </c>
      <c r="B345" s="269" t="s">
        <v>277</v>
      </c>
      <c r="C345" s="269">
        <v>2019</v>
      </c>
      <c r="D345" s="269" t="s">
        <v>337</v>
      </c>
      <c r="E345" s="269" t="s">
        <v>391</v>
      </c>
      <c r="F345" s="269" t="s">
        <v>74</v>
      </c>
      <c r="G345" s="269" t="s">
        <v>502</v>
      </c>
      <c r="H345" s="269" t="s">
        <v>42</v>
      </c>
      <c r="I345" s="269" t="s">
        <v>589</v>
      </c>
      <c r="J345" s="269">
        <v>5000</v>
      </c>
      <c r="K345" s="269" t="s">
        <v>584</v>
      </c>
      <c r="L345" s="269"/>
      <c r="M345" s="274">
        <v>8220</v>
      </c>
      <c r="N345" s="468">
        <f t="shared" si="5"/>
        <v>164</v>
      </c>
      <c r="O345" s="274">
        <v>121</v>
      </c>
      <c r="P345" s="553" t="s">
        <v>1722</v>
      </c>
      <c r="Q345" s="624" t="s">
        <v>1901</v>
      </c>
    </row>
    <row r="346" spans="1:17" x14ac:dyDescent="0.2">
      <c r="A346" s="269" t="s">
        <v>277</v>
      </c>
      <c r="B346" s="269" t="s">
        <v>277</v>
      </c>
      <c r="C346" s="269">
        <v>2019</v>
      </c>
      <c r="D346" s="269" t="s">
        <v>337</v>
      </c>
      <c r="E346" s="269" t="s">
        <v>391</v>
      </c>
      <c r="F346" s="269" t="s">
        <v>74</v>
      </c>
      <c r="G346" s="269" t="s">
        <v>502</v>
      </c>
      <c r="H346" s="269" t="s">
        <v>19</v>
      </c>
      <c r="I346" s="269" t="s">
        <v>589</v>
      </c>
      <c r="J346" s="269">
        <v>400</v>
      </c>
      <c r="K346" s="269" t="s">
        <v>584</v>
      </c>
      <c r="L346" s="269" t="s">
        <v>640</v>
      </c>
      <c r="M346" s="274">
        <v>462</v>
      </c>
      <c r="N346" s="468">
        <f t="shared" si="5"/>
        <v>116</v>
      </c>
      <c r="O346" s="274">
        <v>121</v>
      </c>
      <c r="P346" s="553" t="s">
        <v>1743</v>
      </c>
      <c r="Q346" s="469"/>
    </row>
    <row r="347" spans="1:17" x14ac:dyDescent="0.2">
      <c r="A347" s="269" t="s">
        <v>277</v>
      </c>
      <c r="B347" s="269" t="s">
        <v>277</v>
      </c>
      <c r="C347" s="269">
        <v>2019</v>
      </c>
      <c r="D347" s="269" t="s">
        <v>337</v>
      </c>
      <c r="E347" s="269" t="s">
        <v>391</v>
      </c>
      <c r="F347" s="269" t="s">
        <v>74</v>
      </c>
      <c r="G347" s="269" t="s">
        <v>502</v>
      </c>
      <c r="H347" s="269" t="s">
        <v>20</v>
      </c>
      <c r="I347" s="269" t="s">
        <v>589</v>
      </c>
      <c r="J347" s="269">
        <v>400</v>
      </c>
      <c r="K347" s="269" t="s">
        <v>584</v>
      </c>
      <c r="L347" s="269" t="s">
        <v>640</v>
      </c>
      <c r="M347" s="274">
        <v>462</v>
      </c>
      <c r="N347" s="468">
        <f t="shared" si="5"/>
        <v>116</v>
      </c>
      <c r="O347" s="274">
        <v>121</v>
      </c>
      <c r="P347" s="553" t="s">
        <v>1743</v>
      </c>
      <c r="Q347" s="469"/>
    </row>
    <row r="348" spans="1:17" x14ac:dyDescent="0.2">
      <c r="A348" s="269" t="s">
        <v>277</v>
      </c>
      <c r="B348" s="269" t="s">
        <v>277</v>
      </c>
      <c r="C348" s="269">
        <v>2019</v>
      </c>
      <c r="D348" s="269" t="s">
        <v>337</v>
      </c>
      <c r="E348" s="269" t="s">
        <v>391</v>
      </c>
      <c r="F348" s="269" t="s">
        <v>74</v>
      </c>
      <c r="G348" s="269" t="s">
        <v>502</v>
      </c>
      <c r="H348" s="269" t="s">
        <v>587</v>
      </c>
      <c r="I348" s="269" t="s">
        <v>589</v>
      </c>
      <c r="J348" s="269">
        <v>400</v>
      </c>
      <c r="K348" s="269" t="s">
        <v>584</v>
      </c>
      <c r="L348" s="269" t="s">
        <v>640</v>
      </c>
      <c r="M348" s="274">
        <v>462</v>
      </c>
      <c r="N348" s="468">
        <f t="shared" si="5"/>
        <v>116</v>
      </c>
      <c r="O348" s="274">
        <v>121</v>
      </c>
      <c r="P348" s="553" t="s">
        <v>1743</v>
      </c>
      <c r="Q348" s="469"/>
    </row>
    <row r="349" spans="1:17" x14ac:dyDescent="0.2">
      <c r="A349" s="269" t="s">
        <v>277</v>
      </c>
      <c r="B349" s="269" t="s">
        <v>277</v>
      </c>
      <c r="C349" s="269">
        <v>2019</v>
      </c>
      <c r="D349" s="269" t="s">
        <v>337</v>
      </c>
      <c r="E349" s="269" t="s">
        <v>391</v>
      </c>
      <c r="F349" s="269" t="s">
        <v>74</v>
      </c>
      <c r="G349" s="269" t="s">
        <v>502</v>
      </c>
      <c r="H349" s="269" t="s">
        <v>588</v>
      </c>
      <c r="I349" s="269" t="s">
        <v>589</v>
      </c>
      <c r="J349" s="269">
        <v>400</v>
      </c>
      <c r="K349" s="269" t="s">
        <v>584</v>
      </c>
      <c r="L349" s="269" t="s">
        <v>640</v>
      </c>
      <c r="M349" s="274">
        <v>462</v>
      </c>
      <c r="N349" s="468">
        <f t="shared" si="5"/>
        <v>116</v>
      </c>
      <c r="O349" s="274">
        <v>121</v>
      </c>
      <c r="P349" s="553" t="s">
        <v>1743</v>
      </c>
      <c r="Q349" s="469"/>
    </row>
    <row r="350" spans="1:17" ht="25.5" hidden="1" x14ac:dyDescent="0.2">
      <c r="A350" s="269" t="s">
        <v>277</v>
      </c>
      <c r="B350" s="269" t="s">
        <v>277</v>
      </c>
      <c r="C350" s="269">
        <v>2019</v>
      </c>
      <c r="D350" s="269" t="s">
        <v>381</v>
      </c>
      <c r="E350" s="269" t="s">
        <v>391</v>
      </c>
      <c r="F350" s="269" t="s">
        <v>74</v>
      </c>
      <c r="G350" s="269" t="s">
        <v>415</v>
      </c>
      <c r="H350" s="269" t="s">
        <v>42</v>
      </c>
      <c r="I350" s="269" t="s">
        <v>583</v>
      </c>
      <c r="J350" s="269">
        <v>500</v>
      </c>
      <c r="K350" s="269" t="s">
        <v>584</v>
      </c>
      <c r="L350" s="269"/>
      <c r="M350" s="274">
        <v>1963</v>
      </c>
      <c r="N350" s="468">
        <f t="shared" si="5"/>
        <v>393</v>
      </c>
      <c r="O350" s="274">
        <v>27</v>
      </c>
      <c r="P350" s="553" t="s">
        <v>1722</v>
      </c>
      <c r="Q350" s="624" t="s">
        <v>1901</v>
      </c>
    </row>
    <row r="351" spans="1:17" ht="25.5" hidden="1" x14ac:dyDescent="0.2">
      <c r="A351" s="269" t="s">
        <v>277</v>
      </c>
      <c r="B351" s="269" t="s">
        <v>277</v>
      </c>
      <c r="C351" s="269">
        <v>2019</v>
      </c>
      <c r="D351" s="269" t="s">
        <v>381</v>
      </c>
      <c r="E351" s="269" t="s">
        <v>391</v>
      </c>
      <c r="F351" s="269" t="s">
        <v>74</v>
      </c>
      <c r="G351" s="269" t="s">
        <v>415</v>
      </c>
      <c r="H351" s="269" t="s">
        <v>19</v>
      </c>
      <c r="I351" s="269" t="s">
        <v>583</v>
      </c>
      <c r="J351" s="269">
        <v>100</v>
      </c>
      <c r="K351" s="269" t="s">
        <v>584</v>
      </c>
      <c r="L351" s="269" t="s">
        <v>641</v>
      </c>
      <c r="M351" s="274">
        <v>571</v>
      </c>
      <c r="N351" s="468">
        <f t="shared" si="5"/>
        <v>571</v>
      </c>
      <c r="O351" s="274">
        <v>21</v>
      </c>
      <c r="P351" s="553" t="s">
        <v>1744</v>
      </c>
      <c r="Q351" s="624" t="s">
        <v>1901</v>
      </c>
    </row>
    <row r="352" spans="1:17" ht="25.5" hidden="1" x14ac:dyDescent="0.2">
      <c r="A352" s="269" t="s">
        <v>277</v>
      </c>
      <c r="B352" s="269" t="s">
        <v>277</v>
      </c>
      <c r="C352" s="269">
        <v>2019</v>
      </c>
      <c r="D352" s="269" t="s">
        <v>381</v>
      </c>
      <c r="E352" s="269" t="s">
        <v>391</v>
      </c>
      <c r="F352" s="269" t="s">
        <v>74</v>
      </c>
      <c r="G352" s="269" t="s">
        <v>415</v>
      </c>
      <c r="H352" s="269" t="s">
        <v>20</v>
      </c>
      <c r="I352" s="269" t="s">
        <v>583</v>
      </c>
      <c r="J352" s="269">
        <v>100</v>
      </c>
      <c r="K352" s="269" t="s">
        <v>584</v>
      </c>
      <c r="L352" s="269" t="s">
        <v>641</v>
      </c>
      <c r="M352" s="274">
        <v>571</v>
      </c>
      <c r="N352" s="468">
        <f t="shared" si="5"/>
        <v>571</v>
      </c>
      <c r="O352" s="274">
        <v>21</v>
      </c>
      <c r="P352" s="553" t="s">
        <v>1744</v>
      </c>
      <c r="Q352" s="624" t="s">
        <v>1901</v>
      </c>
    </row>
    <row r="353" spans="1:17" ht="25.5" hidden="1" x14ac:dyDescent="0.2">
      <c r="A353" s="269" t="s">
        <v>277</v>
      </c>
      <c r="B353" s="269" t="s">
        <v>277</v>
      </c>
      <c r="C353" s="269">
        <v>2019</v>
      </c>
      <c r="D353" s="269" t="s">
        <v>381</v>
      </c>
      <c r="E353" s="269" t="s">
        <v>391</v>
      </c>
      <c r="F353" s="269" t="s">
        <v>74</v>
      </c>
      <c r="G353" s="269" t="s">
        <v>415</v>
      </c>
      <c r="H353" s="269" t="s">
        <v>587</v>
      </c>
      <c r="I353" s="269" t="s">
        <v>583</v>
      </c>
      <c r="J353" s="269">
        <v>100</v>
      </c>
      <c r="K353" s="269" t="s">
        <v>584</v>
      </c>
      <c r="L353" s="269" t="s">
        <v>641</v>
      </c>
      <c r="M353" s="274">
        <v>571</v>
      </c>
      <c r="N353" s="468">
        <f t="shared" si="5"/>
        <v>571</v>
      </c>
      <c r="O353" s="274">
        <v>21</v>
      </c>
      <c r="P353" s="553" t="s">
        <v>1744</v>
      </c>
      <c r="Q353" s="624" t="s">
        <v>1901</v>
      </c>
    </row>
    <row r="354" spans="1:17" ht="25.5" hidden="1" x14ac:dyDescent="0.2">
      <c r="A354" s="269" t="s">
        <v>277</v>
      </c>
      <c r="B354" s="269" t="s">
        <v>277</v>
      </c>
      <c r="C354" s="269">
        <v>2019</v>
      </c>
      <c r="D354" s="269" t="s">
        <v>381</v>
      </c>
      <c r="E354" s="269" t="s">
        <v>391</v>
      </c>
      <c r="F354" s="269" t="s">
        <v>74</v>
      </c>
      <c r="G354" s="269" t="s">
        <v>415</v>
      </c>
      <c r="H354" s="269" t="s">
        <v>588</v>
      </c>
      <c r="I354" s="269" t="s">
        <v>583</v>
      </c>
      <c r="J354" s="269">
        <v>100</v>
      </c>
      <c r="K354" s="269" t="s">
        <v>584</v>
      </c>
      <c r="L354" s="269" t="s">
        <v>641</v>
      </c>
      <c r="M354" s="274">
        <v>0</v>
      </c>
      <c r="N354" s="468">
        <f t="shared" si="5"/>
        <v>0</v>
      </c>
      <c r="O354" s="274">
        <v>0</v>
      </c>
      <c r="P354" s="553" t="s">
        <v>1744</v>
      </c>
      <c r="Q354" s="469" t="s">
        <v>1742</v>
      </c>
    </row>
    <row r="355" spans="1:17" hidden="1" x14ac:dyDescent="0.2">
      <c r="A355" s="269" t="s">
        <v>277</v>
      </c>
      <c r="B355" s="269" t="s">
        <v>277</v>
      </c>
      <c r="C355" s="269">
        <v>2019</v>
      </c>
      <c r="D355" s="269" t="s">
        <v>381</v>
      </c>
      <c r="E355" s="269" t="s">
        <v>391</v>
      </c>
      <c r="F355" s="269" t="s">
        <v>74</v>
      </c>
      <c r="G355" s="269" t="s">
        <v>415</v>
      </c>
      <c r="H355" s="269" t="s">
        <v>42</v>
      </c>
      <c r="I355" s="269" t="s">
        <v>589</v>
      </c>
      <c r="J355" s="269">
        <v>0</v>
      </c>
      <c r="K355" s="269" t="s">
        <v>584</v>
      </c>
      <c r="L355" s="269" t="s">
        <v>606</v>
      </c>
      <c r="M355" s="274">
        <v>0</v>
      </c>
      <c r="N355" s="468" t="s">
        <v>332</v>
      </c>
      <c r="O355" s="274">
        <v>0</v>
      </c>
      <c r="P355" s="553" t="s">
        <v>1726</v>
      </c>
      <c r="Q355" s="469"/>
    </row>
    <row r="356" spans="1:17" x14ac:dyDescent="0.2">
      <c r="A356" s="269" t="s">
        <v>277</v>
      </c>
      <c r="B356" s="269" t="s">
        <v>277</v>
      </c>
      <c r="C356" s="269">
        <v>2019</v>
      </c>
      <c r="D356" s="269" t="s">
        <v>381</v>
      </c>
      <c r="E356" s="269" t="s">
        <v>391</v>
      </c>
      <c r="F356" s="269" t="s">
        <v>74</v>
      </c>
      <c r="G356" s="269" t="s">
        <v>415</v>
      </c>
      <c r="H356" s="269" t="s">
        <v>19</v>
      </c>
      <c r="I356" s="269" t="s">
        <v>589</v>
      </c>
      <c r="J356" s="269">
        <v>0</v>
      </c>
      <c r="K356" s="269" t="s">
        <v>584</v>
      </c>
      <c r="L356" s="269" t="s">
        <v>606</v>
      </c>
      <c r="M356" s="274">
        <v>0</v>
      </c>
      <c r="N356" s="468" t="s">
        <v>332</v>
      </c>
      <c r="O356" s="274">
        <v>0</v>
      </c>
      <c r="P356" s="553" t="s">
        <v>1726</v>
      </c>
      <c r="Q356" s="469"/>
    </row>
    <row r="357" spans="1:17" x14ac:dyDescent="0.2">
      <c r="A357" s="269" t="s">
        <v>277</v>
      </c>
      <c r="B357" s="269" t="s">
        <v>277</v>
      </c>
      <c r="C357" s="269">
        <v>2019</v>
      </c>
      <c r="D357" s="269" t="s">
        <v>381</v>
      </c>
      <c r="E357" s="269" t="s">
        <v>391</v>
      </c>
      <c r="F357" s="269" t="s">
        <v>74</v>
      </c>
      <c r="G357" s="269" t="s">
        <v>415</v>
      </c>
      <c r="H357" s="269" t="s">
        <v>20</v>
      </c>
      <c r="I357" s="269" t="s">
        <v>589</v>
      </c>
      <c r="J357" s="269">
        <v>0</v>
      </c>
      <c r="K357" s="269" t="s">
        <v>584</v>
      </c>
      <c r="L357" s="269" t="s">
        <v>606</v>
      </c>
      <c r="M357" s="274">
        <v>0</v>
      </c>
      <c r="N357" s="468" t="s">
        <v>332</v>
      </c>
      <c r="O357" s="274">
        <v>0</v>
      </c>
      <c r="P357" s="553" t="s">
        <v>1726</v>
      </c>
      <c r="Q357" s="469"/>
    </row>
    <row r="358" spans="1:17" x14ac:dyDescent="0.2">
      <c r="A358" s="269" t="s">
        <v>277</v>
      </c>
      <c r="B358" s="269" t="s">
        <v>277</v>
      </c>
      <c r="C358" s="269">
        <v>2019</v>
      </c>
      <c r="D358" s="269" t="s">
        <v>381</v>
      </c>
      <c r="E358" s="269" t="s">
        <v>391</v>
      </c>
      <c r="F358" s="269" t="s">
        <v>74</v>
      </c>
      <c r="G358" s="269" t="s">
        <v>415</v>
      </c>
      <c r="H358" s="269" t="s">
        <v>587</v>
      </c>
      <c r="I358" s="269" t="s">
        <v>589</v>
      </c>
      <c r="J358" s="269">
        <v>0</v>
      </c>
      <c r="K358" s="269" t="s">
        <v>584</v>
      </c>
      <c r="L358" s="269" t="s">
        <v>606</v>
      </c>
      <c r="M358" s="274">
        <v>0</v>
      </c>
      <c r="N358" s="468" t="s">
        <v>332</v>
      </c>
      <c r="O358" s="274">
        <v>0</v>
      </c>
      <c r="P358" s="553" t="s">
        <v>1726</v>
      </c>
      <c r="Q358" s="469"/>
    </row>
    <row r="359" spans="1:17" x14ac:dyDescent="0.2">
      <c r="A359" s="269" t="s">
        <v>277</v>
      </c>
      <c r="B359" s="269" t="s">
        <v>277</v>
      </c>
      <c r="C359" s="269">
        <v>2019</v>
      </c>
      <c r="D359" s="269" t="s">
        <v>381</v>
      </c>
      <c r="E359" s="269" t="s">
        <v>391</v>
      </c>
      <c r="F359" s="269" t="s">
        <v>74</v>
      </c>
      <c r="G359" s="269" t="s">
        <v>415</v>
      </c>
      <c r="H359" s="269" t="s">
        <v>588</v>
      </c>
      <c r="I359" s="269" t="s">
        <v>589</v>
      </c>
      <c r="J359" s="269">
        <v>0</v>
      </c>
      <c r="K359" s="269" t="s">
        <v>584</v>
      </c>
      <c r="L359" s="269" t="s">
        <v>606</v>
      </c>
      <c r="M359" s="274">
        <v>0</v>
      </c>
      <c r="N359" s="468" t="s">
        <v>332</v>
      </c>
      <c r="O359" s="274">
        <v>0</v>
      </c>
      <c r="P359" s="553" t="s">
        <v>1726</v>
      </c>
      <c r="Q359" s="469"/>
    </row>
    <row r="360" spans="1:17" hidden="1" x14ac:dyDescent="0.2">
      <c r="A360" s="269" t="s">
        <v>277</v>
      </c>
      <c r="B360" s="269" t="s">
        <v>277</v>
      </c>
      <c r="C360" s="269">
        <v>2019</v>
      </c>
      <c r="D360" s="269" t="s">
        <v>381</v>
      </c>
      <c r="E360" s="269" t="s">
        <v>391</v>
      </c>
      <c r="F360" s="269" t="s">
        <v>74</v>
      </c>
      <c r="G360" s="269" t="s">
        <v>488</v>
      </c>
      <c r="H360" s="269" t="s">
        <v>42</v>
      </c>
      <c r="I360" s="269" t="s">
        <v>583</v>
      </c>
      <c r="J360" s="269">
        <v>0</v>
      </c>
      <c r="K360" s="269" t="s">
        <v>584</v>
      </c>
      <c r="L360" s="269" t="s">
        <v>642</v>
      </c>
      <c r="M360" s="274">
        <v>1625</v>
      </c>
      <c r="N360" s="468" t="s">
        <v>332</v>
      </c>
      <c r="O360" s="274">
        <v>24</v>
      </c>
      <c r="P360" s="553" t="s">
        <v>1726</v>
      </c>
      <c r="Q360" s="469"/>
    </row>
    <row r="361" spans="1:17" hidden="1" x14ac:dyDescent="0.2">
      <c r="A361" s="269" t="s">
        <v>277</v>
      </c>
      <c r="B361" s="269" t="s">
        <v>277</v>
      </c>
      <c r="C361" s="269">
        <v>2019</v>
      </c>
      <c r="D361" s="269" t="s">
        <v>381</v>
      </c>
      <c r="E361" s="269" t="s">
        <v>391</v>
      </c>
      <c r="F361" s="269" t="s">
        <v>74</v>
      </c>
      <c r="G361" s="269" t="s">
        <v>488</v>
      </c>
      <c r="H361" s="269" t="s">
        <v>19</v>
      </c>
      <c r="I361" s="269" t="s">
        <v>583</v>
      </c>
      <c r="J361" s="269">
        <v>0</v>
      </c>
      <c r="K361" s="269" t="s">
        <v>584</v>
      </c>
      <c r="L361" s="269" t="s">
        <v>642</v>
      </c>
      <c r="M361" s="274">
        <v>200</v>
      </c>
      <c r="N361" s="468" t="s">
        <v>332</v>
      </c>
      <c r="O361" s="274">
        <v>9</v>
      </c>
      <c r="P361" s="553" t="s">
        <v>1726</v>
      </c>
      <c r="Q361" s="469"/>
    </row>
    <row r="362" spans="1:17" hidden="1" x14ac:dyDescent="0.2">
      <c r="A362" s="269" t="s">
        <v>277</v>
      </c>
      <c r="B362" s="269" t="s">
        <v>277</v>
      </c>
      <c r="C362" s="269">
        <v>2019</v>
      </c>
      <c r="D362" s="269" t="s">
        <v>381</v>
      </c>
      <c r="E362" s="269" t="s">
        <v>391</v>
      </c>
      <c r="F362" s="269" t="s">
        <v>74</v>
      </c>
      <c r="G362" s="269" t="s">
        <v>488</v>
      </c>
      <c r="H362" s="269" t="s">
        <v>20</v>
      </c>
      <c r="I362" s="269" t="s">
        <v>583</v>
      </c>
      <c r="J362" s="269">
        <v>0</v>
      </c>
      <c r="K362" s="269" t="s">
        <v>584</v>
      </c>
      <c r="L362" s="269" t="s">
        <v>642</v>
      </c>
      <c r="M362" s="274">
        <v>200</v>
      </c>
      <c r="N362" s="468" t="s">
        <v>332</v>
      </c>
      <c r="O362" s="274">
        <v>9</v>
      </c>
      <c r="P362" s="553" t="s">
        <v>1726</v>
      </c>
      <c r="Q362" s="469"/>
    </row>
    <row r="363" spans="1:17" hidden="1" x14ac:dyDescent="0.2">
      <c r="A363" s="269" t="s">
        <v>277</v>
      </c>
      <c r="B363" s="269" t="s">
        <v>277</v>
      </c>
      <c r="C363" s="269">
        <v>2019</v>
      </c>
      <c r="D363" s="269" t="s">
        <v>381</v>
      </c>
      <c r="E363" s="269" t="s">
        <v>391</v>
      </c>
      <c r="F363" s="269" t="s">
        <v>74</v>
      </c>
      <c r="G363" s="269" t="s">
        <v>488</v>
      </c>
      <c r="H363" s="269" t="s">
        <v>587</v>
      </c>
      <c r="I363" s="269" t="s">
        <v>583</v>
      </c>
      <c r="J363" s="269">
        <v>0</v>
      </c>
      <c r="K363" s="269" t="s">
        <v>584</v>
      </c>
      <c r="L363" s="269" t="s">
        <v>642</v>
      </c>
      <c r="M363" s="274">
        <v>187</v>
      </c>
      <c r="N363" s="468" t="s">
        <v>332</v>
      </c>
      <c r="O363" s="274">
        <v>8</v>
      </c>
      <c r="P363" s="553" t="s">
        <v>1726</v>
      </c>
      <c r="Q363" s="469"/>
    </row>
    <row r="364" spans="1:17" hidden="1" x14ac:dyDescent="0.2">
      <c r="A364" s="269" t="s">
        <v>277</v>
      </c>
      <c r="B364" s="269" t="s">
        <v>277</v>
      </c>
      <c r="C364" s="269">
        <v>2019</v>
      </c>
      <c r="D364" s="269" t="s">
        <v>381</v>
      </c>
      <c r="E364" s="269" t="s">
        <v>391</v>
      </c>
      <c r="F364" s="269" t="s">
        <v>74</v>
      </c>
      <c r="G364" s="269" t="s">
        <v>488</v>
      </c>
      <c r="H364" s="269" t="s">
        <v>588</v>
      </c>
      <c r="I364" s="269" t="s">
        <v>583</v>
      </c>
      <c r="J364" s="269">
        <v>0</v>
      </c>
      <c r="K364" s="269" t="s">
        <v>584</v>
      </c>
      <c r="L364" s="269" t="s">
        <v>642</v>
      </c>
      <c r="M364" s="274">
        <v>0</v>
      </c>
      <c r="N364" s="468" t="s">
        <v>332</v>
      </c>
      <c r="O364" s="274">
        <v>0</v>
      </c>
      <c r="P364" s="553" t="s">
        <v>1726</v>
      </c>
      <c r="Q364" s="469"/>
    </row>
    <row r="365" spans="1:17" ht="25.5" hidden="1" x14ac:dyDescent="0.2">
      <c r="A365" s="269" t="s">
        <v>277</v>
      </c>
      <c r="B365" s="269" t="s">
        <v>277</v>
      </c>
      <c r="C365" s="269">
        <v>2019</v>
      </c>
      <c r="D365" s="269" t="s">
        <v>381</v>
      </c>
      <c r="E365" s="269" t="s">
        <v>391</v>
      </c>
      <c r="F365" s="269" t="s">
        <v>74</v>
      </c>
      <c r="G365" s="269" t="s">
        <v>488</v>
      </c>
      <c r="H365" s="269" t="s">
        <v>42</v>
      </c>
      <c r="I365" s="269" t="s">
        <v>589</v>
      </c>
      <c r="J365" s="269">
        <v>50</v>
      </c>
      <c r="K365" s="269" t="s">
        <v>584</v>
      </c>
      <c r="L365" s="269" t="s">
        <v>620</v>
      </c>
      <c r="M365" s="274">
        <v>126</v>
      </c>
      <c r="N365" s="468">
        <f t="shared" si="5"/>
        <v>252</v>
      </c>
      <c r="O365" s="274">
        <v>19</v>
      </c>
      <c r="P365" s="553" t="s">
        <v>647</v>
      </c>
      <c r="Q365" s="624" t="s">
        <v>1901</v>
      </c>
    </row>
    <row r="366" spans="1:17" ht="25.5" x14ac:dyDescent="0.2">
      <c r="A366" s="269" t="s">
        <v>277</v>
      </c>
      <c r="B366" s="269" t="s">
        <v>277</v>
      </c>
      <c r="C366" s="269">
        <v>2019</v>
      </c>
      <c r="D366" s="269" t="s">
        <v>381</v>
      </c>
      <c r="E366" s="269" t="s">
        <v>391</v>
      </c>
      <c r="F366" s="269" t="s">
        <v>74</v>
      </c>
      <c r="G366" s="269" t="s">
        <v>488</v>
      </c>
      <c r="H366" s="269" t="s">
        <v>19</v>
      </c>
      <c r="I366" s="269" t="s">
        <v>589</v>
      </c>
      <c r="J366" s="269">
        <v>50</v>
      </c>
      <c r="K366" s="269" t="s">
        <v>584</v>
      </c>
      <c r="L366" s="269" t="s">
        <v>617</v>
      </c>
      <c r="M366" s="274">
        <v>126</v>
      </c>
      <c r="N366" s="468">
        <f t="shared" si="5"/>
        <v>252</v>
      </c>
      <c r="O366" s="274">
        <v>19</v>
      </c>
      <c r="P366" s="553" t="s">
        <v>647</v>
      </c>
      <c r="Q366" s="624" t="s">
        <v>1901</v>
      </c>
    </row>
    <row r="367" spans="1:17" ht="25.5" x14ac:dyDescent="0.2">
      <c r="A367" s="269" t="s">
        <v>277</v>
      </c>
      <c r="B367" s="269" t="s">
        <v>277</v>
      </c>
      <c r="C367" s="269">
        <v>2019</v>
      </c>
      <c r="D367" s="269" t="s">
        <v>381</v>
      </c>
      <c r="E367" s="269" t="s">
        <v>391</v>
      </c>
      <c r="F367" s="269" t="s">
        <v>74</v>
      </c>
      <c r="G367" s="269" t="s">
        <v>488</v>
      </c>
      <c r="H367" s="269" t="s">
        <v>20</v>
      </c>
      <c r="I367" s="269" t="s">
        <v>589</v>
      </c>
      <c r="J367" s="269">
        <v>50</v>
      </c>
      <c r="K367" s="269" t="s">
        <v>584</v>
      </c>
      <c r="L367" s="269" t="s">
        <v>620</v>
      </c>
      <c r="M367" s="274">
        <v>126</v>
      </c>
      <c r="N367" s="468">
        <f t="shared" si="5"/>
        <v>252</v>
      </c>
      <c r="O367" s="274">
        <v>19</v>
      </c>
      <c r="P367" s="553" t="s">
        <v>647</v>
      </c>
      <c r="Q367" s="624" t="s">
        <v>1901</v>
      </c>
    </row>
    <row r="368" spans="1:17" ht="25.5" x14ac:dyDescent="0.2">
      <c r="A368" s="269" t="s">
        <v>277</v>
      </c>
      <c r="B368" s="269" t="s">
        <v>277</v>
      </c>
      <c r="C368" s="269">
        <v>2019</v>
      </c>
      <c r="D368" s="269" t="s">
        <v>381</v>
      </c>
      <c r="E368" s="269" t="s">
        <v>391</v>
      </c>
      <c r="F368" s="269" t="s">
        <v>74</v>
      </c>
      <c r="G368" s="269" t="s">
        <v>488</v>
      </c>
      <c r="H368" s="269" t="s">
        <v>587</v>
      </c>
      <c r="I368" s="269" t="s">
        <v>589</v>
      </c>
      <c r="J368" s="269">
        <v>50</v>
      </c>
      <c r="K368" s="269" t="s">
        <v>584</v>
      </c>
      <c r="L368" s="269" t="s">
        <v>620</v>
      </c>
      <c r="M368" s="274">
        <v>126</v>
      </c>
      <c r="N368" s="468">
        <f t="shared" si="5"/>
        <v>252</v>
      </c>
      <c r="O368" s="274">
        <v>19</v>
      </c>
      <c r="P368" s="553" t="s">
        <v>647</v>
      </c>
      <c r="Q368" s="624" t="s">
        <v>1901</v>
      </c>
    </row>
    <row r="369" spans="1:17" ht="25.5" x14ac:dyDescent="0.2">
      <c r="A369" s="269" t="s">
        <v>277</v>
      </c>
      <c r="B369" s="269" t="s">
        <v>277</v>
      </c>
      <c r="C369" s="269">
        <v>2019</v>
      </c>
      <c r="D369" s="269" t="s">
        <v>381</v>
      </c>
      <c r="E369" s="269" t="s">
        <v>391</v>
      </c>
      <c r="F369" s="269" t="s">
        <v>74</v>
      </c>
      <c r="G369" s="269" t="s">
        <v>488</v>
      </c>
      <c r="H369" s="269" t="s">
        <v>588</v>
      </c>
      <c r="I369" s="269" t="s">
        <v>589</v>
      </c>
      <c r="J369" s="269">
        <v>50</v>
      </c>
      <c r="K369" s="269" t="s">
        <v>584</v>
      </c>
      <c r="L369" s="269" t="s">
        <v>620</v>
      </c>
      <c r="M369" s="274">
        <v>126</v>
      </c>
      <c r="N369" s="468">
        <f t="shared" si="5"/>
        <v>252</v>
      </c>
      <c r="O369" s="274">
        <v>19</v>
      </c>
      <c r="P369" s="553" t="s">
        <v>647</v>
      </c>
      <c r="Q369" s="624" t="s">
        <v>1901</v>
      </c>
    </row>
    <row r="370" spans="1:17" ht="25.5" hidden="1" x14ac:dyDescent="0.2">
      <c r="A370" s="269" t="s">
        <v>277</v>
      </c>
      <c r="B370" s="269" t="s">
        <v>277</v>
      </c>
      <c r="C370" s="269">
        <v>2019</v>
      </c>
      <c r="D370" s="269" t="s">
        <v>381</v>
      </c>
      <c r="E370" s="269" t="s">
        <v>391</v>
      </c>
      <c r="F370" s="269" t="s">
        <v>74</v>
      </c>
      <c r="G370" s="269" t="s">
        <v>508</v>
      </c>
      <c r="H370" s="269" t="s">
        <v>42</v>
      </c>
      <c r="I370" s="269" t="s">
        <v>583</v>
      </c>
      <c r="J370" s="269">
        <v>1500</v>
      </c>
      <c r="K370" s="269" t="s">
        <v>584</v>
      </c>
      <c r="L370" s="269"/>
      <c r="M370" s="274">
        <v>3693</v>
      </c>
      <c r="N370" s="468">
        <f t="shared" si="5"/>
        <v>246</v>
      </c>
      <c r="O370" s="274">
        <v>47</v>
      </c>
      <c r="P370" s="553" t="s">
        <v>1722</v>
      </c>
      <c r="Q370" s="624" t="s">
        <v>1901</v>
      </c>
    </row>
    <row r="371" spans="1:17" hidden="1" x14ac:dyDescent="0.2">
      <c r="A371" s="269" t="s">
        <v>277</v>
      </c>
      <c r="B371" s="269" t="s">
        <v>277</v>
      </c>
      <c r="C371" s="269">
        <v>2019</v>
      </c>
      <c r="D371" s="269" t="s">
        <v>381</v>
      </c>
      <c r="E371" s="269" t="s">
        <v>391</v>
      </c>
      <c r="F371" s="269" t="s">
        <v>74</v>
      </c>
      <c r="G371" s="269" t="s">
        <v>508</v>
      </c>
      <c r="H371" s="269" t="s">
        <v>19</v>
      </c>
      <c r="I371" s="269" t="s">
        <v>583</v>
      </c>
      <c r="J371" s="269">
        <v>750</v>
      </c>
      <c r="K371" s="269" t="s">
        <v>584</v>
      </c>
      <c r="L371" s="269" t="s">
        <v>621</v>
      </c>
      <c r="M371" s="274">
        <v>984</v>
      </c>
      <c r="N371" s="468">
        <f t="shared" si="5"/>
        <v>131</v>
      </c>
      <c r="O371" s="274">
        <v>40</v>
      </c>
      <c r="P371" s="553" t="s">
        <v>1744</v>
      </c>
      <c r="Q371" s="469"/>
    </row>
    <row r="372" spans="1:17" hidden="1" x14ac:dyDescent="0.2">
      <c r="A372" s="269" t="s">
        <v>277</v>
      </c>
      <c r="B372" s="269" t="s">
        <v>277</v>
      </c>
      <c r="C372" s="269">
        <v>2019</v>
      </c>
      <c r="D372" s="269" t="s">
        <v>381</v>
      </c>
      <c r="E372" s="269" t="s">
        <v>391</v>
      </c>
      <c r="F372" s="269" t="s">
        <v>74</v>
      </c>
      <c r="G372" s="269" t="s">
        <v>508</v>
      </c>
      <c r="H372" s="269" t="s">
        <v>20</v>
      </c>
      <c r="I372" s="269" t="s">
        <v>583</v>
      </c>
      <c r="J372" s="269">
        <v>750</v>
      </c>
      <c r="K372" s="269" t="s">
        <v>584</v>
      </c>
      <c r="L372" s="269" t="s">
        <v>621</v>
      </c>
      <c r="M372" s="274">
        <v>984</v>
      </c>
      <c r="N372" s="468">
        <f t="shared" si="5"/>
        <v>131</v>
      </c>
      <c r="O372" s="274">
        <v>40</v>
      </c>
      <c r="P372" s="553" t="s">
        <v>1744</v>
      </c>
      <c r="Q372" s="469"/>
    </row>
    <row r="373" spans="1:17" hidden="1" x14ac:dyDescent="0.2">
      <c r="A373" s="269" t="s">
        <v>277</v>
      </c>
      <c r="B373" s="269" t="s">
        <v>277</v>
      </c>
      <c r="C373" s="269">
        <v>2019</v>
      </c>
      <c r="D373" s="269" t="s">
        <v>381</v>
      </c>
      <c r="E373" s="269" t="s">
        <v>391</v>
      </c>
      <c r="F373" s="269" t="s">
        <v>74</v>
      </c>
      <c r="G373" s="269" t="s">
        <v>508</v>
      </c>
      <c r="H373" s="269" t="s">
        <v>587</v>
      </c>
      <c r="I373" s="269" t="s">
        <v>583</v>
      </c>
      <c r="J373" s="269">
        <v>0</v>
      </c>
      <c r="K373" s="269" t="s">
        <v>584</v>
      </c>
      <c r="L373" s="269" t="s">
        <v>629</v>
      </c>
      <c r="M373" s="274">
        <v>984</v>
      </c>
      <c r="N373" s="468" t="s">
        <v>332</v>
      </c>
      <c r="O373" s="274">
        <v>40</v>
      </c>
      <c r="P373" s="553" t="s">
        <v>1726</v>
      </c>
      <c r="Q373" s="469"/>
    </row>
    <row r="374" spans="1:17" hidden="1" x14ac:dyDescent="0.2">
      <c r="A374" s="269" t="s">
        <v>277</v>
      </c>
      <c r="B374" s="269" t="s">
        <v>277</v>
      </c>
      <c r="C374" s="269">
        <v>2019</v>
      </c>
      <c r="D374" s="269" t="s">
        <v>381</v>
      </c>
      <c r="E374" s="269" t="s">
        <v>391</v>
      </c>
      <c r="F374" s="269" t="s">
        <v>74</v>
      </c>
      <c r="G374" s="269" t="s">
        <v>508</v>
      </c>
      <c r="H374" s="269" t="s">
        <v>588</v>
      </c>
      <c r="I374" s="269" t="s">
        <v>583</v>
      </c>
      <c r="J374" s="269">
        <v>0</v>
      </c>
      <c r="K374" s="269" t="s">
        <v>584</v>
      </c>
      <c r="L374" s="269" t="s">
        <v>629</v>
      </c>
      <c r="M374" s="274">
        <v>0</v>
      </c>
      <c r="N374" s="468" t="s">
        <v>332</v>
      </c>
      <c r="O374" s="274">
        <v>0</v>
      </c>
      <c r="P374" s="553" t="s">
        <v>1726</v>
      </c>
      <c r="Q374" s="469"/>
    </row>
    <row r="375" spans="1:17" hidden="1" x14ac:dyDescent="0.2">
      <c r="A375" s="269" t="s">
        <v>277</v>
      </c>
      <c r="B375" s="269" t="s">
        <v>277</v>
      </c>
      <c r="C375" s="269">
        <v>2019</v>
      </c>
      <c r="D375" s="269" t="s">
        <v>381</v>
      </c>
      <c r="E375" s="269" t="s">
        <v>391</v>
      </c>
      <c r="F375" s="269" t="s">
        <v>74</v>
      </c>
      <c r="G375" s="269" t="s">
        <v>508</v>
      </c>
      <c r="H375" s="269" t="s">
        <v>42</v>
      </c>
      <c r="I375" s="269" t="s">
        <v>589</v>
      </c>
      <c r="J375" s="269">
        <v>25</v>
      </c>
      <c r="K375" s="269" t="s">
        <v>584</v>
      </c>
      <c r="L375" s="269" t="s">
        <v>620</v>
      </c>
      <c r="M375" s="274">
        <v>33</v>
      </c>
      <c r="N375" s="468">
        <f t="shared" si="5"/>
        <v>132</v>
      </c>
      <c r="O375" s="274">
        <v>8</v>
      </c>
      <c r="P375" s="553" t="s">
        <v>647</v>
      </c>
      <c r="Q375" s="469"/>
    </row>
    <row r="376" spans="1:17" x14ac:dyDescent="0.2">
      <c r="A376" s="269" t="s">
        <v>277</v>
      </c>
      <c r="B376" s="269" t="s">
        <v>277</v>
      </c>
      <c r="C376" s="269">
        <v>2019</v>
      </c>
      <c r="D376" s="269" t="s">
        <v>381</v>
      </c>
      <c r="E376" s="269" t="s">
        <v>391</v>
      </c>
      <c r="F376" s="269" t="s">
        <v>74</v>
      </c>
      <c r="G376" s="269" t="s">
        <v>508</v>
      </c>
      <c r="H376" s="269" t="s">
        <v>19</v>
      </c>
      <c r="I376" s="269" t="s">
        <v>589</v>
      </c>
      <c r="J376" s="269">
        <v>25</v>
      </c>
      <c r="K376" s="269" t="s">
        <v>584</v>
      </c>
      <c r="L376" s="269" t="s">
        <v>620</v>
      </c>
      <c r="M376" s="274">
        <v>33</v>
      </c>
      <c r="N376" s="468">
        <f t="shared" si="5"/>
        <v>132</v>
      </c>
      <c r="O376" s="274">
        <v>8</v>
      </c>
      <c r="P376" s="553" t="s">
        <v>647</v>
      </c>
      <c r="Q376" s="469"/>
    </row>
    <row r="377" spans="1:17" x14ac:dyDescent="0.2">
      <c r="A377" s="269" t="s">
        <v>277</v>
      </c>
      <c r="B377" s="269" t="s">
        <v>277</v>
      </c>
      <c r="C377" s="269">
        <v>2019</v>
      </c>
      <c r="D377" s="269" t="s">
        <v>381</v>
      </c>
      <c r="E377" s="269" t="s">
        <v>391</v>
      </c>
      <c r="F377" s="269" t="s">
        <v>74</v>
      </c>
      <c r="G377" s="269" t="s">
        <v>508</v>
      </c>
      <c r="H377" s="269" t="s">
        <v>20</v>
      </c>
      <c r="I377" s="269" t="s">
        <v>589</v>
      </c>
      <c r="J377" s="269">
        <v>25</v>
      </c>
      <c r="K377" s="269" t="s">
        <v>584</v>
      </c>
      <c r="L377" s="269" t="s">
        <v>620</v>
      </c>
      <c r="M377" s="274">
        <v>33</v>
      </c>
      <c r="N377" s="468">
        <f t="shared" si="5"/>
        <v>132</v>
      </c>
      <c r="O377" s="274">
        <v>8</v>
      </c>
      <c r="P377" s="553" t="s">
        <v>647</v>
      </c>
      <c r="Q377" s="469"/>
    </row>
    <row r="378" spans="1:17" x14ac:dyDescent="0.2">
      <c r="A378" s="269" t="s">
        <v>277</v>
      </c>
      <c r="B378" s="269" t="s">
        <v>277</v>
      </c>
      <c r="C378" s="269">
        <v>2019</v>
      </c>
      <c r="D378" s="269" t="s">
        <v>381</v>
      </c>
      <c r="E378" s="269" t="s">
        <v>391</v>
      </c>
      <c r="F378" s="269" t="s">
        <v>74</v>
      </c>
      <c r="G378" s="269" t="s">
        <v>508</v>
      </c>
      <c r="H378" s="269" t="s">
        <v>587</v>
      </c>
      <c r="I378" s="269" t="s">
        <v>589</v>
      </c>
      <c r="J378" s="269">
        <v>25</v>
      </c>
      <c r="K378" s="269" t="s">
        <v>584</v>
      </c>
      <c r="L378" s="269" t="s">
        <v>620</v>
      </c>
      <c r="M378" s="274">
        <v>33</v>
      </c>
      <c r="N378" s="468">
        <f t="shared" si="5"/>
        <v>132</v>
      </c>
      <c r="O378" s="274">
        <v>8</v>
      </c>
      <c r="P378" s="553" t="s">
        <v>647</v>
      </c>
      <c r="Q378" s="469"/>
    </row>
    <row r="379" spans="1:17" x14ac:dyDescent="0.2">
      <c r="A379" s="269" t="s">
        <v>277</v>
      </c>
      <c r="B379" s="269" t="s">
        <v>277</v>
      </c>
      <c r="C379" s="269">
        <v>2019</v>
      </c>
      <c r="D379" s="269" t="s">
        <v>381</v>
      </c>
      <c r="E379" s="269" t="s">
        <v>391</v>
      </c>
      <c r="F379" s="269" t="s">
        <v>74</v>
      </c>
      <c r="G379" s="269" t="s">
        <v>508</v>
      </c>
      <c r="H379" s="269" t="s">
        <v>588</v>
      </c>
      <c r="I379" s="269" t="s">
        <v>589</v>
      </c>
      <c r="J379" s="269">
        <v>25</v>
      </c>
      <c r="K379" s="269" t="s">
        <v>584</v>
      </c>
      <c r="L379" s="269" t="s">
        <v>620</v>
      </c>
      <c r="M379" s="274">
        <v>33</v>
      </c>
      <c r="N379" s="468">
        <f t="shared" si="5"/>
        <v>132</v>
      </c>
      <c r="O379" s="274">
        <v>8</v>
      </c>
      <c r="P379" s="553" t="s">
        <v>647</v>
      </c>
      <c r="Q379" s="469"/>
    </row>
    <row r="380" spans="1:17" ht="25.5" hidden="1" x14ac:dyDescent="0.2">
      <c r="A380" s="269" t="s">
        <v>277</v>
      </c>
      <c r="B380" s="269" t="s">
        <v>277</v>
      </c>
      <c r="C380" s="269">
        <v>2019</v>
      </c>
      <c r="D380" s="269" t="s">
        <v>342</v>
      </c>
      <c r="E380" s="269" t="s">
        <v>391</v>
      </c>
      <c r="F380" s="269" t="s">
        <v>74</v>
      </c>
      <c r="G380" s="269" t="s">
        <v>515</v>
      </c>
      <c r="H380" s="269" t="s">
        <v>42</v>
      </c>
      <c r="I380" s="269" t="s">
        <v>583</v>
      </c>
      <c r="J380" s="269">
        <v>3000</v>
      </c>
      <c r="K380" s="269" t="s">
        <v>584</v>
      </c>
      <c r="L380" s="269"/>
      <c r="M380" s="274">
        <v>10315</v>
      </c>
      <c r="N380" s="468">
        <f t="shared" si="5"/>
        <v>344</v>
      </c>
      <c r="O380" s="274">
        <v>53</v>
      </c>
      <c r="P380" s="553" t="s">
        <v>1722</v>
      </c>
      <c r="Q380" s="624" t="s">
        <v>1901</v>
      </c>
    </row>
    <row r="381" spans="1:17" ht="25.5" hidden="1" x14ac:dyDescent="0.2">
      <c r="A381" s="269" t="s">
        <v>277</v>
      </c>
      <c r="B381" s="269" t="s">
        <v>277</v>
      </c>
      <c r="C381" s="269">
        <v>2019</v>
      </c>
      <c r="D381" s="269" t="s">
        <v>342</v>
      </c>
      <c r="E381" s="269" t="s">
        <v>391</v>
      </c>
      <c r="F381" s="269" t="s">
        <v>74</v>
      </c>
      <c r="G381" s="269" t="s">
        <v>515</v>
      </c>
      <c r="H381" s="269" t="s">
        <v>19</v>
      </c>
      <c r="I381" s="269" t="s">
        <v>583</v>
      </c>
      <c r="J381" s="269">
        <v>1000</v>
      </c>
      <c r="K381" s="269" t="s">
        <v>584</v>
      </c>
      <c r="L381" s="269" t="s">
        <v>639</v>
      </c>
      <c r="M381" s="274">
        <v>2405</v>
      </c>
      <c r="N381" s="468">
        <f t="shared" si="5"/>
        <v>241</v>
      </c>
      <c r="O381" s="274">
        <v>49</v>
      </c>
      <c r="P381" s="553" t="s">
        <v>1743</v>
      </c>
      <c r="Q381" s="624" t="s">
        <v>1901</v>
      </c>
    </row>
    <row r="382" spans="1:17" ht="25.5" hidden="1" x14ac:dyDescent="0.2">
      <c r="A382" s="269" t="s">
        <v>277</v>
      </c>
      <c r="B382" s="269" t="s">
        <v>277</v>
      </c>
      <c r="C382" s="269">
        <v>2019</v>
      </c>
      <c r="D382" s="269" t="s">
        <v>342</v>
      </c>
      <c r="E382" s="269" t="s">
        <v>391</v>
      </c>
      <c r="F382" s="269" t="s">
        <v>74</v>
      </c>
      <c r="G382" s="269" t="s">
        <v>515</v>
      </c>
      <c r="H382" s="269" t="s">
        <v>20</v>
      </c>
      <c r="I382" s="269" t="s">
        <v>583</v>
      </c>
      <c r="J382" s="269">
        <v>1000</v>
      </c>
      <c r="K382" s="269" t="s">
        <v>584</v>
      </c>
      <c r="L382" s="269" t="s">
        <v>639</v>
      </c>
      <c r="M382" s="274">
        <v>2405</v>
      </c>
      <c r="N382" s="468">
        <f t="shared" si="5"/>
        <v>241</v>
      </c>
      <c r="O382" s="274">
        <v>49</v>
      </c>
      <c r="P382" s="553" t="s">
        <v>1743</v>
      </c>
      <c r="Q382" s="624" t="s">
        <v>1901</v>
      </c>
    </row>
    <row r="383" spans="1:17" ht="25.5" hidden="1" x14ac:dyDescent="0.2">
      <c r="A383" s="269" t="s">
        <v>277</v>
      </c>
      <c r="B383" s="269" t="s">
        <v>277</v>
      </c>
      <c r="C383" s="269">
        <v>2019</v>
      </c>
      <c r="D383" s="269" t="s">
        <v>342</v>
      </c>
      <c r="E383" s="269" t="s">
        <v>391</v>
      </c>
      <c r="F383" s="269" t="s">
        <v>74</v>
      </c>
      <c r="G383" s="269" t="s">
        <v>515</v>
      </c>
      <c r="H383" s="269" t="s">
        <v>587</v>
      </c>
      <c r="I383" s="269" t="s">
        <v>583</v>
      </c>
      <c r="J383" s="269">
        <v>1000</v>
      </c>
      <c r="K383" s="269" t="s">
        <v>584</v>
      </c>
      <c r="L383" s="269" t="s">
        <v>639</v>
      </c>
      <c r="M383" s="274">
        <v>2405</v>
      </c>
      <c r="N383" s="468">
        <f t="shared" si="5"/>
        <v>241</v>
      </c>
      <c r="O383" s="274">
        <v>49</v>
      </c>
      <c r="P383" s="553" t="s">
        <v>1743</v>
      </c>
      <c r="Q383" s="624" t="s">
        <v>1901</v>
      </c>
    </row>
    <row r="384" spans="1:17" ht="25.5" hidden="1" x14ac:dyDescent="0.2">
      <c r="A384" s="269" t="s">
        <v>277</v>
      </c>
      <c r="B384" s="269" t="s">
        <v>277</v>
      </c>
      <c r="C384" s="269">
        <v>2019</v>
      </c>
      <c r="D384" s="269" t="s">
        <v>342</v>
      </c>
      <c r="E384" s="269" t="s">
        <v>391</v>
      </c>
      <c r="F384" s="269" t="s">
        <v>74</v>
      </c>
      <c r="G384" s="269" t="s">
        <v>515</v>
      </c>
      <c r="H384" s="269" t="s">
        <v>588</v>
      </c>
      <c r="I384" s="269" t="s">
        <v>583</v>
      </c>
      <c r="J384" s="269">
        <v>1000</v>
      </c>
      <c r="K384" s="269" t="s">
        <v>584</v>
      </c>
      <c r="L384" s="269" t="s">
        <v>639</v>
      </c>
      <c r="M384" s="274">
        <v>2389</v>
      </c>
      <c r="N384" s="468">
        <f t="shared" si="5"/>
        <v>239</v>
      </c>
      <c r="O384" s="274">
        <v>49</v>
      </c>
      <c r="P384" s="553" t="s">
        <v>1743</v>
      </c>
      <c r="Q384" s="624" t="s">
        <v>1901</v>
      </c>
    </row>
    <row r="385" spans="1:17" ht="25.5" hidden="1" x14ac:dyDescent="0.2">
      <c r="A385" s="269" t="s">
        <v>277</v>
      </c>
      <c r="B385" s="269" t="s">
        <v>277</v>
      </c>
      <c r="C385" s="269">
        <v>2019</v>
      </c>
      <c r="D385" s="269" t="s">
        <v>342</v>
      </c>
      <c r="E385" s="269" t="s">
        <v>391</v>
      </c>
      <c r="F385" s="269" t="s">
        <v>74</v>
      </c>
      <c r="G385" s="269" t="s">
        <v>515</v>
      </c>
      <c r="H385" s="269" t="s">
        <v>42</v>
      </c>
      <c r="I385" s="269" t="s">
        <v>589</v>
      </c>
      <c r="J385" s="269">
        <v>5000</v>
      </c>
      <c r="K385" s="269" t="s">
        <v>584</v>
      </c>
      <c r="L385" s="269" t="s">
        <v>620</v>
      </c>
      <c r="M385" s="274">
        <v>9609</v>
      </c>
      <c r="N385" s="468">
        <f t="shared" si="5"/>
        <v>192</v>
      </c>
      <c r="O385" s="274">
        <v>132</v>
      </c>
      <c r="P385" s="553" t="s">
        <v>647</v>
      </c>
      <c r="Q385" s="624" t="s">
        <v>1901</v>
      </c>
    </row>
    <row r="386" spans="1:17" x14ac:dyDescent="0.2">
      <c r="A386" s="269" t="s">
        <v>277</v>
      </c>
      <c r="B386" s="269" t="s">
        <v>277</v>
      </c>
      <c r="C386" s="269">
        <v>2019</v>
      </c>
      <c r="D386" s="269" t="s">
        <v>342</v>
      </c>
      <c r="E386" s="269" t="s">
        <v>391</v>
      </c>
      <c r="F386" s="269" t="s">
        <v>74</v>
      </c>
      <c r="G386" s="269" t="s">
        <v>515</v>
      </c>
      <c r="H386" s="269" t="s">
        <v>19</v>
      </c>
      <c r="I386" s="269" t="s">
        <v>589</v>
      </c>
      <c r="J386" s="269">
        <v>750</v>
      </c>
      <c r="K386" s="269" t="s">
        <v>584</v>
      </c>
      <c r="L386" s="269" t="s">
        <v>620</v>
      </c>
      <c r="M386" s="274">
        <v>859</v>
      </c>
      <c r="N386" s="468">
        <f t="shared" si="5"/>
        <v>115</v>
      </c>
      <c r="O386" s="274">
        <v>130</v>
      </c>
      <c r="P386" s="553" t="s">
        <v>647</v>
      </c>
      <c r="Q386" s="469"/>
    </row>
    <row r="387" spans="1:17" x14ac:dyDescent="0.2">
      <c r="A387" s="269" t="s">
        <v>277</v>
      </c>
      <c r="B387" s="269" t="s">
        <v>277</v>
      </c>
      <c r="C387" s="269">
        <v>2019</v>
      </c>
      <c r="D387" s="269" t="s">
        <v>342</v>
      </c>
      <c r="E387" s="269" t="s">
        <v>391</v>
      </c>
      <c r="F387" s="269" t="s">
        <v>74</v>
      </c>
      <c r="G387" s="269" t="s">
        <v>515</v>
      </c>
      <c r="H387" s="269" t="s">
        <v>20</v>
      </c>
      <c r="I387" s="269" t="s">
        <v>589</v>
      </c>
      <c r="J387" s="269">
        <v>750</v>
      </c>
      <c r="K387" s="269" t="s">
        <v>584</v>
      </c>
      <c r="L387" s="269" t="s">
        <v>620</v>
      </c>
      <c r="M387" s="274">
        <v>859</v>
      </c>
      <c r="N387" s="468">
        <f t="shared" si="5"/>
        <v>115</v>
      </c>
      <c r="O387" s="274">
        <v>130</v>
      </c>
      <c r="P387" s="553" t="s">
        <v>647</v>
      </c>
      <c r="Q387" s="469"/>
    </row>
    <row r="388" spans="1:17" x14ac:dyDescent="0.2">
      <c r="A388" s="269" t="s">
        <v>277</v>
      </c>
      <c r="B388" s="269" t="s">
        <v>277</v>
      </c>
      <c r="C388" s="269">
        <v>2019</v>
      </c>
      <c r="D388" s="269" t="s">
        <v>342</v>
      </c>
      <c r="E388" s="269" t="s">
        <v>391</v>
      </c>
      <c r="F388" s="269" t="s">
        <v>74</v>
      </c>
      <c r="G388" s="269" t="s">
        <v>515</v>
      </c>
      <c r="H388" s="269" t="s">
        <v>587</v>
      </c>
      <c r="I388" s="269" t="s">
        <v>589</v>
      </c>
      <c r="J388" s="269">
        <v>750</v>
      </c>
      <c r="K388" s="269" t="s">
        <v>584</v>
      </c>
      <c r="L388" s="269" t="s">
        <v>620</v>
      </c>
      <c r="M388" s="274">
        <v>859</v>
      </c>
      <c r="N388" s="468">
        <f t="shared" si="5"/>
        <v>115</v>
      </c>
      <c r="O388" s="274">
        <v>130</v>
      </c>
      <c r="P388" s="553" t="s">
        <v>647</v>
      </c>
      <c r="Q388" s="469"/>
    </row>
    <row r="389" spans="1:17" x14ac:dyDescent="0.2">
      <c r="A389" s="269" t="s">
        <v>277</v>
      </c>
      <c r="B389" s="269" t="s">
        <v>277</v>
      </c>
      <c r="C389" s="269">
        <v>2019</v>
      </c>
      <c r="D389" s="269" t="s">
        <v>342</v>
      </c>
      <c r="E389" s="269" t="s">
        <v>391</v>
      </c>
      <c r="F389" s="269" t="s">
        <v>74</v>
      </c>
      <c r="G389" s="269" t="s">
        <v>515</v>
      </c>
      <c r="H389" s="269" t="s">
        <v>588</v>
      </c>
      <c r="I389" s="269" t="s">
        <v>589</v>
      </c>
      <c r="J389" s="269">
        <v>750</v>
      </c>
      <c r="K389" s="269" t="s">
        <v>584</v>
      </c>
      <c r="L389" s="269" t="s">
        <v>620</v>
      </c>
      <c r="M389" s="274">
        <v>859</v>
      </c>
      <c r="N389" s="468">
        <f t="shared" si="5"/>
        <v>115</v>
      </c>
      <c r="O389" s="274">
        <v>130</v>
      </c>
      <c r="P389" s="553" t="s">
        <v>647</v>
      </c>
      <c r="Q389" s="469"/>
    </row>
    <row r="390" spans="1:17" ht="25.5" hidden="1" x14ac:dyDescent="0.2">
      <c r="A390" s="269" t="s">
        <v>277</v>
      </c>
      <c r="B390" s="269" t="s">
        <v>277</v>
      </c>
      <c r="C390" s="269">
        <v>2019</v>
      </c>
      <c r="D390" s="269" t="s">
        <v>518</v>
      </c>
      <c r="E390" s="269" t="s">
        <v>391</v>
      </c>
      <c r="F390" s="269" t="s">
        <v>74</v>
      </c>
      <c r="G390" s="269" t="s">
        <v>519</v>
      </c>
      <c r="H390" s="269" t="s">
        <v>42</v>
      </c>
      <c r="I390" s="269" t="s">
        <v>583</v>
      </c>
      <c r="J390" s="269">
        <v>150</v>
      </c>
      <c r="K390" s="269" t="s">
        <v>584</v>
      </c>
      <c r="L390" s="269" t="s">
        <v>643</v>
      </c>
      <c r="M390" s="274">
        <v>378</v>
      </c>
      <c r="N390" s="468">
        <f t="shared" si="5"/>
        <v>252</v>
      </c>
      <c r="O390" s="274">
        <v>27</v>
      </c>
      <c r="P390" s="553" t="s">
        <v>1722</v>
      </c>
      <c r="Q390" s="624" t="s">
        <v>1901</v>
      </c>
    </row>
    <row r="391" spans="1:17" hidden="1" x14ac:dyDescent="0.2">
      <c r="A391" s="269" t="s">
        <v>277</v>
      </c>
      <c r="B391" s="269" t="s">
        <v>277</v>
      </c>
      <c r="C391" s="269">
        <v>2019</v>
      </c>
      <c r="D391" s="269" t="s">
        <v>518</v>
      </c>
      <c r="E391" s="269" t="s">
        <v>391</v>
      </c>
      <c r="F391" s="269" t="s">
        <v>74</v>
      </c>
      <c r="G391" s="269" t="s">
        <v>519</v>
      </c>
      <c r="H391" s="269" t="s">
        <v>19</v>
      </c>
      <c r="I391" s="269" t="s">
        <v>583</v>
      </c>
      <c r="J391" s="269">
        <v>0</v>
      </c>
      <c r="K391" s="269" t="s">
        <v>584</v>
      </c>
      <c r="L391" s="269" t="s">
        <v>592</v>
      </c>
      <c r="M391" s="274">
        <v>0</v>
      </c>
      <c r="N391" s="468" t="s">
        <v>332</v>
      </c>
      <c r="O391" s="274">
        <v>0</v>
      </c>
      <c r="P391" s="553" t="s">
        <v>1726</v>
      </c>
      <c r="Q391" s="469"/>
    </row>
    <row r="392" spans="1:17" hidden="1" x14ac:dyDescent="0.2">
      <c r="A392" s="269" t="s">
        <v>277</v>
      </c>
      <c r="B392" s="269" t="s">
        <v>277</v>
      </c>
      <c r="C392" s="269">
        <v>2019</v>
      </c>
      <c r="D392" s="269" t="s">
        <v>518</v>
      </c>
      <c r="E392" s="269" t="s">
        <v>391</v>
      </c>
      <c r="F392" s="269" t="s">
        <v>74</v>
      </c>
      <c r="G392" s="269" t="s">
        <v>519</v>
      </c>
      <c r="H392" s="269" t="s">
        <v>20</v>
      </c>
      <c r="I392" s="269" t="s">
        <v>583</v>
      </c>
      <c r="J392" s="269">
        <v>0</v>
      </c>
      <c r="K392" s="269" t="s">
        <v>584</v>
      </c>
      <c r="L392" s="269" t="s">
        <v>616</v>
      </c>
      <c r="M392" s="274">
        <v>0</v>
      </c>
      <c r="N392" s="468" t="s">
        <v>332</v>
      </c>
      <c r="O392" s="274">
        <v>0</v>
      </c>
      <c r="P392" s="553" t="s">
        <v>1726</v>
      </c>
      <c r="Q392" s="469"/>
    </row>
    <row r="393" spans="1:17" hidden="1" x14ac:dyDescent="0.2">
      <c r="A393" s="269" t="s">
        <v>277</v>
      </c>
      <c r="B393" s="269" t="s">
        <v>277</v>
      </c>
      <c r="C393" s="269">
        <v>2019</v>
      </c>
      <c r="D393" s="269" t="s">
        <v>518</v>
      </c>
      <c r="E393" s="269" t="s">
        <v>391</v>
      </c>
      <c r="F393" s="269" t="s">
        <v>74</v>
      </c>
      <c r="G393" s="269" t="s">
        <v>519</v>
      </c>
      <c r="H393" s="269" t="s">
        <v>587</v>
      </c>
      <c r="I393" s="269" t="s">
        <v>583</v>
      </c>
      <c r="J393" s="269">
        <v>0</v>
      </c>
      <c r="K393" s="269" t="s">
        <v>584</v>
      </c>
      <c r="L393" s="269" t="s">
        <v>616</v>
      </c>
      <c r="M393" s="274">
        <v>0</v>
      </c>
      <c r="N393" s="468" t="s">
        <v>332</v>
      </c>
      <c r="O393" s="274">
        <v>0</v>
      </c>
      <c r="P393" s="553" t="s">
        <v>1726</v>
      </c>
      <c r="Q393" s="469"/>
    </row>
    <row r="394" spans="1:17" hidden="1" x14ac:dyDescent="0.2">
      <c r="A394" s="269" t="s">
        <v>277</v>
      </c>
      <c r="B394" s="269" t="s">
        <v>277</v>
      </c>
      <c r="C394" s="269">
        <v>2019</v>
      </c>
      <c r="D394" s="269" t="s">
        <v>518</v>
      </c>
      <c r="E394" s="269" t="s">
        <v>391</v>
      </c>
      <c r="F394" s="269" t="s">
        <v>74</v>
      </c>
      <c r="G394" s="269" t="s">
        <v>519</v>
      </c>
      <c r="H394" s="269" t="s">
        <v>588</v>
      </c>
      <c r="I394" s="269" t="s">
        <v>583</v>
      </c>
      <c r="J394" s="269">
        <v>0</v>
      </c>
      <c r="K394" s="269" t="s">
        <v>584</v>
      </c>
      <c r="L394" s="269" t="s">
        <v>616</v>
      </c>
      <c r="M394" s="274">
        <v>0</v>
      </c>
      <c r="N394" s="468" t="s">
        <v>332</v>
      </c>
      <c r="O394" s="274">
        <v>0</v>
      </c>
      <c r="P394" s="553" t="s">
        <v>1726</v>
      </c>
      <c r="Q394" s="469"/>
    </row>
    <row r="395" spans="1:17" hidden="1" x14ac:dyDescent="0.2">
      <c r="A395" s="269" t="s">
        <v>277</v>
      </c>
      <c r="B395" s="269" t="s">
        <v>277</v>
      </c>
      <c r="C395" s="269">
        <v>2019</v>
      </c>
      <c r="D395" s="269" t="s">
        <v>518</v>
      </c>
      <c r="E395" s="269" t="s">
        <v>391</v>
      </c>
      <c r="F395" s="269" t="s">
        <v>74</v>
      </c>
      <c r="G395" s="269" t="s">
        <v>519</v>
      </c>
      <c r="H395" s="269" t="s">
        <v>42</v>
      </c>
      <c r="I395" s="269" t="s">
        <v>589</v>
      </c>
      <c r="J395" s="269">
        <v>10</v>
      </c>
      <c r="K395" s="269" t="s">
        <v>584</v>
      </c>
      <c r="L395" s="269"/>
      <c r="M395" s="274">
        <v>8</v>
      </c>
      <c r="N395" s="468">
        <f t="shared" ref="N395:N452" si="6">ROUND(100*M395/J395,0)</f>
        <v>80</v>
      </c>
      <c r="O395" s="274">
        <v>6</v>
      </c>
      <c r="P395" s="553" t="s">
        <v>647</v>
      </c>
      <c r="Q395" s="469" t="s">
        <v>1718</v>
      </c>
    </row>
    <row r="396" spans="1:17" x14ac:dyDescent="0.2">
      <c r="A396" s="269" t="s">
        <v>277</v>
      </c>
      <c r="B396" s="269" t="s">
        <v>277</v>
      </c>
      <c r="C396" s="269">
        <v>2019</v>
      </c>
      <c r="D396" s="269" t="s">
        <v>518</v>
      </c>
      <c r="E396" s="269" t="s">
        <v>391</v>
      </c>
      <c r="F396" s="269" t="s">
        <v>74</v>
      </c>
      <c r="G396" s="269" t="s">
        <v>519</v>
      </c>
      <c r="H396" s="269" t="s">
        <v>19</v>
      </c>
      <c r="I396" s="269" t="s">
        <v>589</v>
      </c>
      <c r="J396" s="269">
        <v>0</v>
      </c>
      <c r="K396" s="269" t="s">
        <v>584</v>
      </c>
      <c r="L396" s="269" t="s">
        <v>592</v>
      </c>
      <c r="M396" s="274">
        <v>8</v>
      </c>
      <c r="N396" s="468" t="s">
        <v>332</v>
      </c>
      <c r="O396" s="274">
        <v>6</v>
      </c>
      <c r="P396" s="553" t="s">
        <v>1726</v>
      </c>
      <c r="Q396" s="469"/>
    </row>
    <row r="397" spans="1:17" x14ac:dyDescent="0.2">
      <c r="A397" s="269" t="s">
        <v>277</v>
      </c>
      <c r="B397" s="269" t="s">
        <v>277</v>
      </c>
      <c r="C397" s="269">
        <v>2019</v>
      </c>
      <c r="D397" s="269" t="s">
        <v>518</v>
      </c>
      <c r="E397" s="269" t="s">
        <v>391</v>
      </c>
      <c r="F397" s="269" t="s">
        <v>74</v>
      </c>
      <c r="G397" s="269" t="s">
        <v>519</v>
      </c>
      <c r="H397" s="269" t="s">
        <v>20</v>
      </c>
      <c r="I397" s="269" t="s">
        <v>589</v>
      </c>
      <c r="J397" s="269">
        <v>10</v>
      </c>
      <c r="K397" s="269" t="s">
        <v>584</v>
      </c>
      <c r="L397" s="269" t="s">
        <v>592</v>
      </c>
      <c r="M397" s="274">
        <v>8</v>
      </c>
      <c r="N397" s="468">
        <f t="shared" si="6"/>
        <v>80</v>
      </c>
      <c r="O397" s="274">
        <v>6</v>
      </c>
      <c r="P397" s="553" t="s">
        <v>647</v>
      </c>
      <c r="Q397" s="469" t="s">
        <v>1718</v>
      </c>
    </row>
    <row r="398" spans="1:17" x14ac:dyDescent="0.2">
      <c r="A398" s="269" t="s">
        <v>277</v>
      </c>
      <c r="B398" s="269" t="s">
        <v>277</v>
      </c>
      <c r="C398" s="269">
        <v>2019</v>
      </c>
      <c r="D398" s="269" t="s">
        <v>518</v>
      </c>
      <c r="E398" s="269" t="s">
        <v>391</v>
      </c>
      <c r="F398" s="269" t="s">
        <v>74</v>
      </c>
      <c r="G398" s="269" t="s">
        <v>519</v>
      </c>
      <c r="H398" s="269" t="s">
        <v>587</v>
      </c>
      <c r="I398" s="269" t="s">
        <v>589</v>
      </c>
      <c r="J398" s="269">
        <v>10</v>
      </c>
      <c r="K398" s="269" t="s">
        <v>584</v>
      </c>
      <c r="L398" s="269"/>
      <c r="M398" s="274">
        <v>8</v>
      </c>
      <c r="N398" s="468">
        <f t="shared" si="6"/>
        <v>80</v>
      </c>
      <c r="O398" s="274">
        <v>6</v>
      </c>
      <c r="P398" s="553" t="s">
        <v>647</v>
      </c>
      <c r="Q398" s="469" t="s">
        <v>1718</v>
      </c>
    </row>
    <row r="399" spans="1:17" x14ac:dyDescent="0.2">
      <c r="A399" s="269" t="s">
        <v>277</v>
      </c>
      <c r="B399" s="269" t="s">
        <v>277</v>
      </c>
      <c r="C399" s="269">
        <v>2019</v>
      </c>
      <c r="D399" s="269" t="s">
        <v>518</v>
      </c>
      <c r="E399" s="269" t="s">
        <v>391</v>
      </c>
      <c r="F399" s="269" t="s">
        <v>74</v>
      </c>
      <c r="G399" s="269" t="s">
        <v>519</v>
      </c>
      <c r="H399" s="269" t="s">
        <v>588</v>
      </c>
      <c r="I399" s="269" t="s">
        <v>589</v>
      </c>
      <c r="J399" s="269">
        <v>10</v>
      </c>
      <c r="K399" s="269" t="s">
        <v>584</v>
      </c>
      <c r="L399" s="269"/>
      <c r="M399" s="274">
        <v>8</v>
      </c>
      <c r="N399" s="468">
        <f t="shared" si="6"/>
        <v>80</v>
      </c>
      <c r="O399" s="274">
        <v>6</v>
      </c>
      <c r="P399" s="553" t="s">
        <v>647</v>
      </c>
      <c r="Q399" s="469" t="s">
        <v>1718</v>
      </c>
    </row>
    <row r="400" spans="1:17" ht="25.5" hidden="1" x14ac:dyDescent="0.2">
      <c r="A400" s="269" t="s">
        <v>277</v>
      </c>
      <c r="B400" s="269" t="s">
        <v>277</v>
      </c>
      <c r="C400" s="269">
        <v>2019</v>
      </c>
      <c r="D400" s="269" t="s">
        <v>521</v>
      </c>
      <c r="E400" s="269" t="s">
        <v>391</v>
      </c>
      <c r="F400" s="269" t="s">
        <v>74</v>
      </c>
      <c r="G400" s="269" t="s">
        <v>522</v>
      </c>
      <c r="H400" s="269" t="s">
        <v>42</v>
      </c>
      <c r="I400" s="269" t="s">
        <v>583</v>
      </c>
      <c r="J400" s="269">
        <v>50</v>
      </c>
      <c r="K400" s="269" t="s">
        <v>584</v>
      </c>
      <c r="L400" s="269"/>
      <c r="M400" s="274">
        <v>459</v>
      </c>
      <c r="N400" s="468">
        <f t="shared" si="6"/>
        <v>918</v>
      </c>
      <c r="O400" s="274">
        <v>126</v>
      </c>
      <c r="P400" s="553" t="s">
        <v>1722</v>
      </c>
      <c r="Q400" s="624" t="s">
        <v>1901</v>
      </c>
    </row>
    <row r="401" spans="1:17" hidden="1" x14ac:dyDescent="0.2">
      <c r="A401" s="269" t="s">
        <v>277</v>
      </c>
      <c r="B401" s="269" t="s">
        <v>277</v>
      </c>
      <c r="C401" s="269">
        <v>2019</v>
      </c>
      <c r="D401" s="269" t="s">
        <v>521</v>
      </c>
      <c r="E401" s="269" t="s">
        <v>391</v>
      </c>
      <c r="F401" s="269" t="s">
        <v>74</v>
      </c>
      <c r="G401" s="269" t="s">
        <v>522</v>
      </c>
      <c r="H401" s="269" t="s">
        <v>19</v>
      </c>
      <c r="I401" s="269" t="s">
        <v>583</v>
      </c>
      <c r="J401" s="269">
        <v>0</v>
      </c>
      <c r="K401" s="269" t="s">
        <v>584</v>
      </c>
      <c r="L401" s="269" t="s">
        <v>592</v>
      </c>
      <c r="M401" s="274">
        <v>0</v>
      </c>
      <c r="N401" s="468" t="s">
        <v>332</v>
      </c>
      <c r="O401" s="274">
        <v>0</v>
      </c>
      <c r="P401" s="553" t="s">
        <v>1726</v>
      </c>
      <c r="Q401" s="469"/>
    </row>
    <row r="402" spans="1:17" hidden="1" x14ac:dyDescent="0.2">
      <c r="A402" s="269" t="s">
        <v>277</v>
      </c>
      <c r="B402" s="269" t="s">
        <v>277</v>
      </c>
      <c r="C402" s="269">
        <v>2019</v>
      </c>
      <c r="D402" s="269" t="s">
        <v>521</v>
      </c>
      <c r="E402" s="269" t="s">
        <v>391</v>
      </c>
      <c r="F402" s="269" t="s">
        <v>74</v>
      </c>
      <c r="G402" s="269" t="s">
        <v>522</v>
      </c>
      <c r="H402" s="269" t="s">
        <v>20</v>
      </c>
      <c r="I402" s="269" t="s">
        <v>583</v>
      </c>
      <c r="J402" s="269">
        <v>0</v>
      </c>
      <c r="K402" s="269" t="s">
        <v>584</v>
      </c>
      <c r="L402" s="269" t="s">
        <v>616</v>
      </c>
      <c r="M402" s="274">
        <v>0</v>
      </c>
      <c r="N402" s="468" t="s">
        <v>332</v>
      </c>
      <c r="O402" s="274">
        <v>0</v>
      </c>
      <c r="P402" s="553" t="s">
        <v>1726</v>
      </c>
      <c r="Q402" s="469"/>
    </row>
    <row r="403" spans="1:17" hidden="1" x14ac:dyDescent="0.2">
      <c r="A403" s="269" t="s">
        <v>277</v>
      </c>
      <c r="B403" s="269" t="s">
        <v>277</v>
      </c>
      <c r="C403" s="269">
        <v>2019</v>
      </c>
      <c r="D403" s="269" t="s">
        <v>521</v>
      </c>
      <c r="E403" s="269" t="s">
        <v>391</v>
      </c>
      <c r="F403" s="269" t="s">
        <v>74</v>
      </c>
      <c r="G403" s="269" t="s">
        <v>522</v>
      </c>
      <c r="H403" s="269" t="s">
        <v>587</v>
      </c>
      <c r="I403" s="269" t="s">
        <v>583</v>
      </c>
      <c r="J403" s="269">
        <v>0</v>
      </c>
      <c r="K403" s="269" t="s">
        <v>584</v>
      </c>
      <c r="L403" s="269" t="s">
        <v>616</v>
      </c>
      <c r="M403" s="274">
        <v>0</v>
      </c>
      <c r="N403" s="468" t="s">
        <v>332</v>
      </c>
      <c r="O403" s="274">
        <v>0</v>
      </c>
      <c r="P403" s="553" t="s">
        <v>1726</v>
      </c>
      <c r="Q403" s="469"/>
    </row>
    <row r="404" spans="1:17" hidden="1" x14ac:dyDescent="0.2">
      <c r="A404" s="269" t="s">
        <v>277</v>
      </c>
      <c r="B404" s="269" t="s">
        <v>277</v>
      </c>
      <c r="C404" s="269">
        <v>2019</v>
      </c>
      <c r="D404" s="269" t="s">
        <v>521</v>
      </c>
      <c r="E404" s="269" t="s">
        <v>391</v>
      </c>
      <c r="F404" s="269" t="s">
        <v>74</v>
      </c>
      <c r="G404" s="269" t="s">
        <v>522</v>
      </c>
      <c r="H404" s="269" t="s">
        <v>588</v>
      </c>
      <c r="I404" s="269" t="s">
        <v>583</v>
      </c>
      <c r="J404" s="269">
        <v>0</v>
      </c>
      <c r="K404" s="269" t="s">
        <v>584</v>
      </c>
      <c r="L404" s="269" t="s">
        <v>616</v>
      </c>
      <c r="M404" s="274">
        <v>0</v>
      </c>
      <c r="N404" s="468" t="s">
        <v>332</v>
      </c>
      <c r="O404" s="274">
        <v>0</v>
      </c>
      <c r="P404" s="553" t="s">
        <v>1726</v>
      </c>
      <c r="Q404" s="469"/>
    </row>
    <row r="405" spans="1:17" ht="25.5" hidden="1" x14ac:dyDescent="0.2">
      <c r="A405" s="269" t="s">
        <v>277</v>
      </c>
      <c r="B405" s="269" t="s">
        <v>277</v>
      </c>
      <c r="C405" s="269">
        <v>2019</v>
      </c>
      <c r="D405" s="269" t="s">
        <v>521</v>
      </c>
      <c r="E405" s="269" t="s">
        <v>391</v>
      </c>
      <c r="F405" s="269" t="s">
        <v>74</v>
      </c>
      <c r="G405" s="269" t="s">
        <v>522</v>
      </c>
      <c r="H405" s="269" t="s">
        <v>42</v>
      </c>
      <c r="I405" s="269" t="s">
        <v>589</v>
      </c>
      <c r="J405" s="269">
        <v>500</v>
      </c>
      <c r="K405" s="269" t="s">
        <v>584</v>
      </c>
      <c r="L405" s="269" t="s">
        <v>644</v>
      </c>
      <c r="M405" s="274">
        <v>821</v>
      </c>
      <c r="N405" s="468">
        <f t="shared" si="6"/>
        <v>164</v>
      </c>
      <c r="O405" s="274">
        <v>110</v>
      </c>
      <c r="P405" s="553" t="s">
        <v>647</v>
      </c>
      <c r="Q405" s="624" t="s">
        <v>1901</v>
      </c>
    </row>
    <row r="406" spans="1:17" x14ac:dyDescent="0.2">
      <c r="A406" s="269" t="s">
        <v>277</v>
      </c>
      <c r="B406" s="269" t="s">
        <v>277</v>
      </c>
      <c r="C406" s="269">
        <v>2019</v>
      </c>
      <c r="D406" s="269" t="s">
        <v>521</v>
      </c>
      <c r="E406" s="269" t="s">
        <v>391</v>
      </c>
      <c r="F406" s="269" t="s">
        <v>74</v>
      </c>
      <c r="G406" s="269" t="s">
        <v>522</v>
      </c>
      <c r="H406" s="269" t="s">
        <v>19</v>
      </c>
      <c r="I406" s="269" t="s">
        <v>589</v>
      </c>
      <c r="J406" s="269">
        <v>0</v>
      </c>
      <c r="K406" s="269" t="s">
        <v>584</v>
      </c>
      <c r="L406" s="269" t="s">
        <v>592</v>
      </c>
      <c r="M406" s="274">
        <v>676</v>
      </c>
      <c r="N406" s="468" t="s">
        <v>332</v>
      </c>
      <c r="O406" s="274">
        <v>111</v>
      </c>
      <c r="P406" s="553" t="s">
        <v>1726</v>
      </c>
      <c r="Q406" s="469"/>
    </row>
    <row r="407" spans="1:17" x14ac:dyDescent="0.2">
      <c r="A407" s="269" t="s">
        <v>277</v>
      </c>
      <c r="B407" s="269" t="s">
        <v>277</v>
      </c>
      <c r="C407" s="269">
        <v>2019</v>
      </c>
      <c r="D407" s="269" t="s">
        <v>521</v>
      </c>
      <c r="E407" s="269" t="s">
        <v>391</v>
      </c>
      <c r="F407" s="269" t="s">
        <v>74</v>
      </c>
      <c r="G407" s="269" t="s">
        <v>522</v>
      </c>
      <c r="H407" s="269" t="s">
        <v>20</v>
      </c>
      <c r="I407" s="269" t="s">
        <v>589</v>
      </c>
      <c r="J407" s="269">
        <v>500</v>
      </c>
      <c r="K407" s="269" t="s">
        <v>584</v>
      </c>
      <c r="L407" s="269" t="s">
        <v>644</v>
      </c>
      <c r="M407" s="274">
        <v>676</v>
      </c>
      <c r="N407" s="468">
        <f t="shared" si="6"/>
        <v>135</v>
      </c>
      <c r="O407" s="274">
        <v>111</v>
      </c>
      <c r="P407" s="553" t="s">
        <v>647</v>
      </c>
      <c r="Q407" s="469"/>
    </row>
    <row r="408" spans="1:17" x14ac:dyDescent="0.2">
      <c r="A408" s="269" t="s">
        <v>277</v>
      </c>
      <c r="B408" s="269" t="s">
        <v>277</v>
      </c>
      <c r="C408" s="269">
        <v>2019</v>
      </c>
      <c r="D408" s="269" t="s">
        <v>521</v>
      </c>
      <c r="E408" s="269" t="s">
        <v>391</v>
      </c>
      <c r="F408" s="269" t="s">
        <v>74</v>
      </c>
      <c r="G408" s="269" t="s">
        <v>522</v>
      </c>
      <c r="H408" s="269" t="s">
        <v>587</v>
      </c>
      <c r="I408" s="269" t="s">
        <v>589</v>
      </c>
      <c r="J408" s="269">
        <v>500</v>
      </c>
      <c r="K408" s="269" t="s">
        <v>584</v>
      </c>
      <c r="L408" s="269" t="s">
        <v>644</v>
      </c>
      <c r="M408" s="274">
        <v>676</v>
      </c>
      <c r="N408" s="468">
        <f t="shared" si="6"/>
        <v>135</v>
      </c>
      <c r="O408" s="274">
        <v>111</v>
      </c>
      <c r="P408" s="553" t="s">
        <v>647</v>
      </c>
      <c r="Q408" s="469"/>
    </row>
    <row r="409" spans="1:17" x14ac:dyDescent="0.2">
      <c r="A409" s="269" t="s">
        <v>277</v>
      </c>
      <c r="B409" s="269" t="s">
        <v>277</v>
      </c>
      <c r="C409" s="269">
        <v>2019</v>
      </c>
      <c r="D409" s="269" t="s">
        <v>521</v>
      </c>
      <c r="E409" s="269" t="s">
        <v>391</v>
      </c>
      <c r="F409" s="269" t="s">
        <v>74</v>
      </c>
      <c r="G409" s="269" t="s">
        <v>522</v>
      </c>
      <c r="H409" s="269" t="s">
        <v>588</v>
      </c>
      <c r="I409" s="269" t="s">
        <v>589</v>
      </c>
      <c r="J409" s="269">
        <v>500</v>
      </c>
      <c r="K409" s="269" t="s">
        <v>584</v>
      </c>
      <c r="L409" s="269" t="s">
        <v>644</v>
      </c>
      <c r="M409" s="274">
        <v>675</v>
      </c>
      <c r="N409" s="468">
        <f t="shared" si="6"/>
        <v>135</v>
      </c>
      <c r="O409" s="274">
        <v>111</v>
      </c>
      <c r="P409" s="553" t="s">
        <v>647</v>
      </c>
      <c r="Q409" s="469"/>
    </row>
    <row r="410" spans="1:17" hidden="1" x14ac:dyDescent="0.2">
      <c r="A410" s="269" t="s">
        <v>277</v>
      </c>
      <c r="B410" s="269" t="s">
        <v>277</v>
      </c>
      <c r="C410" s="269">
        <v>2019</v>
      </c>
      <c r="D410" s="269" t="s">
        <v>527</v>
      </c>
      <c r="E410" s="269" t="s">
        <v>391</v>
      </c>
      <c r="F410" s="269" t="s">
        <v>74</v>
      </c>
      <c r="G410" s="269" t="s">
        <v>528</v>
      </c>
      <c r="H410" s="269" t="s">
        <v>42</v>
      </c>
      <c r="I410" s="269" t="s">
        <v>583</v>
      </c>
      <c r="J410" s="269">
        <v>0</v>
      </c>
      <c r="K410" s="269" t="s">
        <v>584</v>
      </c>
      <c r="L410" s="269" t="s">
        <v>616</v>
      </c>
      <c r="M410" s="274">
        <v>661</v>
      </c>
      <c r="N410" s="468" t="s">
        <v>332</v>
      </c>
      <c r="O410" s="274">
        <v>72</v>
      </c>
      <c r="P410" s="553" t="s">
        <v>1726</v>
      </c>
      <c r="Q410" s="469"/>
    </row>
    <row r="411" spans="1:17" hidden="1" x14ac:dyDescent="0.2">
      <c r="A411" s="269" t="s">
        <v>277</v>
      </c>
      <c r="B411" s="269" t="s">
        <v>277</v>
      </c>
      <c r="C411" s="269">
        <v>2019</v>
      </c>
      <c r="D411" s="269" t="s">
        <v>527</v>
      </c>
      <c r="E411" s="269" t="s">
        <v>391</v>
      </c>
      <c r="F411" s="269" t="s">
        <v>74</v>
      </c>
      <c r="G411" s="269" t="s">
        <v>528</v>
      </c>
      <c r="H411" s="269" t="s">
        <v>19</v>
      </c>
      <c r="I411" s="269" t="s">
        <v>583</v>
      </c>
      <c r="J411" s="269">
        <v>0</v>
      </c>
      <c r="K411" s="269" t="s">
        <v>584</v>
      </c>
      <c r="L411" s="269" t="s">
        <v>592</v>
      </c>
      <c r="M411" s="274">
        <v>0</v>
      </c>
      <c r="N411" s="468" t="s">
        <v>332</v>
      </c>
      <c r="O411" s="274">
        <v>0</v>
      </c>
      <c r="P411" s="553" t="s">
        <v>1726</v>
      </c>
      <c r="Q411" s="469"/>
    </row>
    <row r="412" spans="1:17" hidden="1" x14ac:dyDescent="0.2">
      <c r="A412" s="269" t="s">
        <v>277</v>
      </c>
      <c r="B412" s="269" t="s">
        <v>277</v>
      </c>
      <c r="C412" s="269">
        <v>2019</v>
      </c>
      <c r="D412" s="269" t="s">
        <v>527</v>
      </c>
      <c r="E412" s="269" t="s">
        <v>391</v>
      </c>
      <c r="F412" s="269" t="s">
        <v>74</v>
      </c>
      <c r="G412" s="269" t="s">
        <v>528</v>
      </c>
      <c r="H412" s="269" t="s">
        <v>20</v>
      </c>
      <c r="I412" s="269" t="s">
        <v>583</v>
      </c>
      <c r="J412" s="269">
        <v>0</v>
      </c>
      <c r="K412" s="269" t="s">
        <v>584</v>
      </c>
      <c r="L412" s="269" t="s">
        <v>616</v>
      </c>
      <c r="M412" s="274">
        <v>0</v>
      </c>
      <c r="N412" s="468" t="s">
        <v>332</v>
      </c>
      <c r="O412" s="274">
        <v>0</v>
      </c>
      <c r="P412" s="553" t="s">
        <v>1726</v>
      </c>
      <c r="Q412" s="469"/>
    </row>
    <row r="413" spans="1:17" hidden="1" x14ac:dyDescent="0.2">
      <c r="A413" s="269" t="s">
        <v>277</v>
      </c>
      <c r="B413" s="269" t="s">
        <v>277</v>
      </c>
      <c r="C413" s="269">
        <v>2019</v>
      </c>
      <c r="D413" s="269" t="s">
        <v>527</v>
      </c>
      <c r="E413" s="269" t="s">
        <v>391</v>
      </c>
      <c r="F413" s="269" t="s">
        <v>74</v>
      </c>
      <c r="G413" s="269" t="s">
        <v>528</v>
      </c>
      <c r="H413" s="269" t="s">
        <v>587</v>
      </c>
      <c r="I413" s="269" t="s">
        <v>583</v>
      </c>
      <c r="J413" s="269">
        <v>0</v>
      </c>
      <c r="K413" s="269" t="s">
        <v>584</v>
      </c>
      <c r="L413" s="269" t="s">
        <v>616</v>
      </c>
      <c r="M413" s="274">
        <v>0</v>
      </c>
      <c r="N413" s="468" t="s">
        <v>332</v>
      </c>
      <c r="O413" s="274">
        <v>0</v>
      </c>
      <c r="P413" s="553" t="s">
        <v>1726</v>
      </c>
      <c r="Q413" s="469"/>
    </row>
    <row r="414" spans="1:17" hidden="1" x14ac:dyDescent="0.2">
      <c r="A414" s="269" t="s">
        <v>277</v>
      </c>
      <c r="B414" s="269" t="s">
        <v>277</v>
      </c>
      <c r="C414" s="269">
        <v>2019</v>
      </c>
      <c r="D414" s="269" t="s">
        <v>527</v>
      </c>
      <c r="E414" s="269" t="s">
        <v>391</v>
      </c>
      <c r="F414" s="269" t="s">
        <v>74</v>
      </c>
      <c r="G414" s="269" t="s">
        <v>528</v>
      </c>
      <c r="H414" s="269" t="s">
        <v>588</v>
      </c>
      <c r="I414" s="269" t="s">
        <v>583</v>
      </c>
      <c r="J414" s="269">
        <v>0</v>
      </c>
      <c r="K414" s="269" t="s">
        <v>584</v>
      </c>
      <c r="L414" s="269" t="s">
        <v>616</v>
      </c>
      <c r="M414" s="274">
        <v>0</v>
      </c>
      <c r="N414" s="468" t="s">
        <v>332</v>
      </c>
      <c r="O414" s="274">
        <v>0</v>
      </c>
      <c r="P414" s="553" t="s">
        <v>1726</v>
      </c>
      <c r="Q414" s="469"/>
    </row>
    <row r="415" spans="1:17" hidden="1" x14ac:dyDescent="0.2">
      <c r="A415" s="269" t="s">
        <v>277</v>
      </c>
      <c r="B415" s="269" t="s">
        <v>277</v>
      </c>
      <c r="C415" s="269">
        <v>2019</v>
      </c>
      <c r="D415" s="269" t="s">
        <v>527</v>
      </c>
      <c r="E415" s="269" t="s">
        <v>391</v>
      </c>
      <c r="F415" s="269" t="s">
        <v>74</v>
      </c>
      <c r="G415" s="269" t="s">
        <v>528</v>
      </c>
      <c r="H415" s="269" t="s">
        <v>42</v>
      </c>
      <c r="I415" s="269" t="s">
        <v>589</v>
      </c>
      <c r="J415" s="269">
        <v>250</v>
      </c>
      <c r="K415" s="269" t="s">
        <v>584</v>
      </c>
      <c r="L415" s="269"/>
      <c r="M415" s="274">
        <v>329</v>
      </c>
      <c r="N415" s="468">
        <f t="shared" si="6"/>
        <v>132</v>
      </c>
      <c r="O415" s="274">
        <v>29</v>
      </c>
      <c r="P415" s="553" t="s">
        <v>647</v>
      </c>
      <c r="Q415" s="469"/>
    </row>
    <row r="416" spans="1:17" x14ac:dyDescent="0.2">
      <c r="A416" s="269" t="s">
        <v>277</v>
      </c>
      <c r="B416" s="269" t="s">
        <v>277</v>
      </c>
      <c r="C416" s="269">
        <v>2019</v>
      </c>
      <c r="D416" s="269" t="s">
        <v>527</v>
      </c>
      <c r="E416" s="269" t="s">
        <v>391</v>
      </c>
      <c r="F416" s="269" t="s">
        <v>74</v>
      </c>
      <c r="G416" s="269" t="s">
        <v>528</v>
      </c>
      <c r="H416" s="269" t="s">
        <v>19</v>
      </c>
      <c r="I416" s="269" t="s">
        <v>589</v>
      </c>
      <c r="J416" s="269">
        <v>0</v>
      </c>
      <c r="K416" s="269" t="s">
        <v>584</v>
      </c>
      <c r="L416" s="269" t="s">
        <v>592</v>
      </c>
      <c r="M416" s="274">
        <v>331</v>
      </c>
      <c r="N416" s="468" t="s">
        <v>332</v>
      </c>
      <c r="O416" s="274">
        <v>29</v>
      </c>
      <c r="P416" s="553" t="s">
        <v>1726</v>
      </c>
      <c r="Q416" s="469"/>
    </row>
    <row r="417" spans="1:17" x14ac:dyDescent="0.2">
      <c r="A417" s="269" t="s">
        <v>277</v>
      </c>
      <c r="B417" s="269" t="s">
        <v>277</v>
      </c>
      <c r="C417" s="269">
        <v>2019</v>
      </c>
      <c r="D417" s="269" t="s">
        <v>527</v>
      </c>
      <c r="E417" s="269" t="s">
        <v>391</v>
      </c>
      <c r="F417" s="269" t="s">
        <v>74</v>
      </c>
      <c r="G417" s="269" t="s">
        <v>528</v>
      </c>
      <c r="H417" s="269" t="s">
        <v>20</v>
      </c>
      <c r="I417" s="269" t="s">
        <v>589</v>
      </c>
      <c r="J417" s="269">
        <v>250</v>
      </c>
      <c r="K417" s="269" t="s">
        <v>584</v>
      </c>
      <c r="L417" s="269" t="s">
        <v>592</v>
      </c>
      <c r="M417" s="274">
        <v>331</v>
      </c>
      <c r="N417" s="468">
        <f t="shared" si="6"/>
        <v>132</v>
      </c>
      <c r="O417" s="274">
        <v>29</v>
      </c>
      <c r="P417" s="553" t="s">
        <v>647</v>
      </c>
      <c r="Q417" s="469"/>
    </row>
    <row r="418" spans="1:17" x14ac:dyDescent="0.2">
      <c r="A418" s="269" t="s">
        <v>277</v>
      </c>
      <c r="B418" s="269" t="s">
        <v>277</v>
      </c>
      <c r="C418" s="269">
        <v>2019</v>
      </c>
      <c r="D418" s="269" t="s">
        <v>527</v>
      </c>
      <c r="E418" s="269" t="s">
        <v>391</v>
      </c>
      <c r="F418" s="269" t="s">
        <v>74</v>
      </c>
      <c r="G418" s="269" t="s">
        <v>528</v>
      </c>
      <c r="H418" s="269" t="s">
        <v>587</v>
      </c>
      <c r="I418" s="269" t="s">
        <v>589</v>
      </c>
      <c r="J418" s="269">
        <v>250</v>
      </c>
      <c r="K418" s="269" t="s">
        <v>584</v>
      </c>
      <c r="L418" s="269"/>
      <c r="M418" s="274">
        <v>331</v>
      </c>
      <c r="N418" s="468">
        <f t="shared" si="6"/>
        <v>132</v>
      </c>
      <c r="O418" s="274">
        <v>29</v>
      </c>
      <c r="P418" s="553" t="s">
        <v>647</v>
      </c>
      <c r="Q418" s="469"/>
    </row>
    <row r="419" spans="1:17" x14ac:dyDescent="0.2">
      <c r="A419" s="269" t="s">
        <v>277</v>
      </c>
      <c r="B419" s="269" t="s">
        <v>277</v>
      </c>
      <c r="C419" s="269">
        <v>2019</v>
      </c>
      <c r="D419" s="269" t="s">
        <v>527</v>
      </c>
      <c r="E419" s="269" t="s">
        <v>391</v>
      </c>
      <c r="F419" s="269" t="s">
        <v>74</v>
      </c>
      <c r="G419" s="269" t="s">
        <v>528</v>
      </c>
      <c r="H419" s="269" t="s">
        <v>588</v>
      </c>
      <c r="I419" s="269" t="s">
        <v>589</v>
      </c>
      <c r="J419" s="269">
        <v>250</v>
      </c>
      <c r="K419" s="269" t="s">
        <v>584</v>
      </c>
      <c r="L419" s="269"/>
      <c r="M419" s="274">
        <v>330</v>
      </c>
      <c r="N419" s="468">
        <f t="shared" si="6"/>
        <v>132</v>
      </c>
      <c r="O419" s="274">
        <v>29</v>
      </c>
      <c r="P419" s="553" t="s">
        <v>647</v>
      </c>
      <c r="Q419" s="469"/>
    </row>
    <row r="420" spans="1:17" hidden="1" x14ac:dyDescent="0.2">
      <c r="A420" s="269" t="s">
        <v>277</v>
      </c>
      <c r="B420" s="269" t="s">
        <v>277</v>
      </c>
      <c r="C420" s="269">
        <v>2019</v>
      </c>
      <c r="D420" s="269" t="s">
        <v>529</v>
      </c>
      <c r="E420" s="269" t="s">
        <v>391</v>
      </c>
      <c r="F420" s="269" t="s">
        <v>74</v>
      </c>
      <c r="G420" s="269" t="s">
        <v>519</v>
      </c>
      <c r="H420" s="269" t="s">
        <v>42</v>
      </c>
      <c r="I420" s="269" t="s">
        <v>583</v>
      </c>
      <c r="J420" s="269">
        <v>0</v>
      </c>
      <c r="K420" s="269" t="s">
        <v>584</v>
      </c>
      <c r="L420" s="269" t="s">
        <v>616</v>
      </c>
      <c r="M420" s="274">
        <v>190</v>
      </c>
      <c r="N420" s="468" t="s">
        <v>332</v>
      </c>
      <c r="O420" s="274">
        <v>26</v>
      </c>
      <c r="P420" s="553" t="s">
        <v>1726</v>
      </c>
      <c r="Q420" s="469"/>
    </row>
    <row r="421" spans="1:17" hidden="1" x14ac:dyDescent="0.2">
      <c r="A421" s="269" t="s">
        <v>277</v>
      </c>
      <c r="B421" s="269" t="s">
        <v>277</v>
      </c>
      <c r="C421" s="269">
        <v>2019</v>
      </c>
      <c r="D421" s="269" t="s">
        <v>529</v>
      </c>
      <c r="E421" s="269" t="s">
        <v>391</v>
      </c>
      <c r="F421" s="269" t="s">
        <v>74</v>
      </c>
      <c r="G421" s="269" t="s">
        <v>519</v>
      </c>
      <c r="H421" s="269" t="s">
        <v>19</v>
      </c>
      <c r="I421" s="269" t="s">
        <v>583</v>
      </c>
      <c r="J421" s="269">
        <v>0</v>
      </c>
      <c r="K421" s="269" t="s">
        <v>584</v>
      </c>
      <c r="L421" s="269" t="s">
        <v>592</v>
      </c>
      <c r="M421" s="274">
        <v>0</v>
      </c>
      <c r="N421" s="468" t="s">
        <v>332</v>
      </c>
      <c r="O421" s="274">
        <v>0</v>
      </c>
      <c r="P421" s="553" t="s">
        <v>1726</v>
      </c>
      <c r="Q421" s="469"/>
    </row>
    <row r="422" spans="1:17" hidden="1" x14ac:dyDescent="0.2">
      <c r="A422" s="269" t="s">
        <v>277</v>
      </c>
      <c r="B422" s="269" t="s">
        <v>277</v>
      </c>
      <c r="C422" s="269">
        <v>2019</v>
      </c>
      <c r="D422" s="269" t="s">
        <v>529</v>
      </c>
      <c r="E422" s="269" t="s">
        <v>391</v>
      </c>
      <c r="F422" s="269" t="s">
        <v>74</v>
      </c>
      <c r="G422" s="269" t="s">
        <v>519</v>
      </c>
      <c r="H422" s="269" t="s">
        <v>20</v>
      </c>
      <c r="I422" s="269" t="s">
        <v>583</v>
      </c>
      <c r="J422" s="269">
        <v>0</v>
      </c>
      <c r="K422" s="269" t="s">
        <v>584</v>
      </c>
      <c r="L422" s="269" t="s">
        <v>616</v>
      </c>
      <c r="M422" s="274">
        <v>0</v>
      </c>
      <c r="N422" s="468" t="s">
        <v>332</v>
      </c>
      <c r="O422" s="274">
        <v>0</v>
      </c>
      <c r="P422" s="553" t="s">
        <v>1726</v>
      </c>
      <c r="Q422" s="469"/>
    </row>
    <row r="423" spans="1:17" hidden="1" x14ac:dyDescent="0.2">
      <c r="A423" s="269" t="s">
        <v>277</v>
      </c>
      <c r="B423" s="269" t="s">
        <v>277</v>
      </c>
      <c r="C423" s="269">
        <v>2019</v>
      </c>
      <c r="D423" s="269" t="s">
        <v>529</v>
      </c>
      <c r="E423" s="269" t="s">
        <v>391</v>
      </c>
      <c r="F423" s="269" t="s">
        <v>74</v>
      </c>
      <c r="G423" s="269" t="s">
        <v>519</v>
      </c>
      <c r="H423" s="269" t="s">
        <v>587</v>
      </c>
      <c r="I423" s="269" t="s">
        <v>583</v>
      </c>
      <c r="J423" s="269">
        <v>0</v>
      </c>
      <c r="K423" s="269" t="s">
        <v>584</v>
      </c>
      <c r="L423" s="269" t="s">
        <v>616</v>
      </c>
      <c r="M423" s="274">
        <v>0</v>
      </c>
      <c r="N423" s="468" t="s">
        <v>332</v>
      </c>
      <c r="O423" s="274">
        <v>0</v>
      </c>
      <c r="P423" s="553" t="s">
        <v>1726</v>
      </c>
      <c r="Q423" s="469"/>
    </row>
    <row r="424" spans="1:17" hidden="1" x14ac:dyDescent="0.2">
      <c r="A424" s="269" t="s">
        <v>277</v>
      </c>
      <c r="B424" s="269" t="s">
        <v>277</v>
      </c>
      <c r="C424" s="269">
        <v>2019</v>
      </c>
      <c r="D424" s="269" t="s">
        <v>529</v>
      </c>
      <c r="E424" s="269" t="s">
        <v>391</v>
      </c>
      <c r="F424" s="269" t="s">
        <v>74</v>
      </c>
      <c r="G424" s="269" t="s">
        <v>519</v>
      </c>
      <c r="H424" s="269" t="s">
        <v>588</v>
      </c>
      <c r="I424" s="269" t="s">
        <v>583</v>
      </c>
      <c r="J424" s="269">
        <v>0</v>
      </c>
      <c r="K424" s="269" t="s">
        <v>584</v>
      </c>
      <c r="L424" s="269" t="s">
        <v>616</v>
      </c>
      <c r="M424" s="274">
        <v>0</v>
      </c>
      <c r="N424" s="468" t="s">
        <v>332</v>
      </c>
      <c r="O424" s="274">
        <v>0</v>
      </c>
      <c r="P424" s="553" t="s">
        <v>1726</v>
      </c>
      <c r="Q424" s="469"/>
    </row>
    <row r="425" spans="1:17" ht="25.5" hidden="1" x14ac:dyDescent="0.2">
      <c r="A425" s="269" t="s">
        <v>277</v>
      </c>
      <c r="B425" s="269" t="s">
        <v>277</v>
      </c>
      <c r="C425" s="269">
        <v>2019</v>
      </c>
      <c r="D425" s="269" t="s">
        <v>529</v>
      </c>
      <c r="E425" s="269" t="s">
        <v>391</v>
      </c>
      <c r="F425" s="269" t="s">
        <v>74</v>
      </c>
      <c r="G425" s="269" t="s">
        <v>519</v>
      </c>
      <c r="H425" s="269" t="s">
        <v>42</v>
      </c>
      <c r="I425" s="269" t="s">
        <v>589</v>
      </c>
      <c r="J425" s="269">
        <v>25</v>
      </c>
      <c r="K425" s="269" t="s">
        <v>584</v>
      </c>
      <c r="L425" s="269" t="s">
        <v>645</v>
      </c>
      <c r="M425" s="274">
        <v>109</v>
      </c>
      <c r="N425" s="468">
        <f t="shared" si="6"/>
        <v>436</v>
      </c>
      <c r="O425" s="274">
        <v>10</v>
      </c>
      <c r="P425" s="553" t="s">
        <v>647</v>
      </c>
      <c r="Q425" s="624" t="s">
        <v>1901</v>
      </c>
    </row>
    <row r="426" spans="1:17" ht="25.5" x14ac:dyDescent="0.2">
      <c r="A426" s="269" t="s">
        <v>277</v>
      </c>
      <c r="B426" s="269" t="s">
        <v>277</v>
      </c>
      <c r="C426" s="269">
        <v>2019</v>
      </c>
      <c r="D426" s="269" t="s">
        <v>529</v>
      </c>
      <c r="E426" s="269" t="s">
        <v>391</v>
      </c>
      <c r="F426" s="269" t="s">
        <v>74</v>
      </c>
      <c r="G426" s="269" t="s">
        <v>519</v>
      </c>
      <c r="H426" s="269" t="s">
        <v>19</v>
      </c>
      <c r="I426" s="269" t="s">
        <v>589</v>
      </c>
      <c r="J426" s="269">
        <v>0</v>
      </c>
      <c r="K426" s="269" t="s">
        <v>584</v>
      </c>
      <c r="L426" s="269" t="s">
        <v>592</v>
      </c>
      <c r="M426" s="274">
        <v>109</v>
      </c>
      <c r="N426" s="468" t="s">
        <v>332</v>
      </c>
      <c r="O426" s="274">
        <v>10</v>
      </c>
      <c r="P426" s="553" t="s">
        <v>1726</v>
      </c>
      <c r="Q426" s="624" t="s">
        <v>1901</v>
      </c>
    </row>
    <row r="427" spans="1:17" ht="25.5" x14ac:dyDescent="0.2">
      <c r="A427" s="269" t="s">
        <v>277</v>
      </c>
      <c r="B427" s="269" t="s">
        <v>277</v>
      </c>
      <c r="C427" s="269">
        <v>2019</v>
      </c>
      <c r="D427" s="269" t="s">
        <v>529</v>
      </c>
      <c r="E427" s="269" t="s">
        <v>391</v>
      </c>
      <c r="F427" s="269" t="s">
        <v>74</v>
      </c>
      <c r="G427" s="269" t="s">
        <v>519</v>
      </c>
      <c r="H427" s="269" t="s">
        <v>20</v>
      </c>
      <c r="I427" s="269" t="s">
        <v>589</v>
      </c>
      <c r="J427" s="269">
        <v>25</v>
      </c>
      <c r="K427" s="269" t="s">
        <v>584</v>
      </c>
      <c r="L427" s="269" t="s">
        <v>646</v>
      </c>
      <c r="M427" s="274">
        <v>109</v>
      </c>
      <c r="N427" s="468">
        <f t="shared" si="6"/>
        <v>436</v>
      </c>
      <c r="O427" s="274">
        <v>10</v>
      </c>
      <c r="P427" s="553" t="s">
        <v>647</v>
      </c>
      <c r="Q427" s="624" t="s">
        <v>1901</v>
      </c>
    </row>
    <row r="428" spans="1:17" ht="25.5" x14ac:dyDescent="0.2">
      <c r="A428" s="269" t="s">
        <v>277</v>
      </c>
      <c r="B428" s="269" t="s">
        <v>277</v>
      </c>
      <c r="C428" s="269">
        <v>2019</v>
      </c>
      <c r="D428" s="269" t="s">
        <v>529</v>
      </c>
      <c r="E428" s="269" t="s">
        <v>391</v>
      </c>
      <c r="F428" s="269" t="s">
        <v>74</v>
      </c>
      <c r="G428" s="269" t="s">
        <v>519</v>
      </c>
      <c r="H428" s="269" t="s">
        <v>587</v>
      </c>
      <c r="I428" s="269" t="s">
        <v>589</v>
      </c>
      <c r="J428" s="269">
        <v>25</v>
      </c>
      <c r="K428" s="269" t="s">
        <v>584</v>
      </c>
      <c r="L428" s="269" t="s">
        <v>646</v>
      </c>
      <c r="M428" s="274">
        <v>109</v>
      </c>
      <c r="N428" s="468">
        <f t="shared" si="6"/>
        <v>436</v>
      </c>
      <c r="O428" s="274">
        <v>10</v>
      </c>
      <c r="P428" s="553" t="s">
        <v>647</v>
      </c>
      <c r="Q428" s="624" t="s">
        <v>1901</v>
      </c>
    </row>
    <row r="429" spans="1:17" ht="25.5" x14ac:dyDescent="0.2">
      <c r="A429" s="269" t="s">
        <v>277</v>
      </c>
      <c r="B429" s="269" t="s">
        <v>277</v>
      </c>
      <c r="C429" s="269">
        <v>2019</v>
      </c>
      <c r="D429" s="269" t="s">
        <v>529</v>
      </c>
      <c r="E429" s="269" t="s">
        <v>391</v>
      </c>
      <c r="F429" s="269" t="s">
        <v>74</v>
      </c>
      <c r="G429" s="269" t="s">
        <v>519</v>
      </c>
      <c r="H429" s="269" t="s">
        <v>588</v>
      </c>
      <c r="I429" s="269" t="s">
        <v>589</v>
      </c>
      <c r="J429" s="269">
        <v>25</v>
      </c>
      <c r="K429" s="269" t="s">
        <v>584</v>
      </c>
      <c r="L429" s="269" t="s">
        <v>646</v>
      </c>
      <c r="M429" s="274">
        <v>109</v>
      </c>
      <c r="N429" s="468">
        <f t="shared" si="6"/>
        <v>436</v>
      </c>
      <c r="O429" s="274">
        <v>10</v>
      </c>
      <c r="P429" s="553" t="s">
        <v>647</v>
      </c>
      <c r="Q429" s="624" t="s">
        <v>1901</v>
      </c>
    </row>
    <row r="430" spans="1:17" hidden="1" x14ac:dyDescent="0.2">
      <c r="A430" s="269" t="s">
        <v>277</v>
      </c>
      <c r="B430" s="269" t="s">
        <v>277</v>
      </c>
      <c r="C430" s="269">
        <v>2019</v>
      </c>
      <c r="D430" s="269" t="s">
        <v>529</v>
      </c>
      <c r="E430" s="269" t="s">
        <v>391</v>
      </c>
      <c r="F430" s="269" t="s">
        <v>74</v>
      </c>
      <c r="G430" s="269" t="s">
        <v>451</v>
      </c>
      <c r="H430" s="269" t="s">
        <v>42</v>
      </c>
      <c r="I430" s="269" t="s">
        <v>583</v>
      </c>
      <c r="J430" s="269">
        <v>0</v>
      </c>
      <c r="K430" s="269" t="s">
        <v>584</v>
      </c>
      <c r="L430" s="269" t="s">
        <v>616</v>
      </c>
      <c r="M430" s="274">
        <v>157</v>
      </c>
      <c r="N430" s="468" t="s">
        <v>332</v>
      </c>
      <c r="O430" s="274">
        <v>54</v>
      </c>
      <c r="P430" s="553" t="s">
        <v>1726</v>
      </c>
      <c r="Q430" s="469"/>
    </row>
    <row r="431" spans="1:17" hidden="1" x14ac:dyDescent="0.2">
      <c r="A431" s="269" t="s">
        <v>277</v>
      </c>
      <c r="B431" s="269" t="s">
        <v>277</v>
      </c>
      <c r="C431" s="269">
        <v>2019</v>
      </c>
      <c r="D431" s="269" t="s">
        <v>529</v>
      </c>
      <c r="E431" s="269" t="s">
        <v>391</v>
      </c>
      <c r="F431" s="269" t="s">
        <v>74</v>
      </c>
      <c r="G431" s="269" t="s">
        <v>451</v>
      </c>
      <c r="H431" s="269" t="s">
        <v>19</v>
      </c>
      <c r="I431" s="269" t="s">
        <v>583</v>
      </c>
      <c r="J431" s="269">
        <v>0</v>
      </c>
      <c r="K431" s="269" t="s">
        <v>584</v>
      </c>
      <c r="L431" s="269" t="s">
        <v>592</v>
      </c>
      <c r="M431" s="274">
        <v>0</v>
      </c>
      <c r="N431" s="468" t="s">
        <v>332</v>
      </c>
      <c r="O431" s="274">
        <v>0</v>
      </c>
      <c r="P431" s="553" t="s">
        <v>1726</v>
      </c>
      <c r="Q431" s="469"/>
    </row>
    <row r="432" spans="1:17" hidden="1" x14ac:dyDescent="0.2">
      <c r="A432" s="269" t="s">
        <v>277</v>
      </c>
      <c r="B432" s="269" t="s">
        <v>277</v>
      </c>
      <c r="C432" s="269">
        <v>2019</v>
      </c>
      <c r="D432" s="269" t="s">
        <v>529</v>
      </c>
      <c r="E432" s="269" t="s">
        <v>391</v>
      </c>
      <c r="F432" s="269" t="s">
        <v>74</v>
      </c>
      <c r="G432" s="269" t="s">
        <v>451</v>
      </c>
      <c r="H432" s="269" t="s">
        <v>20</v>
      </c>
      <c r="I432" s="269" t="s">
        <v>583</v>
      </c>
      <c r="J432" s="269">
        <v>0</v>
      </c>
      <c r="K432" s="269" t="s">
        <v>584</v>
      </c>
      <c r="L432" s="269" t="s">
        <v>616</v>
      </c>
      <c r="M432" s="274">
        <v>0</v>
      </c>
      <c r="N432" s="468" t="s">
        <v>332</v>
      </c>
      <c r="O432" s="274">
        <v>0</v>
      </c>
      <c r="P432" s="553" t="s">
        <v>1726</v>
      </c>
      <c r="Q432" s="469"/>
    </row>
    <row r="433" spans="1:17" hidden="1" x14ac:dyDescent="0.2">
      <c r="A433" s="269" t="s">
        <v>277</v>
      </c>
      <c r="B433" s="269" t="s">
        <v>277</v>
      </c>
      <c r="C433" s="269">
        <v>2019</v>
      </c>
      <c r="D433" s="269" t="s">
        <v>529</v>
      </c>
      <c r="E433" s="269" t="s">
        <v>391</v>
      </c>
      <c r="F433" s="269" t="s">
        <v>74</v>
      </c>
      <c r="G433" s="269" t="s">
        <v>451</v>
      </c>
      <c r="H433" s="269" t="s">
        <v>587</v>
      </c>
      <c r="I433" s="269" t="s">
        <v>583</v>
      </c>
      <c r="J433" s="269">
        <v>0</v>
      </c>
      <c r="K433" s="269" t="s">
        <v>584</v>
      </c>
      <c r="L433" s="269" t="s">
        <v>616</v>
      </c>
      <c r="M433" s="274">
        <v>0</v>
      </c>
      <c r="N433" s="468" t="s">
        <v>332</v>
      </c>
      <c r="O433" s="274">
        <v>0</v>
      </c>
      <c r="P433" s="553" t="s">
        <v>1726</v>
      </c>
      <c r="Q433" s="469"/>
    </row>
    <row r="434" spans="1:17" hidden="1" x14ac:dyDescent="0.2">
      <c r="A434" s="269" t="s">
        <v>277</v>
      </c>
      <c r="B434" s="269" t="s">
        <v>277</v>
      </c>
      <c r="C434" s="269">
        <v>2019</v>
      </c>
      <c r="D434" s="269" t="s">
        <v>529</v>
      </c>
      <c r="E434" s="269" t="s">
        <v>391</v>
      </c>
      <c r="F434" s="269" t="s">
        <v>74</v>
      </c>
      <c r="G434" s="269" t="s">
        <v>451</v>
      </c>
      <c r="H434" s="269" t="s">
        <v>588</v>
      </c>
      <c r="I434" s="269" t="s">
        <v>583</v>
      </c>
      <c r="J434" s="269">
        <v>0</v>
      </c>
      <c r="K434" s="269" t="s">
        <v>584</v>
      </c>
      <c r="L434" s="269" t="s">
        <v>616</v>
      </c>
      <c r="M434" s="274">
        <v>0</v>
      </c>
      <c r="N434" s="468" t="s">
        <v>332</v>
      </c>
      <c r="O434" s="274">
        <v>0</v>
      </c>
      <c r="P434" s="553" t="s">
        <v>1726</v>
      </c>
      <c r="Q434" s="469"/>
    </row>
    <row r="435" spans="1:17" ht="25.5" hidden="1" x14ac:dyDescent="0.2">
      <c r="A435" s="269" t="s">
        <v>277</v>
      </c>
      <c r="B435" s="269" t="s">
        <v>277</v>
      </c>
      <c r="C435" s="269">
        <v>2019</v>
      </c>
      <c r="D435" s="269" t="s">
        <v>529</v>
      </c>
      <c r="E435" s="269" t="s">
        <v>391</v>
      </c>
      <c r="F435" s="269" t="s">
        <v>74</v>
      </c>
      <c r="G435" s="269" t="s">
        <v>451</v>
      </c>
      <c r="H435" s="269" t="s">
        <v>42</v>
      </c>
      <c r="I435" s="269" t="s">
        <v>589</v>
      </c>
      <c r="J435" s="269">
        <v>25</v>
      </c>
      <c r="K435" s="269" t="s">
        <v>584</v>
      </c>
      <c r="L435" s="269" t="s">
        <v>647</v>
      </c>
      <c r="M435" s="274">
        <v>533</v>
      </c>
      <c r="N435" s="468">
        <f t="shared" si="6"/>
        <v>2132</v>
      </c>
      <c r="O435" s="274">
        <v>63</v>
      </c>
      <c r="P435" s="553" t="s">
        <v>647</v>
      </c>
      <c r="Q435" s="624" t="s">
        <v>1901</v>
      </c>
    </row>
    <row r="436" spans="1:17" x14ac:dyDescent="0.2">
      <c r="A436" s="269" t="s">
        <v>277</v>
      </c>
      <c r="B436" s="269" t="s">
        <v>277</v>
      </c>
      <c r="C436" s="269">
        <v>2019</v>
      </c>
      <c r="D436" s="269" t="s">
        <v>529</v>
      </c>
      <c r="E436" s="269" t="s">
        <v>391</v>
      </c>
      <c r="F436" s="269" t="s">
        <v>74</v>
      </c>
      <c r="G436" s="269" t="s">
        <v>451</v>
      </c>
      <c r="H436" s="269" t="s">
        <v>19</v>
      </c>
      <c r="I436" s="269" t="s">
        <v>589</v>
      </c>
      <c r="J436" s="269">
        <v>0</v>
      </c>
      <c r="K436" s="269" t="s">
        <v>584</v>
      </c>
      <c r="L436" s="269" t="s">
        <v>592</v>
      </c>
      <c r="M436" s="274">
        <v>447</v>
      </c>
      <c r="N436" s="468" t="s">
        <v>332</v>
      </c>
      <c r="O436" s="274">
        <v>63</v>
      </c>
      <c r="P436" s="553" t="s">
        <v>1726</v>
      </c>
      <c r="Q436" s="469"/>
    </row>
    <row r="437" spans="1:17" ht="25.5" x14ac:dyDescent="0.2">
      <c r="A437" s="269" t="s">
        <v>277</v>
      </c>
      <c r="B437" s="269" t="s">
        <v>277</v>
      </c>
      <c r="C437" s="269">
        <v>2019</v>
      </c>
      <c r="D437" s="269" t="s">
        <v>529</v>
      </c>
      <c r="E437" s="269" t="s">
        <v>391</v>
      </c>
      <c r="F437" s="269" t="s">
        <v>74</v>
      </c>
      <c r="G437" s="269" t="s">
        <v>451</v>
      </c>
      <c r="H437" s="269" t="s">
        <v>20</v>
      </c>
      <c r="I437" s="269" t="s">
        <v>589</v>
      </c>
      <c r="J437" s="269">
        <v>25</v>
      </c>
      <c r="K437" s="269" t="s">
        <v>584</v>
      </c>
      <c r="L437" s="269" t="s">
        <v>646</v>
      </c>
      <c r="M437" s="274">
        <v>447</v>
      </c>
      <c r="N437" s="468">
        <f t="shared" si="6"/>
        <v>1788</v>
      </c>
      <c r="O437" s="274">
        <v>63</v>
      </c>
      <c r="P437" s="553" t="s">
        <v>647</v>
      </c>
      <c r="Q437" s="624" t="s">
        <v>1901</v>
      </c>
    </row>
    <row r="438" spans="1:17" ht="25.5" x14ac:dyDescent="0.2">
      <c r="A438" s="269" t="s">
        <v>277</v>
      </c>
      <c r="B438" s="269" t="s">
        <v>277</v>
      </c>
      <c r="C438" s="269">
        <v>2019</v>
      </c>
      <c r="D438" s="269" t="s">
        <v>529</v>
      </c>
      <c r="E438" s="269" t="s">
        <v>391</v>
      </c>
      <c r="F438" s="269" t="s">
        <v>74</v>
      </c>
      <c r="G438" s="269" t="s">
        <v>451</v>
      </c>
      <c r="H438" s="269" t="s">
        <v>587</v>
      </c>
      <c r="I438" s="269" t="s">
        <v>589</v>
      </c>
      <c r="J438" s="269">
        <v>25</v>
      </c>
      <c r="K438" s="269" t="s">
        <v>584</v>
      </c>
      <c r="L438" s="269" t="s">
        <v>646</v>
      </c>
      <c r="M438" s="274">
        <v>447</v>
      </c>
      <c r="N438" s="468">
        <f t="shared" si="6"/>
        <v>1788</v>
      </c>
      <c r="O438" s="274">
        <v>63</v>
      </c>
      <c r="P438" s="553" t="s">
        <v>647</v>
      </c>
      <c r="Q438" s="624" t="s">
        <v>1901</v>
      </c>
    </row>
    <row r="439" spans="1:17" ht="25.5" x14ac:dyDescent="0.2">
      <c r="A439" s="269" t="s">
        <v>277</v>
      </c>
      <c r="B439" s="269" t="s">
        <v>277</v>
      </c>
      <c r="C439" s="269">
        <v>2019</v>
      </c>
      <c r="D439" s="269" t="s">
        <v>529</v>
      </c>
      <c r="E439" s="269" t="s">
        <v>391</v>
      </c>
      <c r="F439" s="269" t="s">
        <v>74</v>
      </c>
      <c r="G439" s="269" t="s">
        <v>451</v>
      </c>
      <c r="H439" s="269" t="s">
        <v>588</v>
      </c>
      <c r="I439" s="269" t="s">
        <v>589</v>
      </c>
      <c r="J439" s="269">
        <v>25</v>
      </c>
      <c r="K439" s="269" t="s">
        <v>584</v>
      </c>
      <c r="L439" s="269" t="s">
        <v>646</v>
      </c>
      <c r="M439" s="274">
        <v>446</v>
      </c>
      <c r="N439" s="468">
        <f t="shared" si="6"/>
        <v>1784</v>
      </c>
      <c r="O439" s="274">
        <v>63</v>
      </c>
      <c r="P439" s="553" t="s">
        <v>647</v>
      </c>
      <c r="Q439" s="624" t="s">
        <v>1901</v>
      </c>
    </row>
    <row r="440" spans="1:17" hidden="1" x14ac:dyDescent="0.2">
      <c r="A440" s="269" t="s">
        <v>277</v>
      </c>
      <c r="B440" s="269" t="s">
        <v>277</v>
      </c>
      <c r="C440" s="269">
        <v>2019</v>
      </c>
      <c r="D440" s="269" t="s">
        <v>533</v>
      </c>
      <c r="E440" s="269" t="s">
        <v>391</v>
      </c>
      <c r="F440" s="269" t="s">
        <v>74</v>
      </c>
      <c r="G440" s="269" t="s">
        <v>524</v>
      </c>
      <c r="H440" s="269" t="s">
        <v>42</v>
      </c>
      <c r="I440" s="269" t="s">
        <v>583</v>
      </c>
      <c r="J440" s="269">
        <v>0</v>
      </c>
      <c r="K440" s="269" t="s">
        <v>584</v>
      </c>
      <c r="L440" s="269" t="s">
        <v>616</v>
      </c>
      <c r="M440" s="274">
        <v>637</v>
      </c>
      <c r="N440" s="468" t="s">
        <v>332</v>
      </c>
      <c r="O440" s="274">
        <v>117</v>
      </c>
      <c r="P440" s="553" t="s">
        <v>1726</v>
      </c>
      <c r="Q440" s="469"/>
    </row>
    <row r="441" spans="1:17" hidden="1" x14ac:dyDescent="0.2">
      <c r="A441" s="269" t="s">
        <v>277</v>
      </c>
      <c r="B441" s="269" t="s">
        <v>277</v>
      </c>
      <c r="C441" s="269">
        <v>2019</v>
      </c>
      <c r="D441" s="269" t="s">
        <v>533</v>
      </c>
      <c r="E441" s="269" t="s">
        <v>391</v>
      </c>
      <c r="F441" s="269" t="s">
        <v>74</v>
      </c>
      <c r="G441" s="269" t="s">
        <v>524</v>
      </c>
      <c r="H441" s="269" t="s">
        <v>19</v>
      </c>
      <c r="I441" s="269" t="s">
        <v>583</v>
      </c>
      <c r="J441" s="269">
        <v>0</v>
      </c>
      <c r="K441" s="269" t="s">
        <v>584</v>
      </c>
      <c r="L441" s="269" t="s">
        <v>592</v>
      </c>
      <c r="M441" s="274">
        <v>0</v>
      </c>
      <c r="N441" s="468" t="s">
        <v>332</v>
      </c>
      <c r="O441" s="274">
        <v>0</v>
      </c>
      <c r="P441" s="553" t="s">
        <v>1726</v>
      </c>
      <c r="Q441" s="469"/>
    </row>
    <row r="442" spans="1:17" hidden="1" x14ac:dyDescent="0.2">
      <c r="A442" s="269" t="s">
        <v>277</v>
      </c>
      <c r="B442" s="269" t="s">
        <v>277</v>
      </c>
      <c r="C442" s="269">
        <v>2019</v>
      </c>
      <c r="D442" s="269" t="s">
        <v>533</v>
      </c>
      <c r="E442" s="269" t="s">
        <v>391</v>
      </c>
      <c r="F442" s="269" t="s">
        <v>74</v>
      </c>
      <c r="G442" s="269" t="s">
        <v>524</v>
      </c>
      <c r="H442" s="269" t="s">
        <v>20</v>
      </c>
      <c r="I442" s="269" t="s">
        <v>583</v>
      </c>
      <c r="J442" s="269">
        <v>0</v>
      </c>
      <c r="K442" s="269" t="s">
        <v>584</v>
      </c>
      <c r="L442" s="269" t="s">
        <v>616</v>
      </c>
      <c r="M442" s="274">
        <v>0</v>
      </c>
      <c r="N442" s="468" t="s">
        <v>332</v>
      </c>
      <c r="O442" s="274">
        <v>0</v>
      </c>
      <c r="P442" s="553" t="s">
        <v>1726</v>
      </c>
      <c r="Q442" s="469"/>
    </row>
    <row r="443" spans="1:17" hidden="1" x14ac:dyDescent="0.2">
      <c r="A443" s="269" t="s">
        <v>277</v>
      </c>
      <c r="B443" s="269" t="s">
        <v>277</v>
      </c>
      <c r="C443" s="269">
        <v>2019</v>
      </c>
      <c r="D443" s="269" t="s">
        <v>533</v>
      </c>
      <c r="E443" s="269" t="s">
        <v>391</v>
      </c>
      <c r="F443" s="269" t="s">
        <v>74</v>
      </c>
      <c r="G443" s="269" t="s">
        <v>524</v>
      </c>
      <c r="H443" s="269" t="s">
        <v>587</v>
      </c>
      <c r="I443" s="269" t="s">
        <v>583</v>
      </c>
      <c r="J443" s="269">
        <v>0</v>
      </c>
      <c r="K443" s="269" t="s">
        <v>584</v>
      </c>
      <c r="L443" s="269" t="s">
        <v>616</v>
      </c>
      <c r="M443" s="274">
        <v>0</v>
      </c>
      <c r="N443" s="468" t="s">
        <v>332</v>
      </c>
      <c r="O443" s="274">
        <v>0</v>
      </c>
      <c r="P443" s="553" t="s">
        <v>1726</v>
      </c>
      <c r="Q443" s="469"/>
    </row>
    <row r="444" spans="1:17" hidden="1" x14ac:dyDescent="0.2">
      <c r="A444" s="269" t="s">
        <v>277</v>
      </c>
      <c r="B444" s="269" t="s">
        <v>277</v>
      </c>
      <c r="C444" s="269">
        <v>2019</v>
      </c>
      <c r="D444" s="269" t="s">
        <v>533</v>
      </c>
      <c r="E444" s="269" t="s">
        <v>391</v>
      </c>
      <c r="F444" s="269" t="s">
        <v>74</v>
      </c>
      <c r="G444" s="269" t="s">
        <v>524</v>
      </c>
      <c r="H444" s="269" t="s">
        <v>588</v>
      </c>
      <c r="I444" s="269" t="s">
        <v>583</v>
      </c>
      <c r="J444" s="269">
        <v>0</v>
      </c>
      <c r="K444" s="269" t="s">
        <v>584</v>
      </c>
      <c r="L444" s="269" t="s">
        <v>616</v>
      </c>
      <c r="M444" s="274">
        <v>0</v>
      </c>
      <c r="N444" s="468" t="s">
        <v>332</v>
      </c>
      <c r="O444" s="274">
        <v>0</v>
      </c>
      <c r="P444" s="553" t="s">
        <v>1726</v>
      </c>
      <c r="Q444" s="469"/>
    </row>
    <row r="445" spans="1:17" ht="25.5" hidden="1" x14ac:dyDescent="0.2">
      <c r="A445" s="269" t="s">
        <v>277</v>
      </c>
      <c r="B445" s="269" t="s">
        <v>277</v>
      </c>
      <c r="C445" s="269">
        <v>2019</v>
      </c>
      <c r="D445" s="269" t="s">
        <v>533</v>
      </c>
      <c r="E445" s="269" t="s">
        <v>391</v>
      </c>
      <c r="F445" s="269" t="s">
        <v>74</v>
      </c>
      <c r="G445" s="269" t="s">
        <v>524</v>
      </c>
      <c r="H445" s="269" t="s">
        <v>42</v>
      </c>
      <c r="I445" s="269" t="s">
        <v>589</v>
      </c>
      <c r="J445" s="269">
        <v>25</v>
      </c>
      <c r="K445" s="269" t="s">
        <v>584</v>
      </c>
      <c r="L445" s="269" t="s">
        <v>647</v>
      </c>
      <c r="M445" s="274">
        <v>1206</v>
      </c>
      <c r="N445" s="468">
        <f t="shared" si="6"/>
        <v>4824</v>
      </c>
      <c r="O445" s="274">
        <v>72</v>
      </c>
      <c r="P445" s="553" t="s">
        <v>647</v>
      </c>
      <c r="Q445" s="624" t="s">
        <v>1901</v>
      </c>
    </row>
    <row r="446" spans="1:17" x14ac:dyDescent="0.2">
      <c r="A446" s="269" t="s">
        <v>277</v>
      </c>
      <c r="B446" s="269" t="s">
        <v>277</v>
      </c>
      <c r="C446" s="269">
        <v>2019</v>
      </c>
      <c r="D446" s="269" t="s">
        <v>533</v>
      </c>
      <c r="E446" s="269" t="s">
        <v>391</v>
      </c>
      <c r="F446" s="269" t="s">
        <v>74</v>
      </c>
      <c r="G446" s="269" t="s">
        <v>524</v>
      </c>
      <c r="H446" s="269" t="s">
        <v>19</v>
      </c>
      <c r="I446" s="269" t="s">
        <v>589</v>
      </c>
      <c r="J446" s="269">
        <v>0</v>
      </c>
      <c r="K446" s="269" t="s">
        <v>584</v>
      </c>
      <c r="L446" s="269" t="s">
        <v>592</v>
      </c>
      <c r="M446" s="274">
        <v>0</v>
      </c>
      <c r="N446" s="468" t="s">
        <v>332</v>
      </c>
      <c r="O446" s="274">
        <v>0</v>
      </c>
      <c r="P446" s="553" t="s">
        <v>1726</v>
      </c>
      <c r="Q446" s="469"/>
    </row>
    <row r="447" spans="1:17" ht="25.5" x14ac:dyDescent="0.2">
      <c r="A447" s="269" t="s">
        <v>277</v>
      </c>
      <c r="B447" s="269" t="s">
        <v>277</v>
      </c>
      <c r="C447" s="269">
        <v>2019</v>
      </c>
      <c r="D447" s="269" t="s">
        <v>533</v>
      </c>
      <c r="E447" s="269" t="s">
        <v>391</v>
      </c>
      <c r="F447" s="269" t="s">
        <v>74</v>
      </c>
      <c r="G447" s="269" t="s">
        <v>524</v>
      </c>
      <c r="H447" s="269" t="s">
        <v>20</v>
      </c>
      <c r="I447" s="269" t="s">
        <v>589</v>
      </c>
      <c r="J447" s="269">
        <v>25</v>
      </c>
      <c r="K447" s="269" t="s">
        <v>584</v>
      </c>
      <c r="L447" s="269" t="s">
        <v>647</v>
      </c>
      <c r="M447" s="274">
        <v>906</v>
      </c>
      <c r="N447" s="468">
        <f t="shared" si="6"/>
        <v>3624</v>
      </c>
      <c r="O447" s="274">
        <v>72</v>
      </c>
      <c r="P447" s="553" t="s">
        <v>647</v>
      </c>
      <c r="Q447" s="624" t="s">
        <v>1901</v>
      </c>
    </row>
    <row r="448" spans="1:17" ht="25.5" x14ac:dyDescent="0.2">
      <c r="A448" s="269" t="s">
        <v>277</v>
      </c>
      <c r="B448" s="269" t="s">
        <v>277</v>
      </c>
      <c r="C448" s="269">
        <v>2019</v>
      </c>
      <c r="D448" s="269" t="s">
        <v>533</v>
      </c>
      <c r="E448" s="269" t="s">
        <v>391</v>
      </c>
      <c r="F448" s="269" t="s">
        <v>74</v>
      </c>
      <c r="G448" s="269" t="s">
        <v>524</v>
      </c>
      <c r="H448" s="269" t="s">
        <v>587</v>
      </c>
      <c r="I448" s="269" t="s">
        <v>589</v>
      </c>
      <c r="J448" s="269">
        <v>25</v>
      </c>
      <c r="K448" s="269" t="s">
        <v>584</v>
      </c>
      <c r="L448" s="269" t="s">
        <v>647</v>
      </c>
      <c r="M448" s="274">
        <v>906</v>
      </c>
      <c r="N448" s="468">
        <f t="shared" si="6"/>
        <v>3624</v>
      </c>
      <c r="O448" s="274">
        <v>72</v>
      </c>
      <c r="P448" s="553" t="s">
        <v>647</v>
      </c>
      <c r="Q448" s="624" t="s">
        <v>1901</v>
      </c>
    </row>
    <row r="449" spans="1:17" ht="25.5" x14ac:dyDescent="0.2">
      <c r="A449" s="269" t="s">
        <v>277</v>
      </c>
      <c r="B449" s="269" t="s">
        <v>277</v>
      </c>
      <c r="C449" s="269">
        <v>2019</v>
      </c>
      <c r="D449" s="269" t="s">
        <v>533</v>
      </c>
      <c r="E449" s="269" t="s">
        <v>391</v>
      </c>
      <c r="F449" s="269" t="s">
        <v>74</v>
      </c>
      <c r="G449" s="269" t="s">
        <v>524</v>
      </c>
      <c r="H449" s="269" t="s">
        <v>588</v>
      </c>
      <c r="I449" s="269" t="s">
        <v>589</v>
      </c>
      <c r="J449" s="269">
        <v>25</v>
      </c>
      <c r="K449" s="269" t="s">
        <v>584</v>
      </c>
      <c r="L449" s="269" t="s">
        <v>647</v>
      </c>
      <c r="M449" s="274">
        <v>902</v>
      </c>
      <c r="N449" s="468">
        <f t="shared" si="6"/>
        <v>3608</v>
      </c>
      <c r="O449" s="274">
        <v>72</v>
      </c>
      <c r="P449" s="553" t="s">
        <v>647</v>
      </c>
      <c r="Q449" s="624" t="s">
        <v>1901</v>
      </c>
    </row>
    <row r="450" spans="1:17" ht="25.5" hidden="1" x14ac:dyDescent="0.2">
      <c r="A450" s="269" t="s">
        <v>277</v>
      </c>
      <c r="B450" s="269" t="s">
        <v>277</v>
      </c>
      <c r="C450" s="269">
        <v>2019</v>
      </c>
      <c r="D450" s="269" t="s">
        <v>540</v>
      </c>
      <c r="E450" s="269" t="s">
        <v>535</v>
      </c>
      <c r="F450" s="269" t="s">
        <v>536</v>
      </c>
      <c r="G450" s="269" t="s">
        <v>537</v>
      </c>
      <c r="H450" s="269" t="s">
        <v>42</v>
      </c>
      <c r="I450" s="269" t="s">
        <v>583</v>
      </c>
      <c r="J450" s="269">
        <v>100</v>
      </c>
      <c r="K450" s="269" t="s">
        <v>584</v>
      </c>
      <c r="L450" s="269" t="s">
        <v>648</v>
      </c>
      <c r="M450" s="274">
        <v>0</v>
      </c>
      <c r="N450" s="468">
        <f t="shared" si="6"/>
        <v>0</v>
      </c>
      <c r="O450" s="274">
        <v>0</v>
      </c>
      <c r="P450" s="553" t="s">
        <v>1722</v>
      </c>
      <c r="Q450" s="469" t="s">
        <v>1900</v>
      </c>
    </row>
    <row r="451" spans="1:17" hidden="1" x14ac:dyDescent="0.2">
      <c r="A451" s="269" t="s">
        <v>277</v>
      </c>
      <c r="B451" s="269" t="s">
        <v>277</v>
      </c>
      <c r="C451" s="269">
        <v>2019</v>
      </c>
      <c r="D451" s="269" t="s">
        <v>540</v>
      </c>
      <c r="E451" s="269" t="s">
        <v>535</v>
      </c>
      <c r="F451" s="269" t="s">
        <v>536</v>
      </c>
      <c r="G451" s="269" t="s">
        <v>537</v>
      </c>
      <c r="H451" s="269" t="s">
        <v>19</v>
      </c>
      <c r="I451" s="269" t="s">
        <v>583</v>
      </c>
      <c r="J451" s="269">
        <v>0</v>
      </c>
      <c r="K451" s="269" t="s">
        <v>584</v>
      </c>
      <c r="L451" s="269" t="s">
        <v>592</v>
      </c>
      <c r="M451" s="274">
        <v>0</v>
      </c>
      <c r="N451" s="468" t="s">
        <v>332</v>
      </c>
      <c r="O451" s="274">
        <v>0</v>
      </c>
      <c r="P451" s="553" t="s">
        <v>1726</v>
      </c>
      <c r="Q451" s="469"/>
    </row>
    <row r="452" spans="1:17" ht="25.5" hidden="1" x14ac:dyDescent="0.2">
      <c r="A452" s="269" t="s">
        <v>277</v>
      </c>
      <c r="B452" s="269" t="s">
        <v>277</v>
      </c>
      <c r="C452" s="269">
        <v>2019</v>
      </c>
      <c r="D452" s="269" t="s">
        <v>540</v>
      </c>
      <c r="E452" s="269" t="s">
        <v>535</v>
      </c>
      <c r="F452" s="269" t="s">
        <v>536</v>
      </c>
      <c r="G452" s="269" t="s">
        <v>537</v>
      </c>
      <c r="H452" s="269" t="s">
        <v>20</v>
      </c>
      <c r="I452" s="269" t="s">
        <v>583</v>
      </c>
      <c r="J452" s="269">
        <v>100</v>
      </c>
      <c r="K452" s="269" t="s">
        <v>584</v>
      </c>
      <c r="L452" s="269" t="s">
        <v>649</v>
      </c>
      <c r="M452" s="274">
        <v>0</v>
      </c>
      <c r="N452" s="468">
        <f t="shared" si="6"/>
        <v>0</v>
      </c>
      <c r="O452" s="274">
        <v>0</v>
      </c>
      <c r="P452" s="553" t="s">
        <v>1722</v>
      </c>
      <c r="Q452" s="469" t="s">
        <v>1900</v>
      </c>
    </row>
    <row r="453" spans="1:17" hidden="1" x14ac:dyDescent="0.2">
      <c r="A453" s="269" t="s">
        <v>277</v>
      </c>
      <c r="B453" s="269" t="s">
        <v>277</v>
      </c>
      <c r="C453" s="269">
        <v>2019</v>
      </c>
      <c r="D453" s="269" t="s">
        <v>540</v>
      </c>
      <c r="E453" s="269" t="s">
        <v>535</v>
      </c>
      <c r="F453" s="269" t="s">
        <v>536</v>
      </c>
      <c r="G453" s="269" t="s">
        <v>537</v>
      </c>
      <c r="H453" s="269" t="s">
        <v>587</v>
      </c>
      <c r="I453" s="269" t="s">
        <v>583</v>
      </c>
      <c r="J453" s="269">
        <v>0</v>
      </c>
      <c r="K453" s="269" t="s">
        <v>584</v>
      </c>
      <c r="L453" s="269" t="s">
        <v>592</v>
      </c>
      <c r="M453" s="274">
        <v>0</v>
      </c>
      <c r="N453" s="468" t="s">
        <v>332</v>
      </c>
      <c r="O453" s="274">
        <v>0</v>
      </c>
      <c r="P453" s="553" t="s">
        <v>1726</v>
      </c>
      <c r="Q453" s="469"/>
    </row>
    <row r="454" spans="1:17" hidden="1" x14ac:dyDescent="0.2">
      <c r="A454" s="269" t="s">
        <v>277</v>
      </c>
      <c r="B454" s="269" t="s">
        <v>277</v>
      </c>
      <c r="C454" s="269">
        <v>2019</v>
      </c>
      <c r="D454" s="269" t="s">
        <v>540</v>
      </c>
      <c r="E454" s="269" t="s">
        <v>535</v>
      </c>
      <c r="F454" s="269" t="s">
        <v>536</v>
      </c>
      <c r="G454" s="269" t="s">
        <v>537</v>
      </c>
      <c r="H454" s="269" t="s">
        <v>588</v>
      </c>
      <c r="I454" s="269" t="s">
        <v>583</v>
      </c>
      <c r="J454" s="269">
        <v>0</v>
      </c>
      <c r="K454" s="269" t="s">
        <v>584</v>
      </c>
      <c r="L454" s="269" t="s">
        <v>592</v>
      </c>
      <c r="M454" s="274">
        <v>0</v>
      </c>
      <c r="N454" s="468" t="s">
        <v>332</v>
      </c>
      <c r="O454" s="274">
        <v>0</v>
      </c>
      <c r="P454" s="553" t="s">
        <v>1726</v>
      </c>
      <c r="Q454" s="469"/>
    </row>
    <row r="455" spans="1:17" hidden="1" x14ac:dyDescent="0.2">
      <c r="A455" s="269" t="s">
        <v>277</v>
      </c>
      <c r="B455" s="269" t="s">
        <v>277</v>
      </c>
      <c r="C455" s="269">
        <v>2019</v>
      </c>
      <c r="D455" s="269" t="s">
        <v>540</v>
      </c>
      <c r="E455" s="269" t="s">
        <v>535</v>
      </c>
      <c r="F455" s="269" t="s">
        <v>536</v>
      </c>
      <c r="G455" s="269" t="s">
        <v>537</v>
      </c>
      <c r="H455" s="269" t="s">
        <v>42</v>
      </c>
      <c r="I455" s="269" t="s">
        <v>589</v>
      </c>
      <c r="J455" s="269">
        <v>0</v>
      </c>
      <c r="K455" s="269" t="s">
        <v>584</v>
      </c>
      <c r="L455" s="269" t="s">
        <v>606</v>
      </c>
      <c r="M455" s="274">
        <v>0</v>
      </c>
      <c r="N455" s="468" t="s">
        <v>332</v>
      </c>
      <c r="O455" s="274">
        <v>0</v>
      </c>
      <c r="P455" s="553" t="s">
        <v>1726</v>
      </c>
      <c r="Q455" s="469"/>
    </row>
    <row r="456" spans="1:17" x14ac:dyDescent="0.2">
      <c r="A456" s="269" t="s">
        <v>277</v>
      </c>
      <c r="B456" s="269" t="s">
        <v>277</v>
      </c>
      <c r="C456" s="269">
        <v>2019</v>
      </c>
      <c r="D456" s="269" t="s">
        <v>540</v>
      </c>
      <c r="E456" s="269" t="s">
        <v>535</v>
      </c>
      <c r="F456" s="269" t="s">
        <v>536</v>
      </c>
      <c r="G456" s="269" t="s">
        <v>537</v>
      </c>
      <c r="H456" s="269" t="s">
        <v>19</v>
      </c>
      <c r="I456" s="269" t="s">
        <v>589</v>
      </c>
      <c r="J456" s="269">
        <v>0</v>
      </c>
      <c r="K456" s="269" t="s">
        <v>584</v>
      </c>
      <c r="L456" s="269" t="s">
        <v>592</v>
      </c>
      <c r="M456" s="274">
        <v>0</v>
      </c>
      <c r="N456" s="468" t="s">
        <v>332</v>
      </c>
      <c r="O456" s="274">
        <v>0</v>
      </c>
      <c r="P456" s="553" t="s">
        <v>1726</v>
      </c>
      <c r="Q456" s="469"/>
    </row>
    <row r="457" spans="1:17" x14ac:dyDescent="0.2">
      <c r="A457" s="269" t="s">
        <v>277</v>
      </c>
      <c r="B457" s="269" t="s">
        <v>277</v>
      </c>
      <c r="C457" s="269">
        <v>2019</v>
      </c>
      <c r="D457" s="269" t="s">
        <v>540</v>
      </c>
      <c r="E457" s="269" t="s">
        <v>535</v>
      </c>
      <c r="F457" s="269" t="s">
        <v>536</v>
      </c>
      <c r="G457" s="269" t="s">
        <v>537</v>
      </c>
      <c r="H457" s="269" t="s">
        <v>20</v>
      </c>
      <c r="I457" s="269" t="s">
        <v>589</v>
      </c>
      <c r="J457" s="269">
        <v>0</v>
      </c>
      <c r="K457" s="269" t="s">
        <v>584</v>
      </c>
      <c r="L457" s="269" t="s">
        <v>606</v>
      </c>
      <c r="M457" s="274">
        <v>0</v>
      </c>
      <c r="N457" s="468" t="s">
        <v>332</v>
      </c>
      <c r="O457" s="274">
        <v>0</v>
      </c>
      <c r="P457" s="553" t="s">
        <v>1726</v>
      </c>
      <c r="Q457" s="469"/>
    </row>
    <row r="458" spans="1:17" x14ac:dyDescent="0.2">
      <c r="A458" s="269" t="s">
        <v>277</v>
      </c>
      <c r="B458" s="269" t="s">
        <v>277</v>
      </c>
      <c r="C458" s="269">
        <v>2019</v>
      </c>
      <c r="D458" s="269" t="s">
        <v>540</v>
      </c>
      <c r="E458" s="269" t="s">
        <v>535</v>
      </c>
      <c r="F458" s="269" t="s">
        <v>536</v>
      </c>
      <c r="G458" s="269" t="s">
        <v>537</v>
      </c>
      <c r="H458" s="269" t="s">
        <v>587</v>
      </c>
      <c r="I458" s="269" t="s">
        <v>589</v>
      </c>
      <c r="J458" s="269">
        <v>0</v>
      </c>
      <c r="K458" s="269" t="s">
        <v>584</v>
      </c>
      <c r="L458" s="269" t="s">
        <v>592</v>
      </c>
      <c r="M458" s="274">
        <v>0</v>
      </c>
      <c r="N458" s="468" t="s">
        <v>332</v>
      </c>
      <c r="O458" s="274">
        <v>0</v>
      </c>
      <c r="P458" s="553" t="s">
        <v>1726</v>
      </c>
      <c r="Q458" s="469"/>
    </row>
    <row r="459" spans="1:17" x14ac:dyDescent="0.2">
      <c r="A459" s="269" t="s">
        <v>277</v>
      </c>
      <c r="B459" s="269" t="s">
        <v>277</v>
      </c>
      <c r="C459" s="269">
        <v>2019</v>
      </c>
      <c r="D459" s="269" t="s">
        <v>540</v>
      </c>
      <c r="E459" s="269" t="s">
        <v>535</v>
      </c>
      <c r="F459" s="269" t="s">
        <v>536</v>
      </c>
      <c r="G459" s="269" t="s">
        <v>537</v>
      </c>
      <c r="H459" s="269" t="s">
        <v>588</v>
      </c>
      <c r="I459" s="269" t="s">
        <v>589</v>
      </c>
      <c r="J459" s="269">
        <v>0</v>
      </c>
      <c r="K459" s="269" t="s">
        <v>584</v>
      </c>
      <c r="L459" s="269" t="s">
        <v>592</v>
      </c>
      <c r="M459" s="274">
        <v>0</v>
      </c>
      <c r="N459" s="468" t="s">
        <v>332</v>
      </c>
      <c r="O459" s="274">
        <v>0</v>
      </c>
      <c r="P459" s="553" t="s">
        <v>1726</v>
      </c>
      <c r="Q459" s="469"/>
    </row>
    <row r="460" spans="1:17" hidden="1" x14ac:dyDescent="0.2">
      <c r="A460" s="269" t="s">
        <v>277</v>
      </c>
      <c r="B460" s="269" t="s">
        <v>650</v>
      </c>
      <c r="C460" s="269">
        <v>2019</v>
      </c>
      <c r="D460" s="269" t="s">
        <v>337</v>
      </c>
      <c r="E460" s="269" t="s">
        <v>391</v>
      </c>
      <c r="F460" s="269" t="s">
        <v>74</v>
      </c>
      <c r="G460" s="269" t="s">
        <v>502</v>
      </c>
      <c r="H460" s="269" t="s">
        <v>23</v>
      </c>
      <c r="I460" s="269" t="s">
        <v>589</v>
      </c>
      <c r="J460" s="269">
        <v>0</v>
      </c>
      <c r="K460" s="269" t="s">
        <v>651</v>
      </c>
      <c r="L460" s="269" t="s">
        <v>652</v>
      </c>
      <c r="M460" s="274">
        <v>0</v>
      </c>
      <c r="N460" s="468" t="s">
        <v>332</v>
      </c>
      <c r="O460" s="274">
        <v>0</v>
      </c>
      <c r="P460" s="553" t="s">
        <v>1726</v>
      </c>
      <c r="Q460" s="469"/>
    </row>
    <row r="461" spans="1:17" hidden="1" x14ac:dyDescent="0.2">
      <c r="A461" s="269" t="s">
        <v>277</v>
      </c>
      <c r="B461" s="269" t="s">
        <v>650</v>
      </c>
      <c r="C461" s="269">
        <v>2019</v>
      </c>
      <c r="D461" s="269" t="s">
        <v>342</v>
      </c>
      <c r="E461" s="269" t="s">
        <v>391</v>
      </c>
      <c r="F461" s="269" t="s">
        <v>74</v>
      </c>
      <c r="G461" s="269" t="s">
        <v>515</v>
      </c>
      <c r="H461" s="269" t="s">
        <v>23</v>
      </c>
      <c r="I461" s="269" t="s">
        <v>589</v>
      </c>
      <c r="J461" s="269">
        <v>0</v>
      </c>
      <c r="K461" s="269" t="s">
        <v>653</v>
      </c>
      <c r="L461" s="269" t="s">
        <v>652</v>
      </c>
      <c r="M461" s="274">
        <v>0</v>
      </c>
      <c r="N461" s="468" t="s">
        <v>332</v>
      </c>
      <c r="O461" s="274">
        <v>0</v>
      </c>
      <c r="P461" s="553" t="s">
        <v>1726</v>
      </c>
      <c r="Q461" s="469"/>
    </row>
    <row r="462" spans="1:17" x14ac:dyDescent="0.2">
      <c r="A462"/>
      <c r="B462"/>
      <c r="C462"/>
      <c r="D462"/>
      <c r="E462"/>
      <c r="F462"/>
      <c r="G462"/>
      <c r="H462"/>
      <c r="I462"/>
      <c r="J462"/>
      <c r="K462"/>
      <c r="L462"/>
      <c r="M462" s="3"/>
      <c r="N462" s="3"/>
      <c r="O462" s="3"/>
      <c r="Q462" s="71"/>
    </row>
    <row r="463" spans="1:17" x14ac:dyDescent="0.2">
      <c r="A463"/>
      <c r="B463"/>
      <c r="C463"/>
      <c r="D463"/>
      <c r="E463"/>
      <c r="F463"/>
      <c r="G463"/>
      <c r="H463"/>
      <c r="I463"/>
      <c r="J463"/>
      <c r="K463"/>
      <c r="L463"/>
    </row>
    <row r="464" spans="1:17" x14ac:dyDescent="0.2">
      <c r="A464"/>
      <c r="B464"/>
      <c r="C464"/>
      <c r="D464"/>
      <c r="E464"/>
      <c r="F464"/>
      <c r="G464"/>
      <c r="H464"/>
      <c r="I464"/>
      <c r="J464"/>
      <c r="K464"/>
      <c r="L464"/>
      <c r="P464" s="625"/>
    </row>
    <row r="465" spans="1:16" x14ac:dyDescent="0.2">
      <c r="A465"/>
      <c r="B465"/>
      <c r="C465"/>
      <c r="D465"/>
      <c r="E465"/>
      <c r="F465"/>
      <c r="G465"/>
      <c r="H465"/>
      <c r="I465"/>
      <c r="J465"/>
      <c r="K465"/>
      <c r="L465"/>
      <c r="P465" s="625"/>
    </row>
    <row r="466" spans="1:16" x14ac:dyDescent="0.2">
      <c r="A466"/>
      <c r="B466"/>
      <c r="C466"/>
      <c r="D466"/>
      <c r="E466"/>
      <c r="F466"/>
      <c r="G466"/>
      <c r="H466"/>
      <c r="I466"/>
      <c r="J466"/>
      <c r="K466"/>
      <c r="L466"/>
      <c r="P466" s="625"/>
    </row>
    <row r="467" spans="1:16" x14ac:dyDescent="0.2">
      <c r="A467"/>
      <c r="B467"/>
      <c r="C467"/>
      <c r="D467"/>
      <c r="E467"/>
      <c r="F467"/>
      <c r="G467"/>
      <c r="H467"/>
      <c r="I467"/>
      <c r="J467"/>
      <c r="K467"/>
      <c r="L467"/>
      <c r="P467" s="625"/>
    </row>
    <row r="468" spans="1:16" x14ac:dyDescent="0.2">
      <c r="A468"/>
      <c r="B468"/>
      <c r="C468"/>
      <c r="D468"/>
      <c r="E468"/>
      <c r="F468"/>
      <c r="G468"/>
      <c r="H468"/>
      <c r="I468"/>
      <c r="J468"/>
      <c r="K468"/>
      <c r="L468"/>
      <c r="P468" s="625"/>
    </row>
    <row r="469" spans="1:16" x14ac:dyDescent="0.2">
      <c r="A469"/>
      <c r="B469"/>
      <c r="C469"/>
      <c r="D469"/>
      <c r="E469"/>
      <c r="F469"/>
      <c r="G469"/>
      <c r="H469"/>
      <c r="I469"/>
      <c r="J469"/>
      <c r="K469"/>
      <c r="L469"/>
      <c r="P469" s="625"/>
    </row>
    <row r="470" spans="1:16" x14ac:dyDescent="0.2">
      <c r="A470"/>
      <c r="B470"/>
      <c r="C470"/>
      <c r="D470"/>
      <c r="E470"/>
      <c r="F470"/>
      <c r="G470"/>
      <c r="H470"/>
      <c r="I470"/>
      <c r="J470"/>
      <c r="K470"/>
      <c r="L470"/>
      <c r="P470" s="625"/>
    </row>
    <row r="471" spans="1:16" x14ac:dyDescent="0.2">
      <c r="A471"/>
      <c r="B471"/>
      <c r="C471"/>
      <c r="D471"/>
      <c r="E471"/>
      <c r="F471"/>
      <c r="G471"/>
      <c r="H471"/>
      <c r="I471"/>
      <c r="J471"/>
      <c r="K471"/>
      <c r="L471"/>
      <c r="P471" s="625"/>
    </row>
    <row r="472" spans="1:16" x14ac:dyDescent="0.2">
      <c r="A472"/>
      <c r="B472"/>
      <c r="C472"/>
      <c r="D472"/>
      <c r="E472"/>
      <c r="F472"/>
      <c r="G472"/>
      <c r="H472"/>
      <c r="I472"/>
      <c r="J472"/>
      <c r="K472"/>
      <c r="L472"/>
      <c r="P472" s="625"/>
    </row>
    <row r="473" spans="1:16" x14ac:dyDescent="0.2">
      <c r="A473"/>
      <c r="B473"/>
      <c r="C473"/>
      <c r="D473"/>
      <c r="E473"/>
      <c r="F473"/>
      <c r="G473"/>
      <c r="H473"/>
      <c r="I473"/>
      <c r="J473"/>
      <c r="K473"/>
      <c r="L473"/>
      <c r="P473" s="625"/>
    </row>
    <row r="474" spans="1:16" x14ac:dyDescent="0.2">
      <c r="A474"/>
      <c r="B474"/>
      <c r="C474"/>
      <c r="D474"/>
      <c r="E474"/>
      <c r="F474"/>
      <c r="G474"/>
      <c r="H474"/>
      <c r="I474"/>
      <c r="J474"/>
      <c r="K474"/>
      <c r="L474"/>
      <c r="P474" s="625"/>
    </row>
    <row r="475" spans="1:16" x14ac:dyDescent="0.2">
      <c r="A475"/>
      <c r="B475"/>
      <c r="C475"/>
      <c r="D475"/>
      <c r="E475"/>
      <c r="F475"/>
      <c r="G475"/>
      <c r="H475"/>
      <c r="I475"/>
      <c r="J475"/>
      <c r="K475"/>
      <c r="L475"/>
      <c r="P475" s="625"/>
    </row>
    <row r="476" spans="1:16" x14ac:dyDescent="0.2">
      <c r="A476"/>
      <c r="B476"/>
      <c r="C476"/>
      <c r="D476"/>
      <c r="E476"/>
      <c r="F476"/>
      <c r="G476"/>
      <c r="H476"/>
      <c r="I476"/>
      <c r="J476"/>
      <c r="K476"/>
      <c r="L476"/>
      <c r="P476" s="625"/>
    </row>
    <row r="477" spans="1:16" x14ac:dyDescent="0.2">
      <c r="A477"/>
      <c r="B477"/>
      <c r="C477"/>
      <c r="D477"/>
      <c r="E477"/>
      <c r="F477"/>
      <c r="G477"/>
      <c r="H477"/>
      <c r="I477"/>
      <c r="J477"/>
      <c r="K477"/>
      <c r="L477"/>
      <c r="P477" s="625"/>
    </row>
    <row r="478" spans="1:16" x14ac:dyDescent="0.2">
      <c r="A478"/>
      <c r="B478"/>
      <c r="C478"/>
      <c r="D478"/>
      <c r="E478"/>
      <c r="F478"/>
      <c r="G478"/>
      <c r="H478"/>
      <c r="I478"/>
      <c r="J478"/>
      <c r="K478"/>
      <c r="L478"/>
      <c r="P478" s="625"/>
    </row>
    <row r="479" spans="1:16" x14ac:dyDescent="0.2">
      <c r="A479"/>
      <c r="B479"/>
      <c r="C479"/>
      <c r="D479"/>
      <c r="E479"/>
      <c r="F479"/>
      <c r="G479"/>
      <c r="H479"/>
      <c r="I479"/>
      <c r="J479"/>
      <c r="K479"/>
      <c r="L479"/>
      <c r="P479" s="625"/>
    </row>
    <row r="480" spans="1:16" x14ac:dyDescent="0.2">
      <c r="A480"/>
      <c r="B480"/>
      <c r="C480"/>
      <c r="D480"/>
      <c r="E480"/>
      <c r="F480"/>
      <c r="G480"/>
      <c r="H480"/>
      <c r="I480"/>
      <c r="J480"/>
      <c r="K480"/>
      <c r="L480"/>
      <c r="P480" s="625"/>
    </row>
    <row r="481" spans="1:16" x14ac:dyDescent="0.2">
      <c r="A481"/>
      <c r="B481"/>
      <c r="C481"/>
      <c r="D481"/>
      <c r="E481"/>
      <c r="F481"/>
      <c r="G481"/>
      <c r="H481"/>
      <c r="I481"/>
      <c r="J481"/>
      <c r="K481"/>
      <c r="L481"/>
      <c r="P481" s="625"/>
    </row>
    <row r="482" spans="1:16" x14ac:dyDescent="0.2">
      <c r="A482"/>
      <c r="B482"/>
      <c r="C482"/>
      <c r="D482"/>
      <c r="E482"/>
      <c r="F482"/>
      <c r="G482"/>
      <c r="H482"/>
      <c r="I482"/>
      <c r="J482"/>
      <c r="K482"/>
      <c r="L482"/>
      <c r="P482" s="625"/>
    </row>
    <row r="483" spans="1:16" x14ac:dyDescent="0.2">
      <c r="A483"/>
      <c r="B483"/>
      <c r="C483"/>
      <c r="D483"/>
      <c r="E483"/>
      <c r="F483"/>
      <c r="G483"/>
      <c r="H483"/>
      <c r="I483"/>
      <c r="J483"/>
      <c r="K483"/>
      <c r="L483"/>
      <c r="P483" s="625"/>
    </row>
    <row r="484" spans="1:16" x14ac:dyDescent="0.2">
      <c r="A484"/>
      <c r="B484"/>
      <c r="C484"/>
      <c r="D484"/>
      <c r="E484"/>
      <c r="F484"/>
      <c r="G484"/>
      <c r="H484"/>
      <c r="I484"/>
      <c r="J484"/>
      <c r="K484"/>
      <c r="L484"/>
      <c r="P484" s="625"/>
    </row>
    <row r="485" spans="1:16" x14ac:dyDescent="0.2">
      <c r="A485"/>
      <c r="B485"/>
      <c r="C485"/>
      <c r="D485"/>
      <c r="E485"/>
      <c r="F485"/>
      <c r="G485"/>
      <c r="H485"/>
      <c r="I485"/>
      <c r="J485"/>
      <c r="K485"/>
      <c r="L485"/>
      <c r="P485" s="625"/>
    </row>
    <row r="486" spans="1:16" x14ac:dyDescent="0.2">
      <c r="A486"/>
      <c r="B486"/>
      <c r="C486"/>
      <c r="D486"/>
      <c r="E486"/>
      <c r="F486"/>
      <c r="G486"/>
      <c r="H486"/>
      <c r="I486"/>
      <c r="J486"/>
      <c r="K486"/>
      <c r="L486"/>
      <c r="P486" s="625"/>
    </row>
    <row r="487" spans="1:16" x14ac:dyDescent="0.2">
      <c r="A487"/>
      <c r="B487"/>
      <c r="C487"/>
      <c r="D487"/>
      <c r="E487"/>
      <c r="F487"/>
      <c r="G487"/>
      <c r="H487"/>
      <c r="I487"/>
      <c r="J487"/>
      <c r="K487"/>
      <c r="L487"/>
      <c r="P487" s="625"/>
    </row>
    <row r="488" spans="1:16" x14ac:dyDescent="0.2">
      <c r="A488"/>
      <c r="B488"/>
      <c r="C488"/>
      <c r="D488"/>
      <c r="E488"/>
      <c r="F488"/>
      <c r="G488"/>
      <c r="H488"/>
      <c r="I488"/>
      <c r="J488"/>
      <c r="K488"/>
      <c r="L488"/>
      <c r="P488" s="625"/>
    </row>
    <row r="489" spans="1:16" x14ac:dyDescent="0.2">
      <c r="A489"/>
      <c r="B489"/>
      <c r="C489"/>
      <c r="D489"/>
      <c r="E489"/>
      <c r="F489"/>
      <c r="G489"/>
      <c r="H489"/>
      <c r="I489"/>
      <c r="J489"/>
      <c r="K489"/>
      <c r="L489"/>
      <c r="P489" s="625"/>
    </row>
    <row r="490" spans="1:16" x14ac:dyDescent="0.2">
      <c r="A490"/>
      <c r="B490"/>
      <c r="C490"/>
      <c r="D490"/>
      <c r="E490"/>
      <c r="F490"/>
      <c r="G490"/>
      <c r="H490"/>
      <c r="I490"/>
      <c r="J490"/>
      <c r="K490"/>
      <c r="L490"/>
      <c r="P490" s="625"/>
    </row>
    <row r="491" spans="1:16" x14ac:dyDescent="0.2">
      <c r="A491"/>
      <c r="B491"/>
      <c r="C491"/>
      <c r="D491"/>
      <c r="E491"/>
      <c r="F491"/>
      <c r="G491"/>
      <c r="H491"/>
      <c r="I491"/>
      <c r="J491"/>
      <c r="K491"/>
      <c r="L491"/>
      <c r="P491" s="625"/>
    </row>
    <row r="492" spans="1:16" x14ac:dyDescent="0.2">
      <c r="A492"/>
      <c r="B492"/>
      <c r="C492"/>
      <c r="D492"/>
      <c r="E492"/>
      <c r="F492"/>
      <c r="G492"/>
      <c r="H492"/>
      <c r="I492"/>
      <c r="J492"/>
      <c r="K492"/>
      <c r="L492"/>
      <c r="P492" s="625"/>
    </row>
    <row r="493" spans="1:16" x14ac:dyDescent="0.2">
      <c r="A493"/>
      <c r="B493"/>
      <c r="C493"/>
      <c r="D493"/>
      <c r="E493"/>
      <c r="F493"/>
      <c r="G493"/>
      <c r="H493"/>
      <c r="I493"/>
      <c r="J493"/>
      <c r="K493"/>
      <c r="L493"/>
      <c r="P493" s="625"/>
    </row>
    <row r="494" spans="1:16" x14ac:dyDescent="0.2">
      <c r="A494"/>
      <c r="B494"/>
      <c r="C494"/>
      <c r="D494"/>
      <c r="E494"/>
      <c r="F494"/>
      <c r="G494"/>
      <c r="H494"/>
      <c r="I494"/>
      <c r="J494"/>
      <c r="K494"/>
      <c r="L494"/>
      <c r="P494" s="625"/>
    </row>
    <row r="495" spans="1:16" x14ac:dyDescent="0.2">
      <c r="A495"/>
      <c r="B495"/>
      <c r="C495"/>
      <c r="D495"/>
      <c r="E495"/>
      <c r="F495"/>
      <c r="G495"/>
      <c r="H495"/>
      <c r="I495"/>
      <c r="J495"/>
      <c r="K495"/>
      <c r="L495"/>
      <c r="P495" s="625"/>
    </row>
    <row r="496" spans="1:16" x14ac:dyDescent="0.2">
      <c r="A496"/>
      <c r="B496"/>
      <c r="C496"/>
      <c r="D496"/>
      <c r="E496"/>
      <c r="F496"/>
      <c r="G496"/>
      <c r="H496"/>
      <c r="I496"/>
      <c r="J496"/>
      <c r="K496"/>
      <c r="L496"/>
      <c r="P496" s="625"/>
    </row>
    <row r="497" spans="1:16" x14ac:dyDescent="0.2">
      <c r="A497"/>
      <c r="B497"/>
      <c r="C497"/>
      <c r="D497"/>
      <c r="E497"/>
      <c r="F497"/>
      <c r="G497"/>
      <c r="H497"/>
      <c r="I497"/>
      <c r="J497"/>
      <c r="K497"/>
      <c r="L497"/>
      <c r="P497" s="625"/>
    </row>
    <row r="498" spans="1:16" x14ac:dyDescent="0.2">
      <c r="A498"/>
      <c r="B498"/>
      <c r="C498"/>
      <c r="D498"/>
      <c r="E498"/>
      <c r="F498"/>
      <c r="G498"/>
      <c r="H498"/>
      <c r="I498"/>
      <c r="J498"/>
      <c r="K498"/>
      <c r="L498"/>
      <c r="P498" s="625"/>
    </row>
    <row r="499" spans="1:16" x14ac:dyDescent="0.2">
      <c r="A499"/>
      <c r="B499"/>
      <c r="C499"/>
      <c r="D499"/>
      <c r="E499"/>
      <c r="F499"/>
      <c r="G499"/>
      <c r="H499"/>
      <c r="I499"/>
      <c r="J499"/>
      <c r="K499"/>
      <c r="L499"/>
      <c r="P499" s="625"/>
    </row>
    <row r="500" spans="1:16" x14ac:dyDescent="0.2">
      <c r="A500"/>
      <c r="B500"/>
      <c r="C500"/>
      <c r="D500"/>
      <c r="E500"/>
      <c r="F500"/>
      <c r="G500"/>
      <c r="H500"/>
      <c r="I500"/>
      <c r="J500"/>
      <c r="K500"/>
      <c r="L500"/>
      <c r="P500" s="625"/>
    </row>
    <row r="501" spans="1:16" x14ac:dyDescent="0.2">
      <c r="A501"/>
      <c r="B501"/>
      <c r="C501"/>
      <c r="D501"/>
      <c r="E501"/>
      <c r="F501"/>
      <c r="G501"/>
      <c r="H501"/>
      <c r="I501"/>
      <c r="J501"/>
      <c r="K501"/>
      <c r="L501"/>
      <c r="P501" s="625"/>
    </row>
    <row r="502" spans="1:16" x14ac:dyDescent="0.2">
      <c r="A502"/>
      <c r="B502"/>
      <c r="C502"/>
      <c r="D502"/>
      <c r="E502"/>
      <c r="F502"/>
      <c r="G502"/>
      <c r="H502"/>
      <c r="I502"/>
      <c r="J502"/>
      <c r="K502"/>
      <c r="L502"/>
      <c r="P502" s="625"/>
    </row>
    <row r="503" spans="1:16" x14ac:dyDescent="0.2">
      <c r="A503"/>
      <c r="B503"/>
      <c r="C503"/>
      <c r="D503"/>
      <c r="E503"/>
      <c r="F503"/>
      <c r="G503"/>
      <c r="H503"/>
      <c r="I503"/>
      <c r="J503"/>
      <c r="K503"/>
      <c r="L503"/>
      <c r="P503" s="625"/>
    </row>
    <row r="504" spans="1:16" x14ac:dyDescent="0.2">
      <c r="A504"/>
      <c r="B504"/>
      <c r="C504"/>
      <c r="D504"/>
      <c r="E504"/>
      <c r="F504"/>
      <c r="G504"/>
      <c r="H504"/>
      <c r="I504"/>
      <c r="J504"/>
      <c r="K504"/>
      <c r="L504"/>
      <c r="P504" s="625"/>
    </row>
    <row r="505" spans="1:16" x14ac:dyDescent="0.2">
      <c r="A505"/>
      <c r="B505"/>
      <c r="C505"/>
      <c r="D505"/>
      <c r="E505"/>
      <c r="F505"/>
      <c r="G505"/>
      <c r="H505"/>
      <c r="I505"/>
      <c r="J505"/>
      <c r="K505"/>
      <c r="L505"/>
      <c r="P505" s="625"/>
    </row>
    <row r="506" spans="1:16" x14ac:dyDescent="0.2">
      <c r="A506"/>
      <c r="B506"/>
      <c r="C506"/>
      <c r="D506"/>
      <c r="E506"/>
      <c r="F506"/>
      <c r="G506"/>
      <c r="H506"/>
      <c r="I506"/>
      <c r="J506"/>
      <c r="K506"/>
      <c r="L506"/>
      <c r="P506" s="625"/>
    </row>
    <row r="507" spans="1:16" x14ac:dyDescent="0.2">
      <c r="A507"/>
      <c r="B507"/>
      <c r="C507"/>
      <c r="D507"/>
      <c r="E507"/>
      <c r="F507"/>
      <c r="G507"/>
      <c r="H507"/>
      <c r="I507"/>
      <c r="J507"/>
      <c r="K507"/>
      <c r="L507"/>
      <c r="P507" s="625"/>
    </row>
    <row r="508" spans="1:16" x14ac:dyDescent="0.2">
      <c r="A508"/>
      <c r="B508"/>
      <c r="C508"/>
      <c r="D508"/>
      <c r="E508"/>
      <c r="F508"/>
      <c r="G508"/>
      <c r="H508"/>
      <c r="I508"/>
      <c r="J508"/>
      <c r="K508"/>
      <c r="L508"/>
      <c r="P508" s="625"/>
    </row>
    <row r="509" spans="1:16" x14ac:dyDescent="0.2">
      <c r="A509"/>
      <c r="B509"/>
      <c r="C509"/>
      <c r="D509"/>
      <c r="E509"/>
      <c r="F509"/>
      <c r="G509"/>
      <c r="H509"/>
      <c r="I509"/>
      <c r="J509"/>
      <c r="K509"/>
      <c r="L509"/>
      <c r="P509" s="625"/>
    </row>
    <row r="510" spans="1:16" x14ac:dyDescent="0.2">
      <c r="A510"/>
      <c r="B510"/>
      <c r="C510"/>
      <c r="D510"/>
      <c r="E510"/>
      <c r="F510"/>
      <c r="G510"/>
      <c r="H510"/>
      <c r="I510"/>
      <c r="J510"/>
      <c r="K510"/>
      <c r="L510"/>
      <c r="P510" s="625"/>
    </row>
    <row r="511" spans="1:16" x14ac:dyDescent="0.2">
      <c r="A511"/>
      <c r="B511"/>
      <c r="C511"/>
      <c r="D511"/>
      <c r="E511"/>
      <c r="F511"/>
      <c r="G511"/>
      <c r="H511"/>
      <c r="I511"/>
      <c r="J511"/>
      <c r="K511"/>
      <c r="L511"/>
      <c r="P511" s="625"/>
    </row>
    <row r="512" spans="1:16" x14ac:dyDescent="0.2">
      <c r="A512"/>
      <c r="B512"/>
      <c r="C512"/>
      <c r="D512"/>
      <c r="E512"/>
      <c r="F512"/>
      <c r="G512"/>
      <c r="H512"/>
      <c r="I512"/>
      <c r="J512"/>
      <c r="K512"/>
      <c r="L512"/>
      <c r="P512" s="625"/>
    </row>
    <row r="513" spans="1:16" x14ac:dyDescent="0.2">
      <c r="A513"/>
      <c r="B513"/>
      <c r="C513"/>
      <c r="D513"/>
      <c r="E513"/>
      <c r="F513"/>
      <c r="G513"/>
      <c r="H513"/>
      <c r="I513"/>
      <c r="J513"/>
      <c r="K513"/>
      <c r="L513"/>
      <c r="P513" s="625"/>
    </row>
    <row r="514" spans="1:16" x14ac:dyDescent="0.2">
      <c r="A514"/>
      <c r="B514"/>
      <c r="C514"/>
      <c r="D514"/>
      <c r="E514"/>
      <c r="F514"/>
      <c r="G514"/>
      <c r="H514"/>
      <c r="I514"/>
      <c r="J514"/>
      <c r="K514"/>
      <c r="L514"/>
      <c r="P514" s="625"/>
    </row>
    <row r="515" spans="1:16" x14ac:dyDescent="0.2">
      <c r="A515"/>
      <c r="B515"/>
      <c r="C515"/>
      <c r="D515"/>
      <c r="E515"/>
      <c r="F515"/>
      <c r="G515"/>
      <c r="H515"/>
      <c r="I515"/>
      <c r="J515"/>
      <c r="K515"/>
      <c r="L515"/>
      <c r="P515" s="625"/>
    </row>
    <row r="516" spans="1:16" x14ac:dyDescent="0.2">
      <c r="A516"/>
      <c r="B516"/>
      <c r="C516"/>
      <c r="D516"/>
      <c r="E516"/>
      <c r="F516"/>
      <c r="G516"/>
      <c r="H516"/>
      <c r="I516"/>
      <c r="J516"/>
      <c r="K516"/>
      <c r="L516"/>
      <c r="P516" s="625"/>
    </row>
    <row r="517" spans="1:16" x14ac:dyDescent="0.2">
      <c r="A517"/>
      <c r="B517"/>
      <c r="C517"/>
      <c r="D517"/>
      <c r="E517"/>
      <c r="F517"/>
      <c r="G517"/>
      <c r="H517"/>
      <c r="I517"/>
      <c r="J517"/>
      <c r="K517"/>
      <c r="L517"/>
      <c r="P517" s="625"/>
    </row>
    <row r="518" spans="1:16" x14ac:dyDescent="0.2">
      <c r="A518"/>
      <c r="B518"/>
      <c r="C518"/>
      <c r="D518"/>
      <c r="E518"/>
      <c r="F518"/>
      <c r="G518"/>
      <c r="H518"/>
      <c r="I518"/>
      <c r="J518"/>
      <c r="K518"/>
      <c r="L518"/>
      <c r="P518" s="625"/>
    </row>
    <row r="519" spans="1:16" x14ac:dyDescent="0.2">
      <c r="A519"/>
      <c r="B519"/>
      <c r="C519"/>
      <c r="D519"/>
      <c r="E519"/>
      <c r="F519"/>
      <c r="G519"/>
      <c r="H519"/>
      <c r="I519"/>
      <c r="J519"/>
      <c r="K519"/>
      <c r="L519"/>
      <c r="P519" s="625"/>
    </row>
    <row r="520" spans="1:16" x14ac:dyDescent="0.2">
      <c r="A520"/>
      <c r="B520"/>
      <c r="C520"/>
      <c r="D520"/>
      <c r="E520"/>
      <c r="F520"/>
      <c r="G520"/>
      <c r="H520"/>
      <c r="I520"/>
      <c r="J520"/>
      <c r="K520"/>
      <c r="L520"/>
      <c r="P520" s="625"/>
    </row>
    <row r="521" spans="1:16" x14ac:dyDescent="0.2">
      <c r="A521"/>
      <c r="B521"/>
      <c r="C521"/>
      <c r="D521"/>
      <c r="E521"/>
      <c r="F521"/>
      <c r="G521"/>
      <c r="H521"/>
      <c r="I521"/>
      <c r="J521"/>
      <c r="K521"/>
      <c r="L521"/>
      <c r="P521" s="625"/>
    </row>
    <row r="522" spans="1:16" x14ac:dyDescent="0.2">
      <c r="A522"/>
      <c r="B522"/>
      <c r="C522"/>
      <c r="D522"/>
      <c r="E522"/>
      <c r="F522"/>
      <c r="G522"/>
      <c r="H522"/>
      <c r="I522"/>
      <c r="J522"/>
      <c r="K522"/>
      <c r="L522"/>
      <c r="P522" s="625"/>
    </row>
    <row r="523" spans="1:16" x14ac:dyDescent="0.2">
      <c r="A523"/>
      <c r="B523"/>
      <c r="C523"/>
      <c r="D523"/>
      <c r="E523"/>
      <c r="F523"/>
      <c r="G523"/>
      <c r="H523"/>
      <c r="I523"/>
      <c r="J523"/>
      <c r="K523"/>
      <c r="L523"/>
      <c r="P523" s="625"/>
    </row>
    <row r="524" spans="1:16" x14ac:dyDescent="0.2">
      <c r="A524"/>
      <c r="B524"/>
      <c r="C524"/>
      <c r="D524"/>
      <c r="E524"/>
      <c r="F524"/>
      <c r="G524"/>
      <c r="H524"/>
      <c r="I524"/>
      <c r="J524"/>
      <c r="K524"/>
      <c r="L524"/>
      <c r="P524" s="625"/>
    </row>
    <row r="525" spans="1:16" x14ac:dyDescent="0.2">
      <c r="A525"/>
      <c r="B525"/>
      <c r="C525"/>
      <c r="D525"/>
      <c r="E525"/>
      <c r="F525"/>
      <c r="G525"/>
      <c r="H525"/>
      <c r="I525"/>
      <c r="J525"/>
      <c r="K525"/>
      <c r="L525"/>
      <c r="P525" s="625"/>
    </row>
    <row r="526" spans="1:16" x14ac:dyDescent="0.2">
      <c r="A526"/>
      <c r="B526"/>
      <c r="C526"/>
      <c r="D526"/>
      <c r="E526"/>
      <c r="F526"/>
      <c r="G526"/>
      <c r="H526"/>
      <c r="I526"/>
      <c r="J526"/>
      <c r="K526"/>
      <c r="L526"/>
      <c r="P526" s="625"/>
    </row>
    <row r="527" spans="1:16" x14ac:dyDescent="0.2">
      <c r="A527"/>
      <c r="B527"/>
      <c r="C527"/>
      <c r="D527"/>
      <c r="E527"/>
      <c r="F527"/>
      <c r="G527"/>
      <c r="H527"/>
      <c r="I527"/>
      <c r="J527"/>
      <c r="K527"/>
      <c r="L527"/>
      <c r="P527" s="625"/>
    </row>
    <row r="528" spans="1:16" x14ac:dyDescent="0.2">
      <c r="A528"/>
      <c r="B528"/>
      <c r="C528"/>
      <c r="D528"/>
      <c r="E528"/>
      <c r="F528"/>
      <c r="G528"/>
      <c r="H528"/>
      <c r="I528"/>
      <c r="J528"/>
      <c r="K528"/>
      <c r="L528"/>
      <c r="P528" s="625"/>
    </row>
    <row r="529" spans="1:16" x14ac:dyDescent="0.2">
      <c r="A529"/>
      <c r="B529"/>
      <c r="C529"/>
      <c r="D529"/>
      <c r="E529"/>
      <c r="F529"/>
      <c r="G529"/>
      <c r="H529"/>
      <c r="I529"/>
      <c r="J529"/>
      <c r="K529"/>
      <c r="L529"/>
      <c r="P529" s="625"/>
    </row>
    <row r="530" spans="1:16" x14ac:dyDescent="0.2">
      <c r="A530"/>
      <c r="B530"/>
      <c r="C530"/>
      <c r="D530"/>
      <c r="E530"/>
      <c r="F530"/>
      <c r="G530"/>
      <c r="H530"/>
      <c r="I530"/>
      <c r="J530"/>
      <c r="K530"/>
      <c r="L530"/>
      <c r="P530" s="625"/>
    </row>
    <row r="531" spans="1:16" x14ac:dyDescent="0.2">
      <c r="A531"/>
      <c r="B531"/>
      <c r="C531"/>
      <c r="D531"/>
      <c r="E531"/>
      <c r="F531"/>
      <c r="G531"/>
      <c r="H531"/>
      <c r="I531"/>
      <c r="J531"/>
      <c r="K531"/>
      <c r="L531"/>
      <c r="P531" s="625"/>
    </row>
    <row r="532" spans="1:16" x14ac:dyDescent="0.2">
      <c r="A532"/>
      <c r="B532"/>
      <c r="C532"/>
      <c r="D532"/>
      <c r="E532"/>
      <c r="F532"/>
      <c r="G532"/>
      <c r="H532"/>
      <c r="I532"/>
      <c r="J532"/>
      <c r="K532"/>
      <c r="L532"/>
      <c r="P532" s="625"/>
    </row>
    <row r="533" spans="1:16" x14ac:dyDescent="0.2">
      <c r="A533"/>
      <c r="B533"/>
      <c r="C533"/>
      <c r="D533"/>
      <c r="E533"/>
      <c r="F533"/>
      <c r="G533"/>
      <c r="H533"/>
      <c r="I533"/>
      <c r="J533"/>
      <c r="K533"/>
      <c r="L533"/>
      <c r="P533" s="625"/>
    </row>
    <row r="534" spans="1:16" x14ac:dyDescent="0.2">
      <c r="A534"/>
      <c r="B534"/>
      <c r="C534"/>
      <c r="D534"/>
      <c r="E534"/>
      <c r="F534"/>
      <c r="G534"/>
      <c r="H534"/>
      <c r="I534"/>
      <c r="J534"/>
      <c r="K534"/>
      <c r="L534"/>
      <c r="P534" s="625"/>
    </row>
    <row r="535" spans="1:16" x14ac:dyDescent="0.2">
      <c r="A535"/>
      <c r="B535"/>
      <c r="C535"/>
      <c r="D535"/>
      <c r="E535"/>
      <c r="F535"/>
      <c r="G535"/>
      <c r="H535"/>
      <c r="I535"/>
      <c r="J535"/>
      <c r="K535"/>
      <c r="L535"/>
      <c r="P535" s="625"/>
    </row>
    <row r="536" spans="1:16" x14ac:dyDescent="0.2">
      <c r="A536"/>
      <c r="B536"/>
      <c r="C536"/>
      <c r="D536"/>
      <c r="E536"/>
      <c r="F536"/>
      <c r="G536"/>
      <c r="H536"/>
      <c r="I536"/>
      <c r="J536"/>
      <c r="K536"/>
      <c r="L536"/>
      <c r="P536" s="625"/>
    </row>
    <row r="537" spans="1:16" x14ac:dyDescent="0.2">
      <c r="A537"/>
      <c r="B537"/>
      <c r="C537"/>
      <c r="D537"/>
      <c r="E537"/>
      <c r="F537"/>
      <c r="G537"/>
      <c r="H537"/>
      <c r="I537"/>
      <c r="J537"/>
      <c r="K537"/>
      <c r="L537"/>
      <c r="P537" s="625"/>
    </row>
    <row r="538" spans="1:16" x14ac:dyDescent="0.2">
      <c r="A538"/>
      <c r="B538"/>
      <c r="C538"/>
      <c r="D538"/>
      <c r="E538"/>
      <c r="F538"/>
      <c r="G538"/>
      <c r="H538"/>
      <c r="I538"/>
      <c r="J538"/>
      <c r="K538"/>
      <c r="L538"/>
      <c r="P538" s="625"/>
    </row>
    <row r="539" spans="1:16" x14ac:dyDescent="0.2">
      <c r="A539"/>
      <c r="B539"/>
      <c r="C539"/>
      <c r="D539"/>
      <c r="E539"/>
      <c r="F539"/>
      <c r="G539"/>
      <c r="H539"/>
      <c r="I539"/>
      <c r="J539"/>
      <c r="K539"/>
      <c r="L539"/>
      <c r="P539" s="625"/>
    </row>
    <row r="540" spans="1:16" x14ac:dyDescent="0.2">
      <c r="A540"/>
      <c r="B540"/>
      <c r="C540"/>
      <c r="D540"/>
      <c r="E540"/>
      <c r="F540"/>
      <c r="G540"/>
      <c r="H540"/>
      <c r="I540"/>
      <c r="J540"/>
      <c r="K540"/>
      <c r="L540"/>
      <c r="P540" s="625"/>
    </row>
    <row r="541" spans="1:16" x14ac:dyDescent="0.2">
      <c r="A541"/>
      <c r="B541"/>
      <c r="C541"/>
      <c r="D541"/>
      <c r="E541"/>
      <c r="F541"/>
      <c r="G541"/>
      <c r="H541"/>
      <c r="I541"/>
      <c r="J541"/>
      <c r="K541"/>
      <c r="L541"/>
      <c r="P541" s="625"/>
    </row>
    <row r="542" spans="1:16" x14ac:dyDescent="0.2">
      <c r="A542"/>
      <c r="B542"/>
      <c r="C542"/>
      <c r="D542"/>
      <c r="E542"/>
      <c r="F542"/>
      <c r="G542"/>
      <c r="H542"/>
      <c r="I542"/>
      <c r="J542"/>
      <c r="K542"/>
      <c r="L542"/>
      <c r="P542" s="625"/>
    </row>
    <row r="543" spans="1:16" x14ac:dyDescent="0.2">
      <c r="A543"/>
      <c r="B543"/>
      <c r="C543"/>
      <c r="D543"/>
      <c r="E543"/>
      <c r="F543"/>
      <c r="G543"/>
      <c r="H543"/>
      <c r="I543"/>
      <c r="J543"/>
      <c r="K543"/>
      <c r="L543"/>
      <c r="P543" s="625"/>
    </row>
    <row r="544" spans="1:16" x14ac:dyDescent="0.2">
      <c r="A544"/>
      <c r="B544"/>
      <c r="C544"/>
      <c r="D544"/>
      <c r="E544"/>
      <c r="F544"/>
      <c r="G544"/>
      <c r="H544"/>
      <c r="I544"/>
      <c r="J544"/>
      <c r="K544"/>
      <c r="L544"/>
      <c r="P544" s="625"/>
    </row>
    <row r="545" spans="1:16" x14ac:dyDescent="0.2">
      <c r="A545"/>
      <c r="B545"/>
      <c r="C545"/>
      <c r="D545"/>
      <c r="E545"/>
      <c r="F545"/>
      <c r="G545"/>
      <c r="H545"/>
      <c r="I545"/>
      <c r="J545"/>
      <c r="K545"/>
      <c r="L545"/>
      <c r="P545" s="625"/>
    </row>
    <row r="546" spans="1:16" x14ac:dyDescent="0.2">
      <c r="A546"/>
      <c r="B546"/>
      <c r="C546"/>
      <c r="D546"/>
      <c r="E546"/>
      <c r="F546"/>
      <c r="G546"/>
      <c r="H546"/>
      <c r="I546"/>
      <c r="J546"/>
      <c r="K546"/>
      <c r="L546"/>
      <c r="P546" s="625"/>
    </row>
    <row r="547" spans="1:16" x14ac:dyDescent="0.2">
      <c r="A547"/>
      <c r="B547"/>
      <c r="C547"/>
      <c r="D547"/>
      <c r="E547"/>
      <c r="F547"/>
      <c r="G547"/>
      <c r="H547"/>
      <c r="I547"/>
      <c r="J547"/>
      <c r="K547"/>
      <c r="L547"/>
      <c r="P547" s="625"/>
    </row>
    <row r="548" spans="1:16" x14ac:dyDescent="0.2">
      <c r="A548"/>
      <c r="B548"/>
      <c r="C548"/>
      <c r="D548"/>
      <c r="E548"/>
      <c r="F548"/>
      <c r="G548"/>
      <c r="H548"/>
      <c r="I548"/>
      <c r="J548"/>
      <c r="K548"/>
      <c r="L548"/>
      <c r="P548" s="625"/>
    </row>
    <row r="549" spans="1:16" x14ac:dyDescent="0.2">
      <c r="A549"/>
      <c r="B549"/>
      <c r="C549"/>
      <c r="D549"/>
      <c r="E549"/>
      <c r="F549"/>
      <c r="G549"/>
      <c r="H549"/>
      <c r="I549"/>
      <c r="J549"/>
      <c r="K549"/>
      <c r="L549"/>
      <c r="P549" s="625"/>
    </row>
    <row r="550" spans="1:16" x14ac:dyDescent="0.2">
      <c r="A550"/>
      <c r="B550"/>
      <c r="C550"/>
      <c r="D550"/>
      <c r="E550"/>
      <c r="F550"/>
      <c r="G550"/>
      <c r="H550"/>
      <c r="I550"/>
      <c r="J550"/>
      <c r="K550"/>
      <c r="L550"/>
      <c r="P550" s="625"/>
    </row>
    <row r="551" spans="1:16" x14ac:dyDescent="0.2">
      <c r="A551"/>
      <c r="B551"/>
      <c r="C551"/>
      <c r="D551"/>
      <c r="E551"/>
      <c r="F551"/>
      <c r="G551"/>
      <c r="H551"/>
      <c r="I551"/>
      <c r="J551"/>
      <c r="K551"/>
      <c r="L551"/>
      <c r="P551" s="625"/>
    </row>
    <row r="552" spans="1:16" x14ac:dyDescent="0.2">
      <c r="A552"/>
      <c r="B552"/>
      <c r="C552"/>
      <c r="D552"/>
      <c r="E552"/>
      <c r="F552"/>
      <c r="G552"/>
      <c r="H552"/>
      <c r="I552"/>
      <c r="J552"/>
      <c r="K552"/>
      <c r="L552"/>
      <c r="P552" s="625"/>
    </row>
    <row r="553" spans="1:16" x14ac:dyDescent="0.2">
      <c r="A553"/>
      <c r="B553"/>
      <c r="C553"/>
      <c r="D553"/>
      <c r="E553"/>
      <c r="F553"/>
      <c r="G553"/>
      <c r="H553"/>
      <c r="I553"/>
      <c r="J553"/>
      <c r="K553"/>
      <c r="L553"/>
      <c r="P553" s="625"/>
    </row>
    <row r="554" spans="1:16" x14ac:dyDescent="0.2">
      <c r="A554"/>
      <c r="B554"/>
      <c r="C554"/>
      <c r="D554"/>
      <c r="E554"/>
      <c r="F554"/>
      <c r="G554"/>
      <c r="H554"/>
      <c r="I554"/>
      <c r="J554"/>
      <c r="K554"/>
      <c r="L554"/>
      <c r="P554" s="625"/>
    </row>
    <row r="555" spans="1:16" x14ac:dyDescent="0.2">
      <c r="A555"/>
      <c r="B555"/>
      <c r="C555"/>
      <c r="D555"/>
      <c r="E555"/>
      <c r="F555"/>
      <c r="G555"/>
      <c r="H555"/>
      <c r="I555"/>
      <c r="J555"/>
      <c r="K555"/>
      <c r="L555"/>
      <c r="P555" s="625"/>
    </row>
    <row r="556" spans="1:16" x14ac:dyDescent="0.2">
      <c r="A556"/>
      <c r="B556"/>
      <c r="C556"/>
      <c r="D556"/>
      <c r="E556"/>
      <c r="F556"/>
      <c r="G556"/>
      <c r="H556"/>
      <c r="I556"/>
      <c r="J556"/>
      <c r="K556"/>
      <c r="L556"/>
      <c r="P556" s="625"/>
    </row>
    <row r="557" spans="1:16" x14ac:dyDescent="0.2">
      <c r="A557"/>
      <c r="B557"/>
      <c r="C557"/>
      <c r="D557"/>
      <c r="E557"/>
      <c r="F557"/>
      <c r="G557"/>
      <c r="H557"/>
      <c r="I557"/>
      <c r="J557"/>
      <c r="K557"/>
      <c r="L557"/>
      <c r="P557" s="625"/>
    </row>
    <row r="558" spans="1:16" x14ac:dyDescent="0.2">
      <c r="A558"/>
      <c r="B558"/>
      <c r="C558"/>
      <c r="D558"/>
      <c r="E558"/>
      <c r="F558"/>
      <c r="G558"/>
      <c r="H558"/>
      <c r="I558"/>
      <c r="J558"/>
      <c r="K558"/>
      <c r="L558"/>
      <c r="P558" s="625"/>
    </row>
    <row r="559" spans="1:16" x14ac:dyDescent="0.2">
      <c r="A559"/>
      <c r="B559"/>
      <c r="C559"/>
      <c r="D559"/>
      <c r="E559"/>
      <c r="F559"/>
      <c r="G559"/>
      <c r="H559"/>
      <c r="I559"/>
      <c r="J559"/>
      <c r="K559"/>
      <c r="L559"/>
      <c r="P559" s="625"/>
    </row>
    <row r="560" spans="1:16" x14ac:dyDescent="0.2">
      <c r="A560"/>
      <c r="B560"/>
      <c r="C560"/>
      <c r="D560"/>
      <c r="E560"/>
      <c r="F560"/>
      <c r="G560"/>
      <c r="H560"/>
      <c r="I560"/>
      <c r="J560"/>
      <c r="K560"/>
      <c r="L560"/>
      <c r="P560" s="625"/>
    </row>
    <row r="561" spans="1:16" x14ac:dyDescent="0.2">
      <c r="A561"/>
      <c r="B561"/>
      <c r="C561"/>
      <c r="D561"/>
      <c r="E561"/>
      <c r="F561"/>
      <c r="G561"/>
      <c r="H561"/>
      <c r="I561"/>
      <c r="J561"/>
      <c r="K561"/>
      <c r="L561"/>
      <c r="P561" s="625"/>
    </row>
    <row r="562" spans="1:16" x14ac:dyDescent="0.2">
      <c r="A562"/>
      <c r="B562"/>
      <c r="C562"/>
      <c r="D562"/>
      <c r="E562"/>
      <c r="F562"/>
      <c r="G562"/>
      <c r="H562"/>
      <c r="I562"/>
      <c r="J562"/>
      <c r="K562"/>
      <c r="L562"/>
      <c r="P562" s="625"/>
    </row>
    <row r="563" spans="1:16" x14ac:dyDescent="0.2">
      <c r="A563"/>
      <c r="B563"/>
      <c r="C563"/>
      <c r="D563"/>
      <c r="E563"/>
      <c r="F563"/>
      <c r="G563"/>
      <c r="H563"/>
      <c r="I563"/>
      <c r="J563"/>
      <c r="K563"/>
      <c r="L563"/>
      <c r="P563" s="625"/>
    </row>
    <row r="564" spans="1:16" x14ac:dyDescent="0.2">
      <c r="A564"/>
      <c r="B564"/>
      <c r="C564"/>
      <c r="D564"/>
      <c r="E564"/>
      <c r="F564"/>
      <c r="G564"/>
      <c r="H564"/>
      <c r="I564"/>
      <c r="J564"/>
      <c r="K564"/>
      <c r="L564"/>
      <c r="P564" s="625"/>
    </row>
    <row r="565" spans="1:16" x14ac:dyDescent="0.2">
      <c r="A565"/>
      <c r="B565"/>
      <c r="C565"/>
      <c r="D565"/>
      <c r="E565"/>
      <c r="F565"/>
      <c r="G565"/>
      <c r="H565"/>
      <c r="I565"/>
      <c r="J565"/>
      <c r="K565"/>
      <c r="L565"/>
      <c r="P565" s="625"/>
    </row>
    <row r="566" spans="1:16" x14ac:dyDescent="0.2">
      <c r="A566"/>
      <c r="B566"/>
      <c r="C566"/>
      <c r="D566"/>
      <c r="E566"/>
      <c r="F566"/>
      <c r="G566"/>
      <c r="H566"/>
      <c r="I566"/>
      <c r="J566"/>
      <c r="K566"/>
      <c r="L566"/>
      <c r="P566" s="625"/>
    </row>
    <row r="567" spans="1:16" x14ac:dyDescent="0.2">
      <c r="A567"/>
      <c r="B567"/>
      <c r="C567"/>
      <c r="D567"/>
      <c r="E567"/>
      <c r="F567"/>
      <c r="G567"/>
      <c r="H567"/>
      <c r="I567"/>
      <c r="J567"/>
      <c r="K567"/>
      <c r="L567"/>
      <c r="P567" s="625"/>
    </row>
    <row r="568" spans="1:16" x14ac:dyDescent="0.2">
      <c r="A568"/>
      <c r="B568"/>
      <c r="C568"/>
      <c r="D568"/>
      <c r="E568"/>
      <c r="F568"/>
      <c r="G568"/>
      <c r="H568"/>
      <c r="I568"/>
      <c r="J568"/>
      <c r="K568"/>
      <c r="L568"/>
      <c r="P568" s="625"/>
    </row>
    <row r="569" spans="1:16" x14ac:dyDescent="0.2">
      <c r="A569"/>
      <c r="B569"/>
      <c r="C569"/>
      <c r="D569"/>
      <c r="E569"/>
      <c r="F569"/>
      <c r="G569"/>
      <c r="H569"/>
      <c r="I569"/>
      <c r="J569"/>
      <c r="K569"/>
      <c r="L569"/>
      <c r="P569" s="625"/>
    </row>
    <row r="570" spans="1:16" x14ac:dyDescent="0.2">
      <c r="A570"/>
      <c r="B570"/>
      <c r="C570"/>
      <c r="D570"/>
      <c r="E570"/>
      <c r="F570"/>
      <c r="G570"/>
      <c r="H570"/>
      <c r="I570"/>
      <c r="J570"/>
      <c r="K570"/>
      <c r="L570"/>
      <c r="P570" s="625"/>
    </row>
    <row r="571" spans="1:16" x14ac:dyDescent="0.2">
      <c r="A571"/>
      <c r="B571"/>
      <c r="C571"/>
      <c r="D571"/>
      <c r="E571"/>
      <c r="F571"/>
      <c r="G571"/>
      <c r="H571"/>
      <c r="I571"/>
      <c r="J571"/>
      <c r="K571"/>
      <c r="L571"/>
      <c r="P571" s="625"/>
    </row>
    <row r="572" spans="1:16" x14ac:dyDescent="0.2">
      <c r="A572"/>
      <c r="B572"/>
      <c r="C572"/>
      <c r="D572"/>
      <c r="E572"/>
      <c r="F572"/>
      <c r="G572"/>
      <c r="H572"/>
      <c r="I572"/>
      <c r="J572"/>
      <c r="K572"/>
      <c r="L572"/>
      <c r="P572" s="625"/>
    </row>
    <row r="573" spans="1:16" x14ac:dyDescent="0.2">
      <c r="A573"/>
      <c r="B573"/>
      <c r="C573"/>
      <c r="D573"/>
      <c r="E573"/>
      <c r="F573"/>
      <c r="G573"/>
      <c r="H573"/>
      <c r="I573"/>
      <c r="J573"/>
      <c r="K573"/>
      <c r="L573"/>
      <c r="P573" s="625"/>
    </row>
    <row r="574" spans="1:16" x14ac:dyDescent="0.2">
      <c r="A574"/>
      <c r="B574"/>
      <c r="C574"/>
      <c r="D574"/>
      <c r="E574"/>
      <c r="F574"/>
      <c r="G574"/>
      <c r="H574"/>
      <c r="I574"/>
      <c r="J574"/>
      <c r="K574"/>
      <c r="L574"/>
      <c r="P574" s="625"/>
    </row>
    <row r="575" spans="1:16" x14ac:dyDescent="0.2">
      <c r="A575"/>
      <c r="B575"/>
      <c r="C575"/>
      <c r="D575"/>
      <c r="E575"/>
      <c r="F575"/>
      <c r="G575"/>
      <c r="H575"/>
      <c r="I575"/>
      <c r="J575"/>
      <c r="K575"/>
      <c r="L575"/>
      <c r="P575" s="625"/>
    </row>
    <row r="576" spans="1:16" x14ac:dyDescent="0.2">
      <c r="A576"/>
      <c r="B576"/>
      <c r="C576"/>
      <c r="D576"/>
      <c r="E576"/>
      <c r="F576"/>
      <c r="G576"/>
      <c r="H576"/>
      <c r="I576"/>
      <c r="J576"/>
      <c r="K576"/>
      <c r="L576"/>
      <c r="P576" s="625"/>
    </row>
    <row r="577" spans="1:16" x14ac:dyDescent="0.2">
      <c r="A577"/>
      <c r="B577"/>
      <c r="C577"/>
      <c r="D577"/>
      <c r="E577"/>
      <c r="F577"/>
      <c r="G577"/>
      <c r="H577"/>
      <c r="I577"/>
      <c r="J577"/>
      <c r="K577"/>
      <c r="L577"/>
      <c r="P577" s="625"/>
    </row>
    <row r="578" spans="1:16" x14ac:dyDescent="0.2">
      <c r="A578"/>
      <c r="B578"/>
      <c r="C578"/>
      <c r="D578"/>
      <c r="E578"/>
      <c r="F578"/>
      <c r="G578"/>
      <c r="H578"/>
      <c r="I578"/>
      <c r="J578"/>
      <c r="K578"/>
      <c r="L578"/>
      <c r="P578" s="625"/>
    </row>
    <row r="579" spans="1:16" x14ac:dyDescent="0.2">
      <c r="A579"/>
      <c r="B579"/>
      <c r="C579"/>
      <c r="D579"/>
      <c r="E579"/>
      <c r="F579"/>
      <c r="G579"/>
      <c r="H579"/>
      <c r="I579"/>
      <c r="J579"/>
      <c r="K579"/>
      <c r="L579"/>
      <c r="P579" s="625"/>
    </row>
    <row r="580" spans="1:16" x14ac:dyDescent="0.2">
      <c r="A580"/>
      <c r="B580"/>
      <c r="C580"/>
      <c r="D580"/>
      <c r="E580"/>
      <c r="F580"/>
      <c r="G580"/>
      <c r="H580"/>
      <c r="I580"/>
      <c r="J580"/>
      <c r="K580"/>
      <c r="L580"/>
      <c r="P580" s="625"/>
    </row>
    <row r="581" spans="1:16" x14ac:dyDescent="0.2">
      <c r="A581"/>
      <c r="B581"/>
      <c r="C581"/>
      <c r="D581"/>
      <c r="E581"/>
      <c r="F581"/>
      <c r="G581"/>
      <c r="H581"/>
      <c r="I581"/>
      <c r="J581"/>
      <c r="K581"/>
      <c r="L581"/>
      <c r="P581" s="625"/>
    </row>
    <row r="582" spans="1:16" x14ac:dyDescent="0.2">
      <c r="A582"/>
      <c r="B582"/>
      <c r="C582"/>
      <c r="D582"/>
      <c r="E582"/>
      <c r="F582"/>
      <c r="G582"/>
      <c r="H582"/>
      <c r="I582"/>
      <c r="J582"/>
      <c r="K582"/>
      <c r="L582"/>
      <c r="P582" s="625"/>
    </row>
    <row r="583" spans="1:16" x14ac:dyDescent="0.2">
      <c r="A583"/>
      <c r="B583"/>
      <c r="C583"/>
      <c r="D583"/>
      <c r="E583"/>
      <c r="F583"/>
      <c r="G583"/>
      <c r="H583"/>
      <c r="I583"/>
      <c r="J583"/>
      <c r="K583"/>
      <c r="L583"/>
      <c r="P583" s="625"/>
    </row>
    <row r="584" spans="1:16" x14ac:dyDescent="0.2">
      <c r="A584"/>
      <c r="B584"/>
      <c r="C584"/>
      <c r="D584"/>
      <c r="E584"/>
      <c r="F584"/>
      <c r="G584"/>
      <c r="H584"/>
      <c r="I584"/>
      <c r="J584"/>
      <c r="K584"/>
      <c r="L584"/>
      <c r="P584" s="625"/>
    </row>
    <row r="585" spans="1:16" x14ac:dyDescent="0.2">
      <c r="A585"/>
      <c r="B585"/>
      <c r="C585"/>
      <c r="D585"/>
      <c r="E585"/>
      <c r="F585"/>
      <c r="G585"/>
      <c r="H585"/>
      <c r="I585"/>
      <c r="J585"/>
      <c r="K585"/>
      <c r="L585"/>
      <c r="P585" s="625"/>
    </row>
    <row r="586" spans="1:16" x14ac:dyDescent="0.2">
      <c r="A586"/>
      <c r="B586"/>
      <c r="C586"/>
      <c r="D586"/>
      <c r="E586"/>
      <c r="F586"/>
      <c r="G586"/>
      <c r="H586"/>
      <c r="I586"/>
      <c r="J586"/>
      <c r="K586"/>
      <c r="L586"/>
      <c r="P586" s="625"/>
    </row>
    <row r="587" spans="1:16" x14ac:dyDescent="0.2">
      <c r="A587"/>
      <c r="B587"/>
      <c r="C587"/>
      <c r="D587"/>
      <c r="E587"/>
      <c r="F587"/>
      <c r="G587"/>
      <c r="H587"/>
      <c r="I587"/>
      <c r="J587"/>
      <c r="K587"/>
      <c r="L587"/>
      <c r="P587" s="625"/>
    </row>
    <row r="588" spans="1:16" x14ac:dyDescent="0.2">
      <c r="A588"/>
      <c r="B588"/>
      <c r="C588"/>
      <c r="D588"/>
      <c r="E588"/>
      <c r="F588"/>
      <c r="G588"/>
      <c r="H588"/>
      <c r="I588"/>
      <c r="J588"/>
      <c r="K588"/>
      <c r="L588"/>
      <c r="P588" s="625"/>
    </row>
    <row r="589" spans="1:16" x14ac:dyDescent="0.2">
      <c r="A589"/>
      <c r="B589"/>
      <c r="C589"/>
      <c r="D589"/>
      <c r="E589"/>
      <c r="F589"/>
      <c r="G589"/>
      <c r="H589"/>
      <c r="I589"/>
      <c r="J589"/>
      <c r="K589"/>
      <c r="L589"/>
      <c r="P589" s="625"/>
    </row>
    <row r="590" spans="1:16" x14ac:dyDescent="0.2">
      <c r="A590"/>
      <c r="B590"/>
      <c r="C590"/>
      <c r="D590"/>
      <c r="E590"/>
      <c r="F590"/>
      <c r="G590"/>
      <c r="H590"/>
      <c r="I590"/>
      <c r="J590"/>
      <c r="K590"/>
      <c r="L590"/>
      <c r="P590" s="625"/>
    </row>
    <row r="591" spans="1:16" x14ac:dyDescent="0.2">
      <c r="A591"/>
      <c r="B591"/>
      <c r="C591"/>
      <c r="D591"/>
      <c r="E591"/>
      <c r="F591"/>
      <c r="G591"/>
      <c r="H591"/>
      <c r="I591"/>
      <c r="J591"/>
      <c r="K591"/>
      <c r="L591"/>
      <c r="P591" s="625"/>
    </row>
    <row r="592" spans="1:16" x14ac:dyDescent="0.2">
      <c r="A592"/>
      <c r="B592"/>
      <c r="C592"/>
      <c r="D592"/>
      <c r="E592"/>
      <c r="F592"/>
      <c r="G592"/>
      <c r="H592"/>
      <c r="I592"/>
      <c r="J592"/>
      <c r="K592"/>
      <c r="L592"/>
      <c r="P592" s="625"/>
    </row>
    <row r="593" spans="1:16" x14ac:dyDescent="0.2">
      <c r="A593"/>
      <c r="B593"/>
      <c r="C593"/>
      <c r="D593"/>
      <c r="E593"/>
      <c r="F593"/>
      <c r="G593"/>
      <c r="H593"/>
      <c r="I593"/>
      <c r="J593"/>
      <c r="K593"/>
      <c r="L593"/>
      <c r="P593" s="625"/>
    </row>
    <row r="594" spans="1:16" x14ac:dyDescent="0.2">
      <c r="A594"/>
      <c r="B594"/>
      <c r="C594"/>
      <c r="D594"/>
      <c r="E594"/>
      <c r="F594"/>
      <c r="G594"/>
      <c r="H594"/>
      <c r="I594"/>
      <c r="J594"/>
      <c r="K594"/>
      <c r="L594"/>
      <c r="P594" s="625"/>
    </row>
    <row r="595" spans="1:16" x14ac:dyDescent="0.2">
      <c r="A595"/>
      <c r="B595"/>
      <c r="C595"/>
      <c r="D595"/>
      <c r="E595"/>
      <c r="F595"/>
      <c r="G595"/>
      <c r="H595"/>
      <c r="I595"/>
      <c r="J595"/>
      <c r="K595"/>
      <c r="L595"/>
      <c r="P595" s="625"/>
    </row>
    <row r="596" spans="1:16" x14ac:dyDescent="0.2">
      <c r="A596"/>
      <c r="B596"/>
      <c r="C596"/>
      <c r="D596"/>
      <c r="E596"/>
      <c r="F596"/>
      <c r="G596"/>
      <c r="H596"/>
      <c r="I596"/>
      <c r="J596"/>
      <c r="K596"/>
      <c r="L596"/>
      <c r="P596" s="625"/>
    </row>
    <row r="597" spans="1:16" x14ac:dyDescent="0.2">
      <c r="A597"/>
      <c r="B597"/>
      <c r="C597"/>
      <c r="D597"/>
      <c r="E597"/>
      <c r="F597"/>
      <c r="G597"/>
      <c r="H597"/>
      <c r="I597"/>
      <c r="J597"/>
      <c r="K597"/>
      <c r="L597"/>
      <c r="P597" s="625"/>
    </row>
    <row r="598" spans="1:16" x14ac:dyDescent="0.2">
      <c r="A598"/>
      <c r="B598"/>
      <c r="C598"/>
      <c r="D598"/>
      <c r="E598"/>
      <c r="F598"/>
      <c r="G598"/>
      <c r="H598"/>
      <c r="I598"/>
      <c r="J598"/>
      <c r="K598"/>
      <c r="L598"/>
      <c r="P598" s="625"/>
    </row>
    <row r="599" spans="1:16" x14ac:dyDescent="0.2">
      <c r="A599"/>
      <c r="B599"/>
      <c r="C599"/>
      <c r="D599"/>
      <c r="E599"/>
      <c r="F599"/>
      <c r="G599"/>
      <c r="H599"/>
      <c r="I599"/>
      <c r="J599"/>
      <c r="K599"/>
      <c r="L599"/>
      <c r="P599" s="625"/>
    </row>
    <row r="600" spans="1:16" x14ac:dyDescent="0.2">
      <c r="A600"/>
      <c r="B600"/>
      <c r="C600"/>
      <c r="D600"/>
      <c r="E600"/>
      <c r="F600"/>
      <c r="G600"/>
      <c r="H600"/>
      <c r="I600"/>
      <c r="J600"/>
      <c r="K600"/>
      <c r="L600"/>
      <c r="P600" s="625"/>
    </row>
    <row r="601" spans="1:16" x14ac:dyDescent="0.2">
      <c r="A601"/>
      <c r="B601"/>
      <c r="C601"/>
      <c r="D601"/>
      <c r="E601"/>
      <c r="F601"/>
      <c r="G601"/>
      <c r="H601"/>
      <c r="I601"/>
      <c r="J601"/>
      <c r="K601"/>
      <c r="L601"/>
      <c r="P601" s="625"/>
    </row>
    <row r="602" spans="1:16" x14ac:dyDescent="0.2">
      <c r="A602"/>
      <c r="B602"/>
      <c r="C602"/>
      <c r="D602"/>
      <c r="E602"/>
      <c r="F602"/>
      <c r="G602"/>
      <c r="H602"/>
      <c r="I602"/>
      <c r="J602"/>
      <c r="K602"/>
      <c r="L602"/>
      <c r="P602" s="625"/>
    </row>
    <row r="603" spans="1:16" x14ac:dyDescent="0.2">
      <c r="A603"/>
      <c r="B603"/>
      <c r="C603"/>
      <c r="D603"/>
      <c r="E603"/>
      <c r="F603"/>
      <c r="G603"/>
      <c r="H603"/>
      <c r="I603"/>
      <c r="J603"/>
      <c r="K603"/>
      <c r="L603"/>
      <c r="P603" s="625"/>
    </row>
    <row r="604" spans="1:16" x14ac:dyDescent="0.2">
      <c r="A604"/>
      <c r="B604"/>
      <c r="C604"/>
      <c r="D604"/>
      <c r="E604"/>
      <c r="F604"/>
      <c r="G604"/>
      <c r="H604"/>
      <c r="I604"/>
      <c r="J604"/>
      <c r="K604"/>
      <c r="L604"/>
      <c r="P604" s="625"/>
    </row>
    <row r="605" spans="1:16" x14ac:dyDescent="0.2">
      <c r="A605"/>
      <c r="B605"/>
      <c r="C605"/>
      <c r="D605"/>
      <c r="E605"/>
      <c r="F605"/>
      <c r="G605"/>
      <c r="H605"/>
      <c r="I605"/>
      <c r="J605"/>
      <c r="K605"/>
      <c r="L605"/>
      <c r="P605" s="625"/>
    </row>
    <row r="606" spans="1:16" x14ac:dyDescent="0.2">
      <c r="A606"/>
      <c r="B606"/>
      <c r="C606"/>
      <c r="D606"/>
      <c r="E606"/>
      <c r="F606"/>
      <c r="G606"/>
      <c r="H606"/>
      <c r="I606"/>
      <c r="J606"/>
      <c r="K606"/>
      <c r="L606"/>
      <c r="P606" s="625"/>
    </row>
    <row r="607" spans="1:16" x14ac:dyDescent="0.2">
      <c r="A607"/>
      <c r="B607"/>
      <c r="C607"/>
      <c r="D607"/>
      <c r="E607"/>
      <c r="F607"/>
      <c r="G607"/>
      <c r="H607"/>
      <c r="I607"/>
      <c r="J607"/>
      <c r="K607"/>
      <c r="L607"/>
      <c r="P607" s="625"/>
    </row>
    <row r="608" spans="1:16" x14ac:dyDescent="0.2">
      <c r="A608"/>
      <c r="B608"/>
      <c r="C608"/>
      <c r="D608"/>
      <c r="E608"/>
      <c r="F608"/>
      <c r="G608"/>
      <c r="H608"/>
      <c r="I608"/>
      <c r="J608"/>
      <c r="K608"/>
      <c r="L608"/>
      <c r="P608" s="625"/>
    </row>
    <row r="609" spans="1:16" x14ac:dyDescent="0.2">
      <c r="A609"/>
      <c r="B609"/>
      <c r="C609"/>
      <c r="D609"/>
      <c r="E609"/>
      <c r="F609"/>
      <c r="G609"/>
      <c r="H609"/>
      <c r="I609"/>
      <c r="J609"/>
      <c r="K609"/>
      <c r="L609"/>
      <c r="P609" s="625"/>
    </row>
    <row r="610" spans="1:16" x14ac:dyDescent="0.2">
      <c r="A610"/>
      <c r="B610"/>
      <c r="C610"/>
      <c r="D610"/>
      <c r="E610"/>
      <c r="F610"/>
      <c r="G610"/>
      <c r="H610"/>
      <c r="I610"/>
      <c r="J610"/>
      <c r="K610"/>
      <c r="L610"/>
      <c r="P610" s="625"/>
    </row>
    <row r="611" spans="1:16" x14ac:dyDescent="0.2">
      <c r="A611"/>
      <c r="B611"/>
      <c r="C611"/>
      <c r="D611"/>
      <c r="E611"/>
      <c r="F611"/>
      <c r="G611"/>
      <c r="H611"/>
      <c r="I611"/>
      <c r="J611"/>
      <c r="K611"/>
      <c r="L611"/>
      <c r="P611" s="625"/>
    </row>
    <row r="612" spans="1:16" x14ac:dyDescent="0.2">
      <c r="A612"/>
      <c r="B612"/>
      <c r="C612"/>
      <c r="D612"/>
      <c r="E612"/>
      <c r="F612"/>
      <c r="G612"/>
      <c r="H612"/>
      <c r="I612"/>
      <c r="J612"/>
      <c r="K612"/>
      <c r="L612"/>
      <c r="P612" s="625"/>
    </row>
    <row r="613" spans="1:16" x14ac:dyDescent="0.2">
      <c r="A613"/>
      <c r="B613"/>
      <c r="C613"/>
      <c r="D613"/>
      <c r="E613"/>
      <c r="F613"/>
      <c r="G613"/>
      <c r="H613"/>
      <c r="I613"/>
      <c r="J613"/>
      <c r="K613"/>
      <c r="L613"/>
      <c r="P613" s="625"/>
    </row>
    <row r="614" spans="1:16" x14ac:dyDescent="0.2">
      <c r="A614"/>
      <c r="B614"/>
      <c r="C614"/>
      <c r="D614"/>
      <c r="E614"/>
      <c r="F614"/>
      <c r="G614"/>
      <c r="H614"/>
      <c r="I614"/>
      <c r="J614"/>
      <c r="K614"/>
      <c r="L614"/>
      <c r="P614" s="625"/>
    </row>
    <row r="615" spans="1:16" x14ac:dyDescent="0.2">
      <c r="A615"/>
      <c r="B615"/>
      <c r="C615"/>
      <c r="D615"/>
      <c r="E615"/>
      <c r="F615"/>
      <c r="G615"/>
      <c r="H615"/>
      <c r="I615"/>
      <c r="J615"/>
      <c r="K615"/>
      <c r="L615"/>
      <c r="P615" s="625"/>
    </row>
    <row r="616" spans="1:16" x14ac:dyDescent="0.2">
      <c r="A616"/>
      <c r="B616"/>
      <c r="C616"/>
      <c r="D616"/>
      <c r="E616"/>
      <c r="F616"/>
      <c r="G616"/>
      <c r="H616"/>
      <c r="I616"/>
      <c r="J616"/>
      <c r="K616"/>
      <c r="L616"/>
      <c r="P616" s="625"/>
    </row>
    <row r="617" spans="1:16" x14ac:dyDescent="0.2">
      <c r="A617"/>
      <c r="B617"/>
      <c r="C617"/>
      <c r="D617"/>
      <c r="E617"/>
      <c r="F617"/>
      <c r="G617"/>
      <c r="H617"/>
      <c r="I617"/>
      <c r="J617"/>
      <c r="K617"/>
      <c r="L617"/>
      <c r="P617" s="625"/>
    </row>
    <row r="618" spans="1:16" x14ac:dyDescent="0.2">
      <c r="A618"/>
      <c r="B618"/>
      <c r="C618"/>
      <c r="D618"/>
      <c r="E618"/>
      <c r="F618"/>
      <c r="G618"/>
      <c r="H618"/>
      <c r="I618"/>
      <c r="J618"/>
      <c r="K618"/>
      <c r="L618"/>
      <c r="P618" s="625"/>
    </row>
    <row r="619" spans="1:16" x14ac:dyDescent="0.2">
      <c r="A619"/>
      <c r="B619"/>
      <c r="C619"/>
      <c r="D619"/>
      <c r="E619"/>
      <c r="F619"/>
      <c r="G619"/>
      <c r="H619"/>
      <c r="I619"/>
      <c r="J619"/>
      <c r="K619"/>
      <c r="L619"/>
      <c r="P619" s="625"/>
    </row>
    <row r="620" spans="1:16" x14ac:dyDescent="0.2">
      <c r="A620"/>
      <c r="B620"/>
      <c r="C620"/>
      <c r="D620"/>
      <c r="E620"/>
      <c r="F620"/>
      <c r="G620"/>
      <c r="H620"/>
      <c r="I620"/>
      <c r="J620"/>
      <c r="K620"/>
      <c r="L620"/>
      <c r="P620" s="625"/>
    </row>
    <row r="621" spans="1:16" x14ac:dyDescent="0.2">
      <c r="A621"/>
      <c r="B621"/>
      <c r="C621"/>
      <c r="D621"/>
      <c r="E621"/>
      <c r="F621"/>
      <c r="G621"/>
      <c r="H621"/>
      <c r="I621"/>
      <c r="J621"/>
      <c r="K621"/>
      <c r="L621"/>
      <c r="P621" s="625"/>
    </row>
    <row r="622" spans="1:16" x14ac:dyDescent="0.2">
      <c r="A622"/>
      <c r="B622"/>
      <c r="C622"/>
      <c r="D622"/>
      <c r="E622"/>
      <c r="F622"/>
      <c r="G622"/>
      <c r="H622"/>
      <c r="I622"/>
      <c r="J622"/>
      <c r="K622"/>
      <c r="L622"/>
      <c r="P622" s="625"/>
    </row>
    <row r="623" spans="1:16" x14ac:dyDescent="0.2">
      <c r="A623"/>
      <c r="B623"/>
      <c r="C623"/>
      <c r="D623"/>
      <c r="E623"/>
      <c r="F623"/>
      <c r="G623"/>
      <c r="H623"/>
      <c r="I623"/>
      <c r="J623"/>
      <c r="K623"/>
      <c r="L623"/>
      <c r="P623" s="625"/>
    </row>
    <row r="624" spans="1:16" x14ac:dyDescent="0.2">
      <c r="A624"/>
      <c r="B624"/>
      <c r="C624"/>
      <c r="D624"/>
      <c r="E624"/>
      <c r="F624"/>
      <c r="G624"/>
      <c r="H624"/>
      <c r="I624"/>
      <c r="J624"/>
      <c r="K624"/>
      <c r="L624"/>
      <c r="P624" s="625"/>
    </row>
    <row r="625" spans="1:16" x14ac:dyDescent="0.2">
      <c r="A625"/>
      <c r="B625"/>
      <c r="C625"/>
      <c r="D625"/>
      <c r="E625"/>
      <c r="F625"/>
      <c r="G625"/>
      <c r="H625"/>
      <c r="I625"/>
      <c r="J625"/>
      <c r="K625"/>
      <c r="L625"/>
      <c r="P625" s="625"/>
    </row>
    <row r="626" spans="1:16" x14ac:dyDescent="0.2">
      <c r="A626"/>
      <c r="B626"/>
      <c r="C626"/>
      <c r="D626"/>
      <c r="E626"/>
      <c r="F626"/>
      <c r="G626"/>
      <c r="H626"/>
      <c r="I626"/>
      <c r="J626"/>
      <c r="K626"/>
      <c r="L626"/>
      <c r="P626" s="625"/>
    </row>
    <row r="627" spans="1:16" x14ac:dyDescent="0.2">
      <c r="A627"/>
      <c r="B627"/>
      <c r="C627"/>
      <c r="D627"/>
      <c r="E627"/>
      <c r="F627"/>
      <c r="G627"/>
      <c r="H627"/>
      <c r="I627"/>
      <c r="J627"/>
      <c r="K627"/>
      <c r="L627"/>
      <c r="P627" s="625"/>
    </row>
    <row r="628" spans="1:16" x14ac:dyDescent="0.2">
      <c r="A628"/>
      <c r="B628"/>
      <c r="C628"/>
      <c r="D628"/>
      <c r="E628"/>
      <c r="F628"/>
      <c r="G628"/>
      <c r="H628"/>
      <c r="I628"/>
      <c r="J628"/>
      <c r="K628"/>
      <c r="L628"/>
      <c r="P628" s="625"/>
    </row>
    <row r="629" spans="1:16" x14ac:dyDescent="0.2">
      <c r="A629"/>
      <c r="B629"/>
      <c r="C629"/>
      <c r="D629"/>
      <c r="E629"/>
      <c r="F629"/>
      <c r="G629"/>
      <c r="H629"/>
      <c r="I629"/>
      <c r="J629"/>
      <c r="K629"/>
      <c r="L629"/>
      <c r="P629" s="625"/>
    </row>
    <row r="630" spans="1:16" x14ac:dyDescent="0.2">
      <c r="A630"/>
      <c r="B630"/>
      <c r="C630"/>
      <c r="D630"/>
      <c r="E630"/>
      <c r="F630"/>
      <c r="G630"/>
      <c r="H630"/>
      <c r="I630"/>
      <c r="J630"/>
      <c r="K630"/>
      <c r="L630"/>
      <c r="P630" s="625"/>
    </row>
    <row r="631" spans="1:16" x14ac:dyDescent="0.2">
      <c r="A631"/>
      <c r="B631"/>
      <c r="C631"/>
      <c r="D631"/>
      <c r="E631"/>
      <c r="F631"/>
      <c r="G631"/>
      <c r="H631"/>
      <c r="I631"/>
      <c r="J631"/>
      <c r="K631"/>
      <c r="L631"/>
      <c r="P631" s="625"/>
    </row>
    <row r="632" spans="1:16" x14ac:dyDescent="0.2">
      <c r="A632"/>
      <c r="B632"/>
      <c r="C632"/>
      <c r="D632"/>
      <c r="E632"/>
      <c r="F632"/>
      <c r="G632"/>
      <c r="H632"/>
      <c r="I632"/>
      <c r="J632"/>
      <c r="K632"/>
      <c r="L632"/>
      <c r="P632" s="625"/>
    </row>
    <row r="633" spans="1:16" x14ac:dyDescent="0.2">
      <c r="A633"/>
      <c r="B633"/>
      <c r="C633"/>
      <c r="D633"/>
      <c r="E633"/>
      <c r="F633"/>
      <c r="G633"/>
      <c r="H633"/>
      <c r="I633"/>
      <c r="J633"/>
      <c r="K633"/>
      <c r="L633"/>
      <c r="P633" s="625"/>
    </row>
    <row r="634" spans="1:16" x14ac:dyDescent="0.2">
      <c r="A634"/>
      <c r="B634"/>
      <c r="C634"/>
      <c r="D634"/>
      <c r="E634"/>
      <c r="F634"/>
      <c r="G634"/>
      <c r="H634"/>
      <c r="I634"/>
      <c r="J634"/>
      <c r="K634"/>
      <c r="L634"/>
      <c r="P634" s="625"/>
    </row>
    <row r="635" spans="1:16" x14ac:dyDescent="0.2">
      <c r="A635"/>
      <c r="B635"/>
      <c r="C635"/>
      <c r="D635"/>
      <c r="E635"/>
      <c r="F635"/>
      <c r="G635"/>
      <c r="H635"/>
      <c r="I635"/>
      <c r="J635"/>
      <c r="K635"/>
      <c r="L635"/>
      <c r="P635" s="625"/>
    </row>
  </sheetData>
  <autoFilter ref="A4:Y461">
    <filterColumn colId="7">
      <filters>
        <filter val="Age"/>
        <filter val="Maturity"/>
        <filter val="Sex"/>
        <filter val="Weight"/>
      </filters>
    </filterColumn>
    <filterColumn colId="8">
      <filters>
        <filter val="Survey"/>
      </filters>
    </filterColumn>
  </autoFilter>
  <conditionalFormatting sqref="A5:L461">
    <cfRule type="expression" dxfId="0" priority="1">
      <formula>$J5=0</formula>
    </cfRule>
  </conditionalFormatting>
  <dataValidations count="1">
    <dataValidation type="textLength" showInputMessage="1" showErrorMessage="1" sqref="H5:H461">
      <formula1>0</formula1>
      <formula2>150</formula2>
    </dataValidation>
  </dataValidations>
  <pageMargins left="0.7" right="0.7" top="0.75" bottom="0.75" header="0.3" footer="0.3"/>
  <pageSetup paperSize="9" scale="64" fitToHeight="0"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Y454"/>
  <sheetViews>
    <sheetView topLeftCell="N1" zoomScale="70" zoomScaleNormal="70" workbookViewId="0">
      <pane ySplit="4" topLeftCell="A11" activePane="bottomLeft" state="frozen"/>
      <selection activeCell="N1" sqref="N1"/>
      <selection pane="bottomLeft" activeCell="Y6" sqref="Y6"/>
    </sheetView>
  </sheetViews>
  <sheetFormatPr defaultColWidth="8.85546875" defaultRowHeight="12.75" x14ac:dyDescent="0.2"/>
  <cols>
    <col min="1" max="1" width="8.85546875" style="64"/>
    <col min="2" max="2" width="13" style="64" customWidth="1"/>
    <col min="3" max="3" width="9.140625" style="64" customWidth="1"/>
    <col min="4" max="4" width="18.5703125" style="64" customWidth="1"/>
    <col min="5" max="5" width="23.28515625" style="64" customWidth="1"/>
    <col min="6" max="6" width="22" style="64" customWidth="1"/>
    <col min="7" max="7" width="29.140625" style="65" customWidth="1"/>
    <col min="8" max="8" width="18.28515625" style="64" customWidth="1"/>
    <col min="9" max="9" width="11" style="64" customWidth="1"/>
    <col min="10" max="10" width="35.140625" style="64" customWidth="1"/>
    <col min="11" max="11" width="19.140625" style="64" customWidth="1"/>
    <col min="12" max="12" width="36.85546875" style="64" customWidth="1"/>
    <col min="13" max="13" width="47.140625" style="64" customWidth="1"/>
    <col min="14" max="14" width="19.140625" style="66" customWidth="1"/>
    <col min="15" max="15" width="23.28515625" style="66" customWidth="1"/>
    <col min="16" max="16" width="13.5703125" style="66" customWidth="1"/>
    <col min="17" max="24" width="19.140625" style="66" customWidth="1"/>
    <col min="25" max="25" width="30.42578125" style="64" customWidth="1"/>
    <col min="26" max="16384" width="8.85546875" style="64"/>
  </cols>
  <sheetData>
    <row r="1" spans="1:25" ht="13.5" thickBot="1" x14ac:dyDescent="0.25">
      <c r="A1" s="63" t="s">
        <v>61</v>
      </c>
    </row>
    <row r="2" spans="1:25" ht="13.5" thickBot="1" x14ac:dyDescent="0.25">
      <c r="A2" s="67"/>
      <c r="B2" s="67"/>
      <c r="C2" s="67"/>
      <c r="D2" s="67"/>
      <c r="E2" s="67"/>
      <c r="F2" s="67"/>
      <c r="G2" s="67"/>
      <c r="H2" s="67"/>
      <c r="I2" s="67"/>
      <c r="J2" s="67"/>
      <c r="K2" s="67"/>
      <c r="L2" s="67"/>
      <c r="N2" s="68"/>
      <c r="O2" s="68"/>
      <c r="P2" s="68"/>
      <c r="Q2" s="68"/>
      <c r="R2" s="68"/>
      <c r="S2" s="68"/>
      <c r="T2" s="68"/>
      <c r="U2" s="68"/>
      <c r="V2" s="68"/>
      <c r="X2" s="94" t="s">
        <v>56</v>
      </c>
      <c r="Y2" s="95" t="s">
        <v>50</v>
      </c>
    </row>
    <row r="3" spans="1:25" ht="13.5" thickBot="1" x14ac:dyDescent="0.25">
      <c r="A3" s="69"/>
      <c r="B3" s="69"/>
      <c r="C3" s="69"/>
      <c r="D3" s="69"/>
      <c r="E3" s="69"/>
      <c r="F3" s="69"/>
      <c r="G3" s="69"/>
      <c r="H3" s="69"/>
      <c r="I3" s="69"/>
      <c r="J3" s="69"/>
      <c r="K3" s="69"/>
      <c r="L3" s="69"/>
      <c r="M3" s="64">
        <v>2019</v>
      </c>
      <c r="N3" s="70"/>
      <c r="O3" s="70"/>
      <c r="P3" s="70"/>
      <c r="Q3" s="70"/>
      <c r="R3" s="70"/>
      <c r="S3" s="70"/>
      <c r="T3" s="70"/>
      <c r="U3" s="70"/>
      <c r="V3" s="70"/>
      <c r="X3" s="93" t="s">
        <v>55</v>
      </c>
      <c r="Y3" s="154">
        <v>2019</v>
      </c>
    </row>
    <row r="4" spans="1:25" ht="77.25" thickBot="1" x14ac:dyDescent="0.25">
      <c r="A4" s="90" t="s">
        <v>0</v>
      </c>
      <c r="B4" s="90" t="s">
        <v>11</v>
      </c>
      <c r="C4" s="90" t="s">
        <v>62</v>
      </c>
      <c r="D4" s="91" t="s">
        <v>5</v>
      </c>
      <c r="E4" s="90" t="s">
        <v>8</v>
      </c>
      <c r="F4" s="90" t="s">
        <v>63</v>
      </c>
      <c r="G4" s="92" t="s">
        <v>64</v>
      </c>
      <c r="H4" s="90" t="s">
        <v>65</v>
      </c>
      <c r="I4" s="90" t="s">
        <v>66</v>
      </c>
      <c r="J4" s="90" t="s">
        <v>67</v>
      </c>
      <c r="K4" s="90" t="s">
        <v>68</v>
      </c>
      <c r="L4" s="90" t="s">
        <v>69</v>
      </c>
      <c r="M4" s="90" t="s">
        <v>4</v>
      </c>
      <c r="N4" s="153" t="s">
        <v>229</v>
      </c>
      <c r="O4" s="153" t="s">
        <v>230</v>
      </c>
      <c r="P4" s="153" t="s">
        <v>9</v>
      </c>
      <c r="Q4" s="153" t="s">
        <v>232</v>
      </c>
      <c r="R4" s="153" t="s">
        <v>231</v>
      </c>
      <c r="S4" s="153" t="s">
        <v>233</v>
      </c>
      <c r="T4" s="153" t="s">
        <v>70</v>
      </c>
      <c r="U4" s="153" t="s">
        <v>71</v>
      </c>
      <c r="V4" s="155" t="s">
        <v>261</v>
      </c>
      <c r="W4" s="153" t="s">
        <v>72</v>
      </c>
      <c r="X4" s="153" t="s">
        <v>73</v>
      </c>
      <c r="Y4" s="155" t="s">
        <v>262</v>
      </c>
    </row>
    <row r="5" spans="1:25" ht="25.5" customHeight="1" x14ac:dyDescent="0.2">
      <c r="A5" s="239" t="s">
        <v>277</v>
      </c>
      <c r="B5" s="239" t="s">
        <v>50</v>
      </c>
      <c r="C5" s="240" t="s">
        <v>79</v>
      </c>
      <c r="D5" s="239" t="s">
        <v>74</v>
      </c>
      <c r="E5" s="239" t="s">
        <v>654</v>
      </c>
      <c r="F5" s="239" t="s">
        <v>6</v>
      </c>
      <c r="G5" s="239" t="s">
        <v>150</v>
      </c>
      <c r="H5" s="239" t="s">
        <v>77</v>
      </c>
      <c r="I5" s="239" t="s">
        <v>6</v>
      </c>
      <c r="J5" s="239" t="s">
        <v>6</v>
      </c>
      <c r="K5" s="239" t="s">
        <v>6</v>
      </c>
      <c r="L5" s="241" t="s">
        <v>655</v>
      </c>
      <c r="M5" s="242" t="s">
        <v>656</v>
      </c>
      <c r="N5" s="533" t="s">
        <v>1356</v>
      </c>
      <c r="O5" s="533" t="s">
        <v>1787</v>
      </c>
      <c r="P5" s="533" t="s">
        <v>757</v>
      </c>
      <c r="Q5" s="533" t="s">
        <v>6</v>
      </c>
      <c r="R5" s="533" t="s">
        <v>77</v>
      </c>
      <c r="S5" s="533" t="s">
        <v>6</v>
      </c>
      <c r="T5" s="533" t="s">
        <v>6</v>
      </c>
      <c r="U5" s="533" t="s">
        <v>6</v>
      </c>
      <c r="V5" s="533" t="s">
        <v>6</v>
      </c>
      <c r="W5" s="533" t="s">
        <v>77</v>
      </c>
      <c r="X5" s="533" t="s">
        <v>6</v>
      </c>
      <c r="Y5" s="533"/>
    </row>
    <row r="6" spans="1:25" ht="130.5" customHeight="1" x14ac:dyDescent="0.2">
      <c r="A6" s="239" t="s">
        <v>277</v>
      </c>
      <c r="B6" s="239" t="s">
        <v>50</v>
      </c>
      <c r="C6" s="240" t="s">
        <v>79</v>
      </c>
      <c r="D6" s="239" t="s">
        <v>74</v>
      </c>
      <c r="E6" s="239" t="s">
        <v>657</v>
      </c>
      <c r="F6" s="239" t="s">
        <v>6</v>
      </c>
      <c r="G6" s="242" t="s">
        <v>658</v>
      </c>
      <c r="H6" s="239" t="s">
        <v>659</v>
      </c>
      <c r="I6" s="239" t="s">
        <v>77</v>
      </c>
      <c r="J6" s="239" t="s">
        <v>77</v>
      </c>
      <c r="K6" s="239" t="s">
        <v>77</v>
      </c>
      <c r="L6" s="239" t="s">
        <v>660</v>
      </c>
      <c r="M6" s="242" t="s">
        <v>661</v>
      </c>
      <c r="N6" s="693" t="s">
        <v>7</v>
      </c>
      <c r="O6" s="533" t="s">
        <v>1788</v>
      </c>
      <c r="P6" s="533" t="s">
        <v>757</v>
      </c>
      <c r="Q6" s="533" t="s">
        <v>7</v>
      </c>
      <c r="R6" s="533" t="s">
        <v>7</v>
      </c>
      <c r="S6" s="533" t="s">
        <v>7</v>
      </c>
      <c r="T6" s="533" t="s">
        <v>7</v>
      </c>
      <c r="U6" s="533" t="s">
        <v>7</v>
      </c>
      <c r="V6" s="533" t="s">
        <v>7</v>
      </c>
      <c r="W6" s="533" t="s">
        <v>7</v>
      </c>
      <c r="X6" s="533" t="s">
        <v>7</v>
      </c>
      <c r="Y6" s="533" t="s">
        <v>1957</v>
      </c>
    </row>
    <row r="7" spans="1:25" ht="89.25" x14ac:dyDescent="0.2">
      <c r="A7" s="239" t="s">
        <v>277</v>
      </c>
      <c r="B7" s="239" t="s">
        <v>50</v>
      </c>
      <c r="C7" s="240" t="s">
        <v>79</v>
      </c>
      <c r="D7" s="239" t="s">
        <v>74</v>
      </c>
      <c r="E7" s="239" t="s">
        <v>662</v>
      </c>
      <c r="F7" s="239" t="s">
        <v>6</v>
      </c>
      <c r="G7" s="242" t="s">
        <v>663</v>
      </c>
      <c r="H7" s="239" t="s">
        <v>77</v>
      </c>
      <c r="I7" s="239" t="s">
        <v>77</v>
      </c>
      <c r="J7" s="239" t="s">
        <v>77</v>
      </c>
      <c r="K7" s="239" t="s">
        <v>77</v>
      </c>
      <c r="L7" s="239" t="s">
        <v>664</v>
      </c>
      <c r="M7" s="242" t="s">
        <v>665</v>
      </c>
      <c r="N7" s="534" t="s">
        <v>7</v>
      </c>
      <c r="O7" s="533" t="s">
        <v>1788</v>
      </c>
      <c r="P7" s="533" t="s">
        <v>757</v>
      </c>
      <c r="Q7" s="533" t="s">
        <v>7</v>
      </c>
      <c r="R7" s="533" t="s">
        <v>7</v>
      </c>
      <c r="S7" s="533" t="s">
        <v>7</v>
      </c>
      <c r="T7" s="533" t="s">
        <v>7</v>
      </c>
      <c r="U7" s="533" t="s">
        <v>7</v>
      </c>
      <c r="V7" s="533" t="s">
        <v>7</v>
      </c>
      <c r="W7" s="533" t="s">
        <v>7</v>
      </c>
      <c r="X7" s="533" t="s">
        <v>7</v>
      </c>
      <c r="Y7" s="533" t="s">
        <v>1892</v>
      </c>
    </row>
    <row r="8" spans="1:25" ht="102" x14ac:dyDescent="0.2">
      <c r="A8" s="239" t="s">
        <v>277</v>
      </c>
      <c r="B8" s="239" t="s">
        <v>50</v>
      </c>
      <c r="C8" s="240" t="s">
        <v>79</v>
      </c>
      <c r="D8" s="239" t="s">
        <v>74</v>
      </c>
      <c r="E8" s="239" t="s">
        <v>666</v>
      </c>
      <c r="F8" s="239" t="s">
        <v>6</v>
      </c>
      <c r="G8" s="242" t="s">
        <v>667</v>
      </c>
      <c r="H8" s="239" t="s">
        <v>77</v>
      </c>
      <c r="I8" s="239" t="s">
        <v>77</v>
      </c>
      <c r="J8" s="239" t="s">
        <v>77</v>
      </c>
      <c r="K8" s="239" t="s">
        <v>77</v>
      </c>
      <c r="L8" s="239" t="s">
        <v>660</v>
      </c>
      <c r="M8" s="242" t="s">
        <v>668</v>
      </c>
      <c r="N8" s="693" t="s">
        <v>7</v>
      </c>
      <c r="O8" s="533" t="s">
        <v>1788</v>
      </c>
      <c r="P8" s="533" t="s">
        <v>757</v>
      </c>
      <c r="Q8" s="533" t="s">
        <v>7</v>
      </c>
      <c r="R8" s="533" t="s">
        <v>7</v>
      </c>
      <c r="S8" s="533" t="s">
        <v>7</v>
      </c>
      <c r="T8" s="533" t="s">
        <v>7</v>
      </c>
      <c r="U8" s="533" t="s">
        <v>7</v>
      </c>
      <c r="V8" s="533" t="s">
        <v>7</v>
      </c>
      <c r="W8" s="533" t="s">
        <v>7</v>
      </c>
      <c r="X8" s="533" t="s">
        <v>7</v>
      </c>
      <c r="Y8" s="533" t="s">
        <v>1958</v>
      </c>
    </row>
    <row r="9" spans="1:25" ht="102" x14ac:dyDescent="0.2">
      <c r="A9" s="239" t="s">
        <v>277</v>
      </c>
      <c r="B9" s="239" t="s">
        <v>50</v>
      </c>
      <c r="C9" s="240" t="s">
        <v>79</v>
      </c>
      <c r="D9" s="239" t="s">
        <v>74</v>
      </c>
      <c r="E9" s="239" t="s">
        <v>669</v>
      </c>
      <c r="F9" s="239" t="s">
        <v>6</v>
      </c>
      <c r="G9" s="242" t="s">
        <v>667</v>
      </c>
      <c r="H9" s="239" t="s">
        <v>659</v>
      </c>
      <c r="I9" s="239" t="s">
        <v>77</v>
      </c>
      <c r="J9" s="239" t="s">
        <v>77</v>
      </c>
      <c r="K9" s="239" t="s">
        <v>77</v>
      </c>
      <c r="L9" s="239" t="s">
        <v>660</v>
      </c>
      <c r="M9" s="242" t="s">
        <v>668</v>
      </c>
      <c r="N9" s="693" t="s">
        <v>7</v>
      </c>
      <c r="O9" s="533" t="s">
        <v>1788</v>
      </c>
      <c r="P9" s="533" t="s">
        <v>757</v>
      </c>
      <c r="Q9" s="533" t="s">
        <v>7</v>
      </c>
      <c r="R9" s="533" t="s">
        <v>7</v>
      </c>
      <c r="S9" s="533" t="s">
        <v>7</v>
      </c>
      <c r="T9" s="533" t="s">
        <v>7</v>
      </c>
      <c r="U9" s="533" t="s">
        <v>7</v>
      </c>
      <c r="V9" s="533" t="s">
        <v>7</v>
      </c>
      <c r="W9" s="533" t="s">
        <v>7</v>
      </c>
      <c r="X9" s="533" t="s">
        <v>7</v>
      </c>
      <c r="Y9" s="533" t="s">
        <v>1958</v>
      </c>
    </row>
    <row r="10" spans="1:25" ht="127.5" x14ac:dyDescent="0.2">
      <c r="A10" s="239" t="s">
        <v>277</v>
      </c>
      <c r="B10" s="239" t="s">
        <v>50</v>
      </c>
      <c r="C10" s="240" t="s">
        <v>79</v>
      </c>
      <c r="D10" s="239" t="s">
        <v>74</v>
      </c>
      <c r="E10" s="239" t="s">
        <v>78</v>
      </c>
      <c r="F10" s="239" t="s">
        <v>6</v>
      </c>
      <c r="G10" s="242" t="s">
        <v>670</v>
      </c>
      <c r="H10" s="239" t="s">
        <v>659</v>
      </c>
      <c r="I10" s="239" t="s">
        <v>77</v>
      </c>
      <c r="J10" s="239" t="s">
        <v>77</v>
      </c>
      <c r="K10" s="239" t="s">
        <v>77</v>
      </c>
      <c r="L10" s="239" t="s">
        <v>660</v>
      </c>
      <c r="M10" s="242" t="s">
        <v>668</v>
      </c>
      <c r="N10" s="693" t="s">
        <v>7</v>
      </c>
      <c r="O10" s="533" t="s">
        <v>1788</v>
      </c>
      <c r="P10" s="533" t="s">
        <v>757</v>
      </c>
      <c r="Q10" s="533" t="s">
        <v>7</v>
      </c>
      <c r="R10" s="533" t="s">
        <v>7</v>
      </c>
      <c r="S10" s="533" t="s">
        <v>7</v>
      </c>
      <c r="T10" s="533" t="s">
        <v>7</v>
      </c>
      <c r="U10" s="533" t="s">
        <v>7</v>
      </c>
      <c r="V10" s="533" t="s">
        <v>7</v>
      </c>
      <c r="W10" s="533" t="s">
        <v>7</v>
      </c>
      <c r="X10" s="533" t="s">
        <v>7</v>
      </c>
      <c r="Y10" s="533" t="s">
        <v>1959</v>
      </c>
    </row>
    <row r="11" spans="1:25" ht="76.5" x14ac:dyDescent="0.2">
      <c r="A11" s="239" t="s">
        <v>277</v>
      </c>
      <c r="B11" s="239" t="s">
        <v>50</v>
      </c>
      <c r="C11" s="240" t="s">
        <v>79</v>
      </c>
      <c r="D11" s="239" t="s">
        <v>74</v>
      </c>
      <c r="E11" s="239" t="s">
        <v>671</v>
      </c>
      <c r="F11" s="239" t="s">
        <v>6</v>
      </c>
      <c r="G11" s="242" t="s">
        <v>667</v>
      </c>
      <c r="H11" s="239" t="s">
        <v>77</v>
      </c>
      <c r="I11" s="239" t="s">
        <v>77</v>
      </c>
      <c r="J11" s="239" t="s">
        <v>77</v>
      </c>
      <c r="K11" s="239" t="s">
        <v>77</v>
      </c>
      <c r="L11" s="239" t="s">
        <v>660</v>
      </c>
      <c r="M11" s="242" t="s">
        <v>668</v>
      </c>
      <c r="N11" s="693" t="s">
        <v>7</v>
      </c>
      <c r="O11" s="533" t="s">
        <v>1960</v>
      </c>
      <c r="P11" s="533" t="s">
        <v>757</v>
      </c>
      <c r="Q11" s="533" t="s">
        <v>7</v>
      </c>
      <c r="R11" s="533" t="s">
        <v>7</v>
      </c>
      <c r="S11" s="533" t="s">
        <v>7</v>
      </c>
      <c r="T11" s="533" t="s">
        <v>6</v>
      </c>
      <c r="U11" s="533" t="s">
        <v>6</v>
      </c>
      <c r="V11" s="533" t="s">
        <v>6</v>
      </c>
      <c r="W11" s="533" t="s">
        <v>77</v>
      </c>
      <c r="X11" s="533" t="s">
        <v>7</v>
      </c>
      <c r="Y11" s="533" t="s">
        <v>1961</v>
      </c>
    </row>
    <row r="12" spans="1:25" x14ac:dyDescent="0.2">
      <c r="A12" s="19"/>
      <c r="B12" s="19"/>
      <c r="C12" s="19"/>
      <c r="D12" s="19"/>
      <c r="E12" s="19"/>
      <c r="F12" s="19"/>
      <c r="G12" s="19"/>
      <c r="H12" s="19"/>
      <c r="I12" s="19"/>
      <c r="J12" s="19"/>
      <c r="K12" s="19"/>
      <c r="L12" s="19"/>
      <c r="M12" s="19"/>
      <c r="N12" s="230"/>
      <c r="O12" s="68"/>
      <c r="P12" s="230"/>
      <c r="Q12" s="230"/>
      <c r="R12" s="230"/>
      <c r="S12" s="230"/>
      <c r="T12" s="230"/>
      <c r="U12" s="230"/>
    </row>
    <row r="13" spans="1:25" x14ac:dyDescent="0.2">
      <c r="A13" s="19"/>
      <c r="B13" s="19"/>
      <c r="C13" s="19"/>
      <c r="D13" s="19"/>
      <c r="E13" s="19"/>
      <c r="F13" s="19"/>
      <c r="G13" s="19"/>
      <c r="H13" s="19"/>
      <c r="I13" s="19"/>
      <c r="J13" s="19"/>
      <c r="K13" s="19"/>
      <c r="L13" s="19"/>
      <c r="M13" s="19"/>
      <c r="N13" s="230"/>
      <c r="O13" s="68"/>
      <c r="P13" s="230"/>
      <c r="Q13" s="230"/>
      <c r="R13" s="230"/>
      <c r="S13" s="230"/>
      <c r="T13" s="230"/>
      <c r="U13" s="230"/>
    </row>
    <row r="14" spans="1:25" x14ac:dyDescent="0.2">
      <c r="A14" s="19"/>
      <c r="B14" s="19"/>
      <c r="C14" s="19"/>
      <c r="D14" s="19"/>
      <c r="E14" s="19"/>
      <c r="F14" s="19"/>
      <c r="G14" s="19"/>
      <c r="H14" s="19"/>
      <c r="I14" s="19"/>
      <c r="J14" s="19"/>
      <c r="K14" s="19"/>
      <c r="L14" s="19"/>
      <c r="M14" s="19"/>
      <c r="N14" s="230"/>
      <c r="O14" s="68"/>
      <c r="P14" s="230"/>
      <c r="Q14" s="230"/>
      <c r="R14" s="230"/>
      <c r="S14" s="230"/>
      <c r="T14" s="230"/>
      <c r="U14" s="230"/>
    </row>
    <row r="15" spans="1:25" x14ac:dyDescent="0.2">
      <c r="M15" s="230"/>
      <c r="N15" s="230"/>
      <c r="O15" s="68"/>
      <c r="P15" s="230"/>
      <c r="Q15" s="230"/>
      <c r="R15" s="230"/>
      <c r="S15" s="230"/>
      <c r="T15" s="230"/>
      <c r="U15" s="230"/>
    </row>
    <row r="16" spans="1:25" x14ac:dyDescent="0.2">
      <c r="M16" s="230"/>
      <c r="N16" s="230"/>
      <c r="O16" s="68"/>
      <c r="P16" s="230"/>
      <c r="Q16" s="230"/>
      <c r="R16" s="230"/>
      <c r="S16" s="230"/>
      <c r="T16" s="230"/>
      <c r="U16" s="230"/>
    </row>
    <row r="17" spans="13:21" x14ac:dyDescent="0.2">
      <c r="M17" s="230"/>
      <c r="N17" s="230"/>
      <c r="O17" s="68"/>
      <c r="P17" s="230"/>
      <c r="Q17" s="230"/>
      <c r="R17" s="230"/>
      <c r="S17" s="230"/>
      <c r="T17" s="230"/>
      <c r="U17" s="230"/>
    </row>
    <row r="18" spans="13:21" x14ac:dyDescent="0.2">
      <c r="M18" s="230"/>
      <c r="N18" s="230"/>
      <c r="O18" s="68"/>
      <c r="P18" s="230"/>
      <c r="Q18" s="230"/>
      <c r="R18" s="230"/>
      <c r="S18" s="230"/>
      <c r="T18" s="230"/>
      <c r="U18" s="230"/>
    </row>
    <row r="19" spans="13:21" x14ac:dyDescent="0.2">
      <c r="M19" s="230"/>
      <c r="N19" s="230"/>
      <c r="O19" s="68"/>
      <c r="P19" s="230"/>
      <c r="Q19" s="230"/>
      <c r="R19" s="230"/>
      <c r="S19" s="230"/>
      <c r="T19" s="230"/>
      <c r="U19" s="230"/>
    </row>
    <row r="20" spans="13:21" x14ac:dyDescent="0.2">
      <c r="M20" s="230"/>
      <c r="N20" s="230"/>
      <c r="O20" s="68"/>
      <c r="P20" s="230"/>
      <c r="Q20" s="230"/>
      <c r="R20" s="230"/>
      <c r="S20" s="230"/>
      <c r="T20" s="230"/>
      <c r="U20" s="230"/>
    </row>
    <row r="21" spans="13:21" x14ac:dyDescent="0.2">
      <c r="M21" s="230"/>
      <c r="N21" s="230"/>
      <c r="O21" s="230"/>
      <c r="P21" s="230"/>
      <c r="Q21" s="230"/>
      <c r="R21" s="230"/>
      <c r="S21" s="230"/>
      <c r="T21" s="230"/>
      <c r="U21" s="230"/>
    </row>
    <row r="22" spans="13:21" x14ac:dyDescent="0.2">
      <c r="M22" s="230"/>
      <c r="N22" s="230"/>
      <c r="O22" s="230"/>
      <c r="P22" s="230"/>
      <c r="Q22" s="230"/>
    </row>
    <row r="23" spans="13:21" x14ac:dyDescent="0.2">
      <c r="M23" s="230"/>
      <c r="N23" s="230"/>
      <c r="O23" s="230"/>
      <c r="P23" s="230"/>
      <c r="Q23" s="230"/>
    </row>
    <row r="24" spans="13:21" x14ac:dyDescent="0.2">
      <c r="M24" s="230"/>
      <c r="N24" s="230"/>
      <c r="O24" s="230"/>
      <c r="P24" s="230"/>
      <c r="Q24" s="230"/>
    </row>
    <row r="25" spans="13:21" x14ac:dyDescent="0.2">
      <c r="M25" s="230"/>
      <c r="N25" s="230"/>
      <c r="O25" s="230"/>
      <c r="P25" s="230"/>
      <c r="Q25" s="230"/>
    </row>
    <row r="26" spans="13:21" x14ac:dyDescent="0.2">
      <c r="M26" s="230"/>
      <c r="N26" s="230"/>
      <c r="O26" s="230"/>
      <c r="P26" s="230"/>
      <c r="Q26" s="230"/>
    </row>
    <row r="27" spans="13:21" x14ac:dyDescent="0.2">
      <c r="M27" s="230"/>
      <c r="N27" s="230"/>
      <c r="O27" s="230"/>
      <c r="P27" s="230"/>
      <c r="Q27" s="230"/>
    </row>
    <row r="28" spans="13:21" x14ac:dyDescent="0.2">
      <c r="M28" s="230"/>
      <c r="N28" s="230"/>
      <c r="O28" s="230"/>
      <c r="P28" s="230"/>
      <c r="Q28" s="230"/>
    </row>
    <row r="29" spans="13:21" x14ac:dyDescent="0.2">
      <c r="M29" s="230"/>
      <c r="N29" s="230"/>
      <c r="O29" s="230"/>
      <c r="P29" s="230"/>
      <c r="Q29" s="230"/>
    </row>
    <row r="30" spans="13:21" x14ac:dyDescent="0.2">
      <c r="M30" s="230"/>
      <c r="N30" s="230"/>
      <c r="O30" s="230"/>
      <c r="P30" s="230"/>
      <c r="Q30" s="230"/>
    </row>
    <row r="31" spans="13:21" x14ac:dyDescent="0.2">
      <c r="M31" s="230"/>
      <c r="N31" s="230"/>
      <c r="O31" s="230"/>
      <c r="P31" s="230"/>
      <c r="Q31" s="230"/>
    </row>
    <row r="32" spans="13:21" x14ac:dyDescent="0.2">
      <c r="M32" s="230"/>
      <c r="N32" s="230"/>
      <c r="O32" s="230"/>
      <c r="P32" s="230"/>
      <c r="Q32" s="230"/>
    </row>
    <row r="33" spans="13:17" x14ac:dyDescent="0.2">
      <c r="M33" s="230"/>
      <c r="N33" s="230"/>
      <c r="O33" s="230"/>
      <c r="P33" s="230"/>
      <c r="Q33" s="230"/>
    </row>
    <row r="34" spans="13:17" x14ac:dyDescent="0.2">
      <c r="M34" s="230"/>
      <c r="N34" s="230"/>
      <c r="O34" s="230"/>
      <c r="P34" s="230"/>
      <c r="Q34" s="230"/>
    </row>
    <row r="35" spans="13:17" x14ac:dyDescent="0.2">
      <c r="M35" s="230"/>
      <c r="N35" s="230"/>
      <c r="O35" s="230"/>
      <c r="P35" s="230"/>
      <c r="Q35" s="230"/>
    </row>
    <row r="36" spans="13:17" x14ac:dyDescent="0.2">
      <c r="M36" s="230"/>
      <c r="N36" s="230"/>
      <c r="O36" s="230"/>
      <c r="P36" s="230"/>
      <c r="Q36" s="230"/>
    </row>
    <row r="37" spans="13:17" x14ac:dyDescent="0.2">
      <c r="M37" s="230"/>
      <c r="N37" s="230"/>
      <c r="O37" s="230"/>
      <c r="P37" s="230"/>
      <c r="Q37" s="230"/>
    </row>
    <row r="38" spans="13:17" x14ac:dyDescent="0.2">
      <c r="M38" s="230"/>
      <c r="N38" s="230"/>
      <c r="O38" s="230"/>
      <c r="P38" s="230"/>
      <c r="Q38" s="230"/>
    </row>
    <row r="39" spans="13:17" x14ac:dyDescent="0.2">
      <c r="M39" s="230"/>
      <c r="N39" s="230"/>
      <c r="O39" s="230"/>
      <c r="P39" s="230"/>
      <c r="Q39" s="230"/>
    </row>
    <row r="40" spans="13:17" x14ac:dyDescent="0.2">
      <c r="M40" s="230"/>
      <c r="N40" s="230"/>
      <c r="O40" s="230"/>
      <c r="P40" s="230"/>
      <c r="Q40" s="230"/>
    </row>
    <row r="41" spans="13:17" x14ac:dyDescent="0.2">
      <c r="M41" s="230"/>
      <c r="N41" s="230"/>
      <c r="O41" s="230"/>
      <c r="P41" s="230"/>
      <c r="Q41" s="230"/>
    </row>
    <row r="42" spans="13:17" x14ac:dyDescent="0.2">
      <c r="M42" s="230"/>
      <c r="N42" s="230"/>
      <c r="O42" s="230"/>
      <c r="P42" s="230"/>
      <c r="Q42" s="230"/>
    </row>
    <row r="43" spans="13:17" x14ac:dyDescent="0.2">
      <c r="M43" s="230"/>
      <c r="N43" s="230"/>
      <c r="O43" s="230"/>
      <c r="P43" s="230"/>
      <c r="Q43" s="230"/>
    </row>
    <row r="44" spans="13:17" x14ac:dyDescent="0.2">
      <c r="M44" s="230"/>
      <c r="N44" s="230"/>
      <c r="O44" s="230"/>
      <c r="P44" s="230"/>
      <c r="Q44" s="230"/>
    </row>
    <row r="45" spans="13:17" x14ac:dyDescent="0.2">
      <c r="M45" s="230"/>
      <c r="N45" s="230"/>
      <c r="O45" s="230"/>
      <c r="P45" s="230"/>
      <c r="Q45" s="230"/>
    </row>
    <row r="46" spans="13:17" x14ac:dyDescent="0.2">
      <c r="M46" s="230"/>
      <c r="N46" s="230"/>
      <c r="O46" s="230"/>
      <c r="P46" s="230"/>
      <c r="Q46" s="230"/>
    </row>
    <row r="47" spans="13:17" x14ac:dyDescent="0.2">
      <c r="M47" s="230"/>
      <c r="N47" s="230"/>
      <c r="O47" s="230"/>
      <c r="P47" s="230"/>
      <c r="Q47" s="230"/>
    </row>
    <row r="48" spans="13:17" x14ac:dyDescent="0.2">
      <c r="M48" s="230"/>
      <c r="N48" s="230"/>
      <c r="O48" s="230"/>
      <c r="P48" s="230"/>
      <c r="Q48" s="230"/>
    </row>
    <row r="49" spans="13:17" x14ac:dyDescent="0.2">
      <c r="M49" s="230"/>
      <c r="N49" s="230"/>
      <c r="O49" s="230"/>
      <c r="P49" s="230"/>
      <c r="Q49" s="230"/>
    </row>
    <row r="50" spans="13:17" x14ac:dyDescent="0.2">
      <c r="M50" s="230"/>
      <c r="N50" s="230"/>
      <c r="O50" s="230"/>
      <c r="P50" s="230"/>
      <c r="Q50" s="230"/>
    </row>
    <row r="51" spans="13:17" x14ac:dyDescent="0.2">
      <c r="M51" s="230"/>
      <c r="N51" s="230"/>
      <c r="O51" s="230"/>
      <c r="P51" s="230"/>
      <c r="Q51" s="230"/>
    </row>
    <row r="52" spans="13:17" x14ac:dyDescent="0.2">
      <c r="M52" s="230"/>
      <c r="N52" s="230"/>
      <c r="O52" s="230"/>
      <c r="P52" s="230"/>
      <c r="Q52" s="230"/>
    </row>
    <row r="53" spans="13:17" x14ac:dyDescent="0.2">
      <c r="M53" s="230"/>
      <c r="N53" s="230"/>
      <c r="O53" s="230"/>
      <c r="P53" s="230"/>
      <c r="Q53" s="230"/>
    </row>
    <row r="54" spans="13:17" x14ac:dyDescent="0.2">
      <c r="M54" s="230"/>
      <c r="N54" s="230"/>
      <c r="O54" s="230"/>
      <c r="P54" s="230"/>
      <c r="Q54" s="230"/>
    </row>
    <row r="55" spans="13:17" x14ac:dyDescent="0.2">
      <c r="M55" s="230"/>
      <c r="N55" s="230"/>
      <c r="O55" s="230"/>
      <c r="P55" s="230"/>
      <c r="Q55" s="230"/>
    </row>
    <row r="56" spans="13:17" x14ac:dyDescent="0.2">
      <c r="M56" s="230"/>
      <c r="N56" s="230"/>
      <c r="O56" s="230"/>
      <c r="P56" s="230"/>
      <c r="Q56" s="230"/>
    </row>
    <row r="57" spans="13:17" x14ac:dyDescent="0.2">
      <c r="M57" s="230"/>
      <c r="N57" s="230"/>
      <c r="O57" s="230"/>
      <c r="P57" s="230"/>
      <c r="Q57" s="230"/>
    </row>
    <row r="58" spans="13:17" x14ac:dyDescent="0.2">
      <c r="M58" s="230"/>
      <c r="N58" s="230"/>
      <c r="O58" s="230"/>
      <c r="P58" s="230"/>
      <c r="Q58" s="230"/>
    </row>
    <row r="59" spans="13:17" x14ac:dyDescent="0.2">
      <c r="M59" s="230"/>
      <c r="N59" s="230"/>
      <c r="O59" s="230"/>
      <c r="P59" s="230"/>
      <c r="Q59" s="230"/>
    </row>
    <row r="60" spans="13:17" x14ac:dyDescent="0.2">
      <c r="M60" s="230"/>
      <c r="N60" s="230"/>
      <c r="O60" s="230"/>
      <c r="P60" s="230"/>
      <c r="Q60" s="230"/>
    </row>
    <row r="61" spans="13:17" x14ac:dyDescent="0.2">
      <c r="M61" s="230"/>
      <c r="N61" s="230"/>
      <c r="O61" s="230"/>
      <c r="P61" s="230"/>
      <c r="Q61" s="230"/>
    </row>
    <row r="62" spans="13:17" x14ac:dyDescent="0.2">
      <c r="M62" s="230"/>
      <c r="N62" s="230"/>
      <c r="O62" s="230"/>
      <c r="P62" s="230"/>
      <c r="Q62" s="230"/>
    </row>
    <row r="63" spans="13:17" x14ac:dyDescent="0.2">
      <c r="M63" s="230"/>
      <c r="N63" s="230"/>
      <c r="O63" s="230"/>
      <c r="P63" s="230"/>
      <c r="Q63" s="230"/>
    </row>
    <row r="64" spans="13:17" x14ac:dyDescent="0.2">
      <c r="M64" s="230"/>
      <c r="N64" s="230"/>
      <c r="O64" s="230"/>
      <c r="P64" s="230"/>
      <c r="Q64" s="230"/>
    </row>
    <row r="65" spans="13:17" x14ac:dyDescent="0.2">
      <c r="M65" s="230"/>
      <c r="N65" s="230"/>
      <c r="O65" s="230"/>
      <c r="P65" s="230"/>
      <c r="Q65" s="230"/>
    </row>
    <row r="66" spans="13:17" x14ac:dyDescent="0.2">
      <c r="M66" s="230"/>
      <c r="N66" s="230"/>
      <c r="O66" s="230"/>
      <c r="P66" s="230"/>
      <c r="Q66" s="230"/>
    </row>
    <row r="67" spans="13:17" x14ac:dyDescent="0.2">
      <c r="M67" s="230"/>
      <c r="N67" s="230"/>
      <c r="O67" s="230"/>
      <c r="P67" s="230"/>
      <c r="Q67" s="230"/>
    </row>
    <row r="68" spans="13:17" x14ac:dyDescent="0.2">
      <c r="M68" s="230"/>
      <c r="N68" s="230"/>
      <c r="O68" s="230"/>
      <c r="P68" s="230"/>
      <c r="Q68" s="230"/>
    </row>
    <row r="69" spans="13:17" x14ac:dyDescent="0.2">
      <c r="M69" s="230"/>
      <c r="N69" s="230"/>
      <c r="O69" s="230"/>
      <c r="P69" s="230"/>
      <c r="Q69" s="230"/>
    </row>
    <row r="70" spans="13:17" x14ac:dyDescent="0.2">
      <c r="M70" s="230"/>
      <c r="N70" s="230"/>
      <c r="O70" s="230"/>
      <c r="P70" s="230"/>
      <c r="Q70" s="230"/>
    </row>
    <row r="71" spans="13:17" x14ac:dyDescent="0.2">
      <c r="M71" s="230"/>
      <c r="N71" s="230"/>
      <c r="O71" s="230"/>
      <c r="P71" s="230"/>
      <c r="Q71" s="230"/>
    </row>
    <row r="72" spans="13:17" x14ac:dyDescent="0.2">
      <c r="M72" s="230"/>
      <c r="N72" s="230"/>
      <c r="O72" s="230"/>
      <c r="P72" s="230"/>
      <c r="Q72" s="230"/>
    </row>
    <row r="73" spans="13:17" x14ac:dyDescent="0.2">
      <c r="M73" s="230"/>
      <c r="N73" s="230"/>
      <c r="O73" s="230"/>
      <c r="P73" s="230"/>
      <c r="Q73" s="230"/>
    </row>
    <row r="74" spans="13:17" x14ac:dyDescent="0.2">
      <c r="M74" s="230"/>
      <c r="N74" s="230"/>
      <c r="O74" s="230"/>
      <c r="P74" s="230"/>
      <c r="Q74" s="230"/>
    </row>
    <row r="75" spans="13:17" x14ac:dyDescent="0.2">
      <c r="M75" s="230"/>
      <c r="N75" s="230"/>
      <c r="O75" s="230"/>
      <c r="P75" s="230"/>
      <c r="Q75" s="230"/>
    </row>
    <row r="76" spans="13:17" x14ac:dyDescent="0.2">
      <c r="M76" s="230"/>
      <c r="N76" s="230"/>
      <c r="O76" s="230"/>
      <c r="P76" s="230"/>
      <c r="Q76" s="230"/>
    </row>
    <row r="77" spans="13:17" x14ac:dyDescent="0.2">
      <c r="M77" s="230"/>
      <c r="N77" s="230"/>
      <c r="O77" s="230"/>
      <c r="P77" s="230"/>
      <c r="Q77" s="230"/>
    </row>
    <row r="78" spans="13:17" x14ac:dyDescent="0.2">
      <c r="M78" s="230"/>
      <c r="N78" s="230"/>
      <c r="O78" s="230"/>
      <c r="P78" s="230"/>
      <c r="Q78" s="230"/>
    </row>
    <row r="79" spans="13:17" x14ac:dyDescent="0.2">
      <c r="M79" s="230"/>
      <c r="N79" s="230"/>
      <c r="O79" s="230"/>
      <c r="P79" s="230"/>
      <c r="Q79" s="230"/>
    </row>
    <row r="80" spans="13:17" x14ac:dyDescent="0.2">
      <c r="M80" s="230"/>
      <c r="N80" s="230"/>
      <c r="O80" s="230"/>
      <c r="P80" s="230"/>
      <c r="Q80" s="230"/>
    </row>
    <row r="81" spans="13:17" x14ac:dyDescent="0.2">
      <c r="M81" s="230"/>
      <c r="N81" s="230"/>
      <c r="O81" s="230"/>
      <c r="P81" s="230"/>
      <c r="Q81" s="230"/>
    </row>
    <row r="82" spans="13:17" x14ac:dyDescent="0.2">
      <c r="M82" s="230"/>
      <c r="N82" s="230"/>
      <c r="O82" s="230"/>
      <c r="P82" s="230"/>
      <c r="Q82" s="230"/>
    </row>
    <row r="83" spans="13:17" x14ac:dyDescent="0.2">
      <c r="M83" s="230"/>
      <c r="N83" s="230"/>
      <c r="O83" s="230"/>
      <c r="P83" s="230"/>
      <c r="Q83" s="230"/>
    </row>
    <row r="84" spans="13:17" x14ac:dyDescent="0.2">
      <c r="M84" s="230"/>
      <c r="N84" s="230"/>
      <c r="O84" s="230"/>
      <c r="P84" s="230"/>
      <c r="Q84" s="230"/>
    </row>
    <row r="85" spans="13:17" x14ac:dyDescent="0.2">
      <c r="M85" s="230"/>
      <c r="N85" s="230"/>
      <c r="O85" s="230"/>
      <c r="P85" s="230"/>
      <c r="Q85" s="230"/>
    </row>
    <row r="86" spans="13:17" x14ac:dyDescent="0.2">
      <c r="M86" s="230"/>
      <c r="N86" s="230"/>
      <c r="O86" s="230"/>
      <c r="P86" s="230"/>
      <c r="Q86" s="230"/>
    </row>
    <row r="87" spans="13:17" x14ac:dyDescent="0.2">
      <c r="M87" s="230"/>
      <c r="N87" s="230"/>
      <c r="O87" s="230"/>
      <c r="P87" s="230"/>
      <c r="Q87" s="230"/>
    </row>
    <row r="88" spans="13:17" x14ac:dyDescent="0.2">
      <c r="M88" s="230"/>
      <c r="N88" s="230"/>
      <c r="O88" s="230"/>
      <c r="P88" s="230"/>
      <c r="Q88" s="230"/>
    </row>
    <row r="89" spans="13:17" x14ac:dyDescent="0.2">
      <c r="M89" s="230"/>
      <c r="N89" s="230"/>
      <c r="O89" s="230"/>
      <c r="P89" s="230"/>
      <c r="Q89" s="230"/>
    </row>
    <row r="90" spans="13:17" x14ac:dyDescent="0.2">
      <c r="M90" s="230"/>
      <c r="N90" s="230"/>
      <c r="O90" s="230"/>
      <c r="P90" s="230"/>
      <c r="Q90" s="230"/>
    </row>
    <row r="91" spans="13:17" x14ac:dyDescent="0.2">
      <c r="M91" s="230"/>
      <c r="N91" s="230"/>
      <c r="O91" s="230"/>
      <c r="P91" s="230"/>
      <c r="Q91" s="230"/>
    </row>
    <row r="92" spans="13:17" x14ac:dyDescent="0.2">
      <c r="M92" s="230"/>
      <c r="N92" s="230"/>
      <c r="O92" s="230"/>
      <c r="P92" s="230"/>
      <c r="Q92" s="230"/>
    </row>
    <row r="93" spans="13:17" x14ac:dyDescent="0.2">
      <c r="M93" s="230"/>
      <c r="N93" s="230"/>
      <c r="O93" s="230"/>
      <c r="P93" s="230"/>
      <c r="Q93" s="230"/>
    </row>
    <row r="94" spans="13:17" x14ac:dyDescent="0.2">
      <c r="M94" s="230"/>
      <c r="N94" s="230"/>
      <c r="O94" s="230"/>
      <c r="P94" s="230"/>
      <c r="Q94" s="230"/>
    </row>
    <row r="95" spans="13:17" x14ac:dyDescent="0.2">
      <c r="M95" s="230"/>
      <c r="N95" s="230"/>
      <c r="O95" s="230"/>
      <c r="P95" s="230"/>
      <c r="Q95" s="230"/>
    </row>
    <row r="96" spans="13:17" x14ac:dyDescent="0.2">
      <c r="M96" s="230"/>
      <c r="N96" s="230"/>
      <c r="O96" s="230"/>
      <c r="P96" s="230"/>
      <c r="Q96" s="230"/>
    </row>
    <row r="97" spans="13:17" x14ac:dyDescent="0.2">
      <c r="M97" s="230"/>
      <c r="N97" s="230"/>
      <c r="O97" s="230"/>
      <c r="P97" s="230"/>
      <c r="Q97" s="230"/>
    </row>
    <row r="98" spans="13:17" x14ac:dyDescent="0.2">
      <c r="M98" s="230"/>
      <c r="N98" s="230"/>
      <c r="O98" s="230"/>
      <c r="P98" s="230"/>
      <c r="Q98" s="230"/>
    </row>
    <row r="99" spans="13:17" x14ac:dyDescent="0.2">
      <c r="M99" s="230"/>
      <c r="N99" s="230"/>
      <c r="O99" s="230"/>
      <c r="P99" s="230"/>
      <c r="Q99" s="230"/>
    </row>
    <row r="100" spans="13:17" x14ac:dyDescent="0.2">
      <c r="M100" s="230"/>
      <c r="N100" s="230"/>
      <c r="O100" s="230"/>
      <c r="P100" s="230"/>
      <c r="Q100" s="230"/>
    </row>
    <row r="101" spans="13:17" x14ac:dyDescent="0.2">
      <c r="M101" s="230"/>
      <c r="N101" s="230"/>
      <c r="O101" s="230"/>
      <c r="P101" s="230"/>
      <c r="Q101" s="230"/>
    </row>
    <row r="102" spans="13:17" x14ac:dyDescent="0.2">
      <c r="M102" s="230"/>
      <c r="N102" s="230"/>
      <c r="O102" s="230"/>
      <c r="P102" s="230"/>
      <c r="Q102" s="230"/>
    </row>
    <row r="103" spans="13:17" x14ac:dyDescent="0.2">
      <c r="M103" s="230"/>
      <c r="N103" s="230"/>
      <c r="O103" s="230"/>
      <c r="P103" s="230"/>
      <c r="Q103" s="230"/>
    </row>
    <row r="104" spans="13:17" x14ac:dyDescent="0.2">
      <c r="M104" s="230"/>
      <c r="N104" s="230"/>
      <c r="O104" s="230"/>
      <c r="P104" s="230"/>
      <c r="Q104" s="230"/>
    </row>
    <row r="105" spans="13:17" x14ac:dyDescent="0.2">
      <c r="M105" s="230"/>
      <c r="N105" s="230"/>
      <c r="O105" s="230"/>
      <c r="P105" s="230"/>
      <c r="Q105" s="230"/>
    </row>
    <row r="106" spans="13:17" x14ac:dyDescent="0.2">
      <c r="M106" s="230"/>
      <c r="N106" s="230"/>
      <c r="O106" s="230"/>
      <c r="P106" s="230"/>
      <c r="Q106" s="230"/>
    </row>
    <row r="107" spans="13:17" x14ac:dyDescent="0.2">
      <c r="M107" s="230"/>
      <c r="N107" s="230"/>
      <c r="O107" s="230"/>
      <c r="P107" s="230"/>
      <c r="Q107" s="230"/>
    </row>
    <row r="108" spans="13:17" x14ac:dyDescent="0.2">
      <c r="M108" s="230"/>
      <c r="N108" s="230"/>
      <c r="O108" s="230"/>
      <c r="P108" s="230"/>
      <c r="Q108" s="230"/>
    </row>
    <row r="109" spans="13:17" x14ac:dyDescent="0.2">
      <c r="M109" s="230"/>
      <c r="N109" s="230"/>
      <c r="O109" s="230"/>
      <c r="P109" s="230"/>
      <c r="Q109" s="230"/>
    </row>
    <row r="110" spans="13:17" x14ac:dyDescent="0.2">
      <c r="M110" s="230"/>
      <c r="N110" s="230"/>
      <c r="O110" s="230"/>
      <c r="P110" s="230"/>
      <c r="Q110" s="230"/>
    </row>
    <row r="111" spans="13:17" x14ac:dyDescent="0.2">
      <c r="M111" s="230"/>
      <c r="N111" s="230"/>
      <c r="O111" s="230"/>
      <c r="P111" s="230"/>
      <c r="Q111" s="230"/>
    </row>
    <row r="112" spans="13:17" x14ac:dyDescent="0.2">
      <c r="M112" s="230"/>
      <c r="N112" s="230"/>
      <c r="O112" s="230"/>
      <c r="P112" s="230"/>
      <c r="Q112" s="230"/>
    </row>
    <row r="113" spans="13:17" x14ac:dyDescent="0.2">
      <c r="M113" s="230"/>
      <c r="N113" s="230"/>
      <c r="O113" s="230"/>
      <c r="P113" s="230"/>
      <c r="Q113" s="230"/>
    </row>
    <row r="114" spans="13:17" x14ac:dyDescent="0.2">
      <c r="M114" s="230"/>
      <c r="N114" s="230"/>
      <c r="O114" s="230"/>
      <c r="P114" s="230"/>
      <c r="Q114" s="230"/>
    </row>
    <row r="115" spans="13:17" x14ac:dyDescent="0.2">
      <c r="M115" s="230"/>
      <c r="N115" s="230"/>
      <c r="O115" s="230"/>
      <c r="P115" s="230"/>
      <c r="Q115" s="230"/>
    </row>
    <row r="116" spans="13:17" x14ac:dyDescent="0.2">
      <c r="M116" s="230"/>
      <c r="N116" s="230"/>
      <c r="O116" s="230"/>
      <c r="P116" s="230"/>
      <c r="Q116" s="230"/>
    </row>
    <row r="117" spans="13:17" x14ac:dyDescent="0.2">
      <c r="M117" s="230"/>
      <c r="N117" s="230"/>
      <c r="O117" s="230"/>
      <c r="P117" s="230"/>
      <c r="Q117" s="230"/>
    </row>
    <row r="118" spans="13:17" x14ac:dyDescent="0.2">
      <c r="M118" s="230"/>
      <c r="N118" s="230"/>
      <c r="O118" s="230"/>
      <c r="P118" s="230"/>
      <c r="Q118" s="230"/>
    </row>
    <row r="119" spans="13:17" x14ac:dyDescent="0.2">
      <c r="M119" s="230"/>
      <c r="N119" s="230"/>
      <c r="O119" s="230"/>
      <c r="P119" s="230"/>
      <c r="Q119" s="230"/>
    </row>
    <row r="120" spans="13:17" x14ac:dyDescent="0.2">
      <c r="M120" s="230"/>
      <c r="N120" s="230"/>
      <c r="O120" s="230"/>
      <c r="P120" s="230"/>
      <c r="Q120" s="230"/>
    </row>
    <row r="121" spans="13:17" x14ac:dyDescent="0.2">
      <c r="M121" s="230"/>
      <c r="N121" s="230"/>
      <c r="O121" s="230"/>
      <c r="P121" s="230"/>
      <c r="Q121" s="230"/>
    </row>
    <row r="122" spans="13:17" x14ac:dyDescent="0.2">
      <c r="M122" s="230"/>
      <c r="N122" s="230"/>
      <c r="O122" s="230"/>
      <c r="P122" s="230"/>
      <c r="Q122" s="230"/>
    </row>
    <row r="123" spans="13:17" x14ac:dyDescent="0.2">
      <c r="M123" s="230"/>
      <c r="N123" s="230"/>
      <c r="O123" s="230"/>
      <c r="P123" s="230"/>
      <c r="Q123" s="230"/>
    </row>
    <row r="124" spans="13:17" x14ac:dyDescent="0.2">
      <c r="M124" s="230"/>
      <c r="N124" s="230"/>
      <c r="O124" s="230"/>
      <c r="P124" s="230"/>
      <c r="Q124" s="230"/>
    </row>
    <row r="125" spans="13:17" x14ac:dyDescent="0.2">
      <c r="M125" s="230"/>
      <c r="N125" s="230"/>
      <c r="O125" s="230"/>
      <c r="P125" s="230"/>
      <c r="Q125" s="230"/>
    </row>
    <row r="126" spans="13:17" x14ac:dyDescent="0.2">
      <c r="M126" s="230"/>
      <c r="N126" s="230"/>
      <c r="O126" s="230"/>
      <c r="P126" s="230"/>
      <c r="Q126" s="230"/>
    </row>
    <row r="127" spans="13:17" x14ac:dyDescent="0.2">
      <c r="M127" s="230"/>
      <c r="N127" s="230"/>
      <c r="O127" s="230"/>
      <c r="P127" s="230"/>
      <c r="Q127" s="230"/>
    </row>
    <row r="128" spans="13:17" x14ac:dyDescent="0.2">
      <c r="M128" s="230"/>
      <c r="N128" s="230"/>
      <c r="O128" s="230"/>
      <c r="P128" s="230"/>
      <c r="Q128" s="230"/>
    </row>
    <row r="129" spans="13:17" x14ac:dyDescent="0.2">
      <c r="M129" s="230"/>
      <c r="N129" s="230"/>
      <c r="O129" s="230"/>
      <c r="P129" s="230"/>
      <c r="Q129" s="230"/>
    </row>
    <row r="130" spans="13:17" x14ac:dyDescent="0.2">
      <c r="M130" s="230"/>
      <c r="N130" s="230"/>
      <c r="O130" s="230"/>
      <c r="P130" s="230"/>
      <c r="Q130" s="230"/>
    </row>
    <row r="131" spans="13:17" x14ac:dyDescent="0.2">
      <c r="M131" s="230"/>
      <c r="N131" s="230"/>
      <c r="O131" s="230"/>
      <c r="P131" s="230"/>
      <c r="Q131" s="230"/>
    </row>
    <row r="132" spans="13:17" x14ac:dyDescent="0.2">
      <c r="M132" s="230"/>
      <c r="N132" s="230"/>
      <c r="O132" s="230"/>
      <c r="P132" s="230"/>
      <c r="Q132" s="230"/>
    </row>
    <row r="133" spans="13:17" x14ac:dyDescent="0.2">
      <c r="M133" s="230"/>
      <c r="N133" s="230"/>
      <c r="O133" s="230"/>
      <c r="P133" s="230"/>
      <c r="Q133" s="230"/>
    </row>
    <row r="134" spans="13:17" x14ac:dyDescent="0.2">
      <c r="M134" s="230"/>
      <c r="N134" s="230"/>
      <c r="O134" s="230"/>
      <c r="P134" s="230"/>
      <c r="Q134" s="230"/>
    </row>
    <row r="135" spans="13:17" x14ac:dyDescent="0.2">
      <c r="M135" s="230"/>
      <c r="N135" s="230"/>
      <c r="O135" s="230"/>
      <c r="P135" s="230"/>
      <c r="Q135" s="230"/>
    </row>
    <row r="136" spans="13:17" x14ac:dyDescent="0.2">
      <c r="M136" s="230"/>
      <c r="N136" s="230"/>
      <c r="O136" s="230"/>
      <c r="P136" s="230"/>
      <c r="Q136" s="230"/>
    </row>
    <row r="137" spans="13:17" x14ac:dyDescent="0.2">
      <c r="M137" s="230"/>
      <c r="N137" s="230"/>
      <c r="O137" s="230"/>
      <c r="P137" s="230"/>
      <c r="Q137" s="230"/>
    </row>
    <row r="138" spans="13:17" x14ac:dyDescent="0.2">
      <c r="M138" s="230"/>
      <c r="N138" s="230"/>
      <c r="O138" s="230"/>
      <c r="P138" s="230"/>
      <c r="Q138" s="230"/>
    </row>
    <row r="139" spans="13:17" x14ac:dyDescent="0.2">
      <c r="M139" s="230"/>
      <c r="N139" s="230"/>
      <c r="O139" s="230"/>
      <c r="P139" s="230"/>
      <c r="Q139" s="230"/>
    </row>
    <row r="140" spans="13:17" x14ac:dyDescent="0.2">
      <c r="M140" s="230"/>
      <c r="N140" s="230"/>
      <c r="O140" s="230"/>
      <c r="P140" s="230"/>
      <c r="Q140" s="230"/>
    </row>
    <row r="141" spans="13:17" x14ac:dyDescent="0.2">
      <c r="M141" s="230"/>
      <c r="N141" s="230"/>
      <c r="O141" s="230"/>
      <c r="P141" s="230"/>
      <c r="Q141" s="230"/>
    </row>
    <row r="142" spans="13:17" x14ac:dyDescent="0.2">
      <c r="M142" s="230"/>
      <c r="N142" s="230"/>
      <c r="O142" s="230"/>
      <c r="P142" s="230"/>
      <c r="Q142" s="230"/>
    </row>
    <row r="143" spans="13:17" x14ac:dyDescent="0.2">
      <c r="M143" s="230"/>
      <c r="N143" s="230"/>
      <c r="O143" s="230"/>
      <c r="P143" s="230"/>
      <c r="Q143" s="230"/>
    </row>
    <row r="144" spans="13:17" x14ac:dyDescent="0.2">
      <c r="M144" s="230"/>
      <c r="N144" s="230"/>
      <c r="O144" s="230"/>
      <c r="P144" s="230"/>
      <c r="Q144" s="230"/>
    </row>
    <row r="145" spans="13:17" x14ac:dyDescent="0.2">
      <c r="M145" s="230"/>
      <c r="N145" s="230"/>
      <c r="O145" s="230"/>
      <c r="P145" s="230"/>
      <c r="Q145" s="230"/>
    </row>
    <row r="146" spans="13:17" x14ac:dyDescent="0.2">
      <c r="M146" s="230"/>
      <c r="N146" s="230"/>
      <c r="O146" s="230"/>
      <c r="P146" s="230"/>
      <c r="Q146" s="230"/>
    </row>
    <row r="147" spans="13:17" x14ac:dyDescent="0.2">
      <c r="M147" s="230"/>
      <c r="N147" s="230"/>
      <c r="O147" s="230"/>
      <c r="P147" s="230"/>
      <c r="Q147" s="230"/>
    </row>
    <row r="148" spans="13:17" x14ac:dyDescent="0.2">
      <c r="M148" s="230"/>
      <c r="N148" s="230"/>
      <c r="O148" s="230"/>
      <c r="P148" s="230"/>
      <c r="Q148" s="230"/>
    </row>
    <row r="149" spans="13:17" x14ac:dyDescent="0.2">
      <c r="M149" s="230"/>
      <c r="N149" s="230"/>
      <c r="O149" s="230"/>
      <c r="P149" s="230"/>
      <c r="Q149" s="230"/>
    </row>
    <row r="150" spans="13:17" x14ac:dyDescent="0.2">
      <c r="M150" s="230"/>
      <c r="N150" s="230"/>
      <c r="O150" s="230"/>
      <c r="P150" s="230"/>
      <c r="Q150" s="230"/>
    </row>
    <row r="151" spans="13:17" x14ac:dyDescent="0.2">
      <c r="M151" s="230"/>
      <c r="N151" s="230"/>
      <c r="O151" s="230"/>
      <c r="P151" s="230"/>
      <c r="Q151" s="230"/>
    </row>
    <row r="152" spans="13:17" x14ac:dyDescent="0.2">
      <c r="M152" s="230"/>
      <c r="N152" s="230"/>
      <c r="O152" s="230"/>
      <c r="P152" s="230"/>
      <c r="Q152" s="230"/>
    </row>
    <row r="153" spans="13:17" x14ac:dyDescent="0.2">
      <c r="M153" s="230"/>
      <c r="N153" s="230"/>
      <c r="O153" s="230"/>
      <c r="P153" s="230"/>
      <c r="Q153" s="230"/>
    </row>
    <row r="154" spans="13:17" x14ac:dyDescent="0.2">
      <c r="M154" s="230"/>
      <c r="N154" s="230"/>
      <c r="O154" s="230"/>
      <c r="P154" s="230"/>
      <c r="Q154" s="230"/>
    </row>
    <row r="155" spans="13:17" x14ac:dyDescent="0.2">
      <c r="M155" s="230"/>
      <c r="N155" s="230"/>
      <c r="O155" s="230"/>
      <c r="P155" s="230"/>
      <c r="Q155" s="230"/>
    </row>
    <row r="156" spans="13:17" x14ac:dyDescent="0.2">
      <c r="M156" s="230"/>
      <c r="N156" s="230"/>
      <c r="O156" s="230"/>
      <c r="P156" s="230"/>
      <c r="Q156" s="230"/>
    </row>
    <row r="157" spans="13:17" x14ac:dyDescent="0.2">
      <c r="M157" s="230"/>
      <c r="N157" s="230"/>
      <c r="O157" s="230"/>
      <c r="P157" s="230"/>
      <c r="Q157" s="230"/>
    </row>
    <row r="158" spans="13:17" x14ac:dyDescent="0.2">
      <c r="M158" s="230"/>
      <c r="N158" s="230"/>
      <c r="O158" s="230"/>
      <c r="P158" s="230"/>
      <c r="Q158" s="230"/>
    </row>
    <row r="159" spans="13:17" x14ac:dyDescent="0.2">
      <c r="M159" s="230"/>
      <c r="N159" s="230"/>
      <c r="O159" s="230"/>
      <c r="P159" s="230"/>
      <c r="Q159" s="230"/>
    </row>
    <row r="160" spans="13:17" x14ac:dyDescent="0.2">
      <c r="M160" s="230"/>
      <c r="N160" s="230"/>
      <c r="O160" s="230"/>
      <c r="P160" s="230"/>
      <c r="Q160" s="230"/>
    </row>
    <row r="161" spans="13:17" x14ac:dyDescent="0.2">
      <c r="M161" s="230"/>
      <c r="N161" s="230"/>
      <c r="O161" s="230"/>
      <c r="P161" s="230"/>
      <c r="Q161" s="230"/>
    </row>
    <row r="162" spans="13:17" x14ac:dyDescent="0.2">
      <c r="M162" s="230"/>
      <c r="N162" s="230"/>
      <c r="O162" s="230"/>
      <c r="P162" s="230"/>
      <c r="Q162" s="230"/>
    </row>
    <row r="163" spans="13:17" x14ac:dyDescent="0.2">
      <c r="M163" s="230"/>
      <c r="N163" s="230"/>
      <c r="O163" s="230"/>
      <c r="P163" s="230"/>
      <c r="Q163" s="230"/>
    </row>
    <row r="164" spans="13:17" x14ac:dyDescent="0.2">
      <c r="M164" s="230"/>
      <c r="N164" s="230"/>
      <c r="O164" s="230"/>
      <c r="P164" s="230"/>
      <c r="Q164" s="230"/>
    </row>
    <row r="165" spans="13:17" x14ac:dyDescent="0.2">
      <c r="M165" s="230"/>
      <c r="N165" s="230"/>
      <c r="O165" s="230"/>
      <c r="P165" s="230"/>
      <c r="Q165" s="230"/>
    </row>
    <row r="166" spans="13:17" x14ac:dyDescent="0.2">
      <c r="M166" s="230"/>
      <c r="N166" s="230"/>
      <c r="O166" s="230"/>
      <c r="P166" s="230"/>
      <c r="Q166" s="230"/>
    </row>
    <row r="167" spans="13:17" x14ac:dyDescent="0.2">
      <c r="M167" s="230"/>
      <c r="N167" s="230"/>
      <c r="O167" s="230"/>
      <c r="P167" s="230"/>
      <c r="Q167" s="230"/>
    </row>
    <row r="168" spans="13:17" x14ac:dyDescent="0.2">
      <c r="M168" s="230"/>
      <c r="N168" s="230"/>
      <c r="O168" s="230"/>
      <c r="P168" s="230"/>
      <c r="Q168" s="230"/>
    </row>
    <row r="169" spans="13:17" x14ac:dyDescent="0.2">
      <c r="M169" s="230"/>
      <c r="N169" s="230"/>
      <c r="O169" s="230"/>
      <c r="P169" s="230"/>
      <c r="Q169" s="230"/>
    </row>
    <row r="170" spans="13:17" x14ac:dyDescent="0.2">
      <c r="M170" s="230"/>
      <c r="N170" s="230"/>
      <c r="O170" s="230"/>
      <c r="P170" s="230"/>
      <c r="Q170" s="230"/>
    </row>
    <row r="171" spans="13:17" x14ac:dyDescent="0.2">
      <c r="M171" s="230"/>
      <c r="N171" s="230"/>
      <c r="O171" s="230"/>
      <c r="P171" s="230"/>
      <c r="Q171" s="230"/>
    </row>
    <row r="172" spans="13:17" x14ac:dyDescent="0.2">
      <c r="M172" s="230"/>
      <c r="N172" s="230"/>
      <c r="O172" s="230"/>
      <c r="P172" s="230"/>
      <c r="Q172" s="230"/>
    </row>
    <row r="173" spans="13:17" x14ac:dyDescent="0.2">
      <c r="M173" s="230"/>
      <c r="N173" s="230"/>
      <c r="O173" s="230"/>
      <c r="P173" s="230"/>
      <c r="Q173" s="230"/>
    </row>
    <row r="174" spans="13:17" x14ac:dyDescent="0.2">
      <c r="M174" s="230"/>
      <c r="N174" s="230"/>
      <c r="O174" s="230"/>
      <c r="P174" s="230"/>
      <c r="Q174" s="230"/>
    </row>
    <row r="175" spans="13:17" x14ac:dyDescent="0.2">
      <c r="M175" s="230"/>
      <c r="N175" s="230"/>
      <c r="O175" s="230"/>
      <c r="P175" s="230"/>
      <c r="Q175" s="230"/>
    </row>
    <row r="176" spans="13:17" x14ac:dyDescent="0.2">
      <c r="M176" s="230"/>
      <c r="N176" s="230"/>
      <c r="O176" s="230"/>
      <c r="P176" s="230"/>
      <c r="Q176" s="230"/>
    </row>
    <row r="177" spans="13:17" x14ac:dyDescent="0.2">
      <c r="M177" s="230"/>
      <c r="N177" s="230"/>
      <c r="O177" s="230"/>
      <c r="P177" s="230"/>
      <c r="Q177" s="230"/>
    </row>
    <row r="178" spans="13:17" x14ac:dyDescent="0.2">
      <c r="M178" s="230"/>
      <c r="N178" s="230"/>
      <c r="O178" s="230"/>
      <c r="P178" s="230"/>
      <c r="Q178" s="230"/>
    </row>
    <row r="179" spans="13:17" x14ac:dyDescent="0.2">
      <c r="M179" s="230"/>
      <c r="N179" s="230"/>
      <c r="O179" s="230"/>
      <c r="P179" s="230"/>
      <c r="Q179" s="230"/>
    </row>
    <row r="180" spans="13:17" x14ac:dyDescent="0.2">
      <c r="M180" s="230"/>
      <c r="N180" s="230"/>
      <c r="O180" s="230"/>
      <c r="P180" s="230"/>
      <c r="Q180" s="230"/>
    </row>
    <row r="181" spans="13:17" x14ac:dyDescent="0.2">
      <c r="M181" s="230"/>
      <c r="N181" s="230"/>
      <c r="O181" s="230"/>
      <c r="P181" s="230"/>
      <c r="Q181" s="230"/>
    </row>
    <row r="182" spans="13:17" x14ac:dyDescent="0.2">
      <c r="M182" s="230"/>
      <c r="N182" s="230"/>
      <c r="O182" s="230"/>
      <c r="P182" s="230"/>
      <c r="Q182" s="230"/>
    </row>
    <row r="183" spans="13:17" x14ac:dyDescent="0.2">
      <c r="M183" s="230"/>
      <c r="N183" s="230"/>
      <c r="O183" s="230"/>
      <c r="P183" s="230"/>
      <c r="Q183" s="230"/>
    </row>
    <row r="184" spans="13:17" x14ac:dyDescent="0.2">
      <c r="M184" s="230"/>
      <c r="N184" s="230"/>
      <c r="O184" s="230"/>
      <c r="P184" s="230"/>
      <c r="Q184" s="230"/>
    </row>
    <row r="185" spans="13:17" x14ac:dyDescent="0.2">
      <c r="M185" s="230"/>
      <c r="N185" s="230"/>
      <c r="O185" s="230"/>
      <c r="P185" s="230"/>
      <c r="Q185" s="230"/>
    </row>
    <row r="186" spans="13:17" x14ac:dyDescent="0.2">
      <c r="M186" s="230"/>
      <c r="N186" s="230"/>
      <c r="O186" s="230"/>
      <c r="P186" s="230"/>
      <c r="Q186" s="230"/>
    </row>
    <row r="187" spans="13:17" x14ac:dyDescent="0.2">
      <c r="M187" s="230"/>
      <c r="N187" s="230"/>
      <c r="O187" s="230"/>
      <c r="P187" s="230"/>
      <c r="Q187" s="230"/>
    </row>
    <row r="188" spans="13:17" x14ac:dyDescent="0.2">
      <c r="M188" s="230"/>
      <c r="N188" s="230"/>
      <c r="O188" s="230"/>
      <c r="P188" s="230"/>
      <c r="Q188" s="230"/>
    </row>
    <row r="189" spans="13:17" x14ac:dyDescent="0.2">
      <c r="M189" s="230"/>
      <c r="N189" s="230"/>
      <c r="O189" s="230"/>
      <c r="P189" s="230"/>
      <c r="Q189" s="230"/>
    </row>
    <row r="190" spans="13:17" x14ac:dyDescent="0.2">
      <c r="M190" s="230"/>
      <c r="N190" s="230"/>
      <c r="O190" s="230"/>
      <c r="P190" s="230"/>
      <c r="Q190" s="230"/>
    </row>
    <row r="191" spans="13:17" x14ac:dyDescent="0.2">
      <c r="M191" s="230"/>
      <c r="N191" s="230"/>
      <c r="O191" s="230"/>
      <c r="P191" s="230"/>
      <c r="Q191" s="230"/>
    </row>
    <row r="192" spans="13:17" x14ac:dyDescent="0.2">
      <c r="M192" s="230"/>
      <c r="N192" s="230"/>
      <c r="O192" s="230"/>
      <c r="P192" s="230"/>
      <c r="Q192" s="230"/>
    </row>
    <row r="193" spans="13:17" x14ac:dyDescent="0.2">
      <c r="M193" s="230"/>
      <c r="N193" s="230"/>
      <c r="O193" s="230"/>
      <c r="P193" s="230"/>
      <c r="Q193" s="230"/>
    </row>
    <row r="194" spans="13:17" x14ac:dyDescent="0.2">
      <c r="M194" s="230"/>
      <c r="N194" s="230"/>
      <c r="O194" s="230"/>
      <c r="P194" s="230"/>
      <c r="Q194" s="230"/>
    </row>
    <row r="195" spans="13:17" x14ac:dyDescent="0.2">
      <c r="M195" s="230"/>
      <c r="N195" s="230"/>
      <c r="O195" s="230"/>
      <c r="P195" s="230"/>
      <c r="Q195" s="230"/>
    </row>
    <row r="196" spans="13:17" x14ac:dyDescent="0.2">
      <c r="M196" s="230"/>
      <c r="N196" s="230"/>
      <c r="O196" s="230"/>
      <c r="P196" s="230"/>
      <c r="Q196" s="230"/>
    </row>
    <row r="197" spans="13:17" x14ac:dyDescent="0.2">
      <c r="M197" s="230"/>
      <c r="N197" s="230"/>
      <c r="O197" s="230"/>
      <c r="P197" s="230"/>
      <c r="Q197" s="230"/>
    </row>
    <row r="198" spans="13:17" x14ac:dyDescent="0.2">
      <c r="M198" s="230"/>
      <c r="N198" s="230"/>
      <c r="O198" s="230"/>
      <c r="P198" s="230"/>
      <c r="Q198" s="230"/>
    </row>
    <row r="199" spans="13:17" x14ac:dyDescent="0.2">
      <c r="M199" s="230"/>
      <c r="N199" s="230"/>
      <c r="O199" s="230"/>
      <c r="P199" s="230"/>
      <c r="Q199" s="230"/>
    </row>
    <row r="200" spans="13:17" x14ac:dyDescent="0.2">
      <c r="M200" s="230"/>
      <c r="N200" s="230"/>
      <c r="O200" s="230"/>
      <c r="P200" s="230"/>
      <c r="Q200" s="230"/>
    </row>
    <row r="201" spans="13:17" x14ac:dyDescent="0.2">
      <c r="M201" s="230"/>
      <c r="N201" s="230"/>
      <c r="O201" s="230"/>
      <c r="P201" s="230"/>
      <c r="Q201" s="230"/>
    </row>
    <row r="202" spans="13:17" x14ac:dyDescent="0.2">
      <c r="M202" s="230"/>
      <c r="N202" s="230"/>
      <c r="O202" s="230"/>
      <c r="P202" s="230"/>
      <c r="Q202" s="230"/>
    </row>
    <row r="203" spans="13:17" x14ac:dyDescent="0.2">
      <c r="M203" s="230"/>
      <c r="N203" s="230"/>
      <c r="O203" s="230"/>
      <c r="P203" s="230"/>
      <c r="Q203" s="230"/>
    </row>
    <row r="204" spans="13:17" x14ac:dyDescent="0.2">
      <c r="M204" s="230"/>
      <c r="N204" s="230"/>
      <c r="O204" s="230"/>
      <c r="P204" s="230"/>
      <c r="Q204" s="230"/>
    </row>
    <row r="205" spans="13:17" x14ac:dyDescent="0.2">
      <c r="M205" s="230"/>
      <c r="N205" s="230"/>
      <c r="O205" s="230"/>
      <c r="P205" s="230"/>
      <c r="Q205" s="230"/>
    </row>
    <row r="206" spans="13:17" x14ac:dyDescent="0.2">
      <c r="M206" s="230"/>
      <c r="N206" s="230"/>
      <c r="O206" s="230"/>
      <c r="P206" s="230"/>
      <c r="Q206" s="230"/>
    </row>
    <row r="207" spans="13:17" x14ac:dyDescent="0.2">
      <c r="M207" s="230"/>
      <c r="N207" s="230"/>
      <c r="O207" s="230"/>
      <c r="P207" s="230"/>
      <c r="Q207" s="230"/>
    </row>
    <row r="208" spans="13:17" x14ac:dyDescent="0.2">
      <c r="M208" s="230"/>
      <c r="N208" s="230"/>
      <c r="O208" s="230"/>
      <c r="P208" s="230"/>
      <c r="Q208" s="230"/>
    </row>
    <row r="209" spans="13:17" x14ac:dyDescent="0.2">
      <c r="M209" s="230"/>
      <c r="N209" s="230"/>
      <c r="O209" s="230"/>
      <c r="P209" s="230"/>
      <c r="Q209" s="230"/>
    </row>
    <row r="210" spans="13:17" x14ac:dyDescent="0.2">
      <c r="M210" s="230"/>
      <c r="N210" s="230"/>
      <c r="O210" s="230"/>
      <c r="P210" s="230"/>
      <c r="Q210" s="230"/>
    </row>
    <row r="211" spans="13:17" x14ac:dyDescent="0.2">
      <c r="M211" s="230"/>
      <c r="N211" s="230"/>
      <c r="O211" s="230"/>
      <c r="P211" s="230"/>
      <c r="Q211" s="230"/>
    </row>
    <row r="212" spans="13:17" x14ac:dyDescent="0.2">
      <c r="M212" s="230"/>
      <c r="N212" s="230"/>
      <c r="O212" s="230"/>
      <c r="P212" s="230"/>
      <c r="Q212" s="230"/>
    </row>
    <row r="213" spans="13:17" x14ac:dyDescent="0.2">
      <c r="M213" s="230"/>
      <c r="N213" s="230"/>
      <c r="O213" s="230"/>
      <c r="P213" s="230"/>
      <c r="Q213" s="230"/>
    </row>
    <row r="214" spans="13:17" x14ac:dyDescent="0.2">
      <c r="M214" s="230"/>
      <c r="N214" s="230"/>
      <c r="O214" s="230"/>
      <c r="P214" s="230"/>
      <c r="Q214" s="230"/>
    </row>
    <row r="215" spans="13:17" x14ac:dyDescent="0.2">
      <c r="M215" s="230"/>
      <c r="N215" s="230"/>
      <c r="O215" s="230"/>
      <c r="P215" s="230"/>
      <c r="Q215" s="230"/>
    </row>
    <row r="216" spans="13:17" x14ac:dyDescent="0.2">
      <c r="M216" s="230"/>
      <c r="N216" s="230"/>
      <c r="O216" s="230"/>
      <c r="P216" s="230"/>
      <c r="Q216" s="230"/>
    </row>
    <row r="217" spans="13:17" x14ac:dyDescent="0.2">
      <c r="M217" s="230"/>
      <c r="N217" s="230"/>
      <c r="O217" s="230"/>
      <c r="P217" s="230"/>
      <c r="Q217" s="230"/>
    </row>
    <row r="218" spans="13:17" x14ac:dyDescent="0.2">
      <c r="M218" s="230"/>
      <c r="N218" s="230"/>
      <c r="O218" s="230"/>
      <c r="P218" s="230"/>
      <c r="Q218" s="230"/>
    </row>
    <row r="219" spans="13:17" x14ac:dyDescent="0.2">
      <c r="M219" s="230"/>
      <c r="N219" s="230"/>
      <c r="O219" s="230"/>
      <c r="P219" s="230"/>
      <c r="Q219" s="230"/>
    </row>
    <row r="220" spans="13:17" x14ac:dyDescent="0.2">
      <c r="M220" s="230"/>
      <c r="N220" s="230"/>
      <c r="O220" s="230"/>
      <c r="P220" s="230"/>
      <c r="Q220" s="230"/>
    </row>
    <row r="221" spans="13:17" x14ac:dyDescent="0.2">
      <c r="M221" s="230"/>
      <c r="N221" s="230"/>
      <c r="O221" s="230"/>
      <c r="P221" s="230"/>
      <c r="Q221" s="230"/>
    </row>
    <row r="222" spans="13:17" x14ac:dyDescent="0.2">
      <c r="M222" s="230"/>
      <c r="N222" s="230"/>
      <c r="O222" s="230"/>
      <c r="P222" s="230"/>
      <c r="Q222" s="230"/>
    </row>
    <row r="223" spans="13:17" x14ac:dyDescent="0.2">
      <c r="M223" s="230"/>
      <c r="N223" s="230"/>
      <c r="O223" s="230"/>
      <c r="P223" s="230"/>
      <c r="Q223" s="230"/>
    </row>
    <row r="224" spans="13:17" x14ac:dyDescent="0.2">
      <c r="M224" s="230"/>
      <c r="N224" s="230"/>
      <c r="O224" s="230"/>
      <c r="P224" s="230"/>
      <c r="Q224" s="230"/>
    </row>
    <row r="225" spans="13:17" x14ac:dyDescent="0.2">
      <c r="M225" s="230"/>
      <c r="N225" s="230"/>
      <c r="O225" s="230"/>
      <c r="P225" s="230"/>
      <c r="Q225" s="230"/>
    </row>
    <row r="226" spans="13:17" x14ac:dyDescent="0.2">
      <c r="M226" s="230"/>
      <c r="N226" s="230"/>
      <c r="O226" s="230"/>
      <c r="P226" s="230"/>
      <c r="Q226" s="230"/>
    </row>
    <row r="227" spans="13:17" x14ac:dyDescent="0.2">
      <c r="M227" s="230"/>
      <c r="N227" s="230"/>
      <c r="O227" s="230"/>
      <c r="P227" s="230"/>
      <c r="Q227" s="230"/>
    </row>
    <row r="228" spans="13:17" x14ac:dyDescent="0.2">
      <c r="M228" s="230"/>
      <c r="N228" s="230"/>
      <c r="O228" s="230"/>
      <c r="P228" s="230"/>
      <c r="Q228" s="230"/>
    </row>
    <row r="229" spans="13:17" x14ac:dyDescent="0.2">
      <c r="M229" s="230"/>
      <c r="N229" s="230"/>
      <c r="O229" s="230"/>
      <c r="P229" s="230"/>
      <c r="Q229" s="230"/>
    </row>
    <row r="230" spans="13:17" x14ac:dyDescent="0.2">
      <c r="M230" s="230"/>
      <c r="N230" s="230"/>
      <c r="O230" s="230"/>
      <c r="P230" s="230"/>
      <c r="Q230" s="230"/>
    </row>
    <row r="231" spans="13:17" x14ac:dyDescent="0.2">
      <c r="M231" s="230"/>
      <c r="N231" s="230"/>
      <c r="O231" s="230"/>
      <c r="P231" s="230"/>
      <c r="Q231" s="230"/>
    </row>
    <row r="232" spans="13:17" x14ac:dyDescent="0.2">
      <c r="M232" s="230"/>
      <c r="N232" s="230"/>
      <c r="O232" s="230"/>
      <c r="P232" s="230"/>
      <c r="Q232" s="230"/>
    </row>
    <row r="233" spans="13:17" x14ac:dyDescent="0.2">
      <c r="M233" s="230"/>
      <c r="N233" s="230"/>
      <c r="O233" s="230"/>
      <c r="P233" s="230"/>
      <c r="Q233" s="230"/>
    </row>
    <row r="234" spans="13:17" x14ac:dyDescent="0.2">
      <c r="M234" s="230"/>
      <c r="N234" s="230"/>
      <c r="O234" s="230"/>
      <c r="P234" s="230"/>
      <c r="Q234" s="230"/>
    </row>
    <row r="235" spans="13:17" x14ac:dyDescent="0.2">
      <c r="M235" s="230"/>
      <c r="N235" s="230"/>
      <c r="O235" s="230"/>
      <c r="P235" s="230"/>
      <c r="Q235" s="230"/>
    </row>
    <row r="236" spans="13:17" x14ac:dyDescent="0.2">
      <c r="M236" s="230"/>
      <c r="N236" s="230"/>
      <c r="O236" s="230"/>
      <c r="P236" s="230"/>
      <c r="Q236" s="230"/>
    </row>
    <row r="237" spans="13:17" x14ac:dyDescent="0.2">
      <c r="M237" s="230"/>
      <c r="N237" s="230"/>
      <c r="O237" s="230"/>
      <c r="P237" s="230"/>
      <c r="Q237" s="230"/>
    </row>
    <row r="238" spans="13:17" x14ac:dyDescent="0.2">
      <c r="M238" s="230"/>
      <c r="N238" s="230"/>
      <c r="O238" s="230"/>
      <c r="P238" s="230"/>
      <c r="Q238" s="230"/>
    </row>
    <row r="239" spans="13:17" x14ac:dyDescent="0.2">
      <c r="M239" s="230"/>
      <c r="N239" s="230"/>
      <c r="O239" s="230"/>
      <c r="P239" s="230"/>
      <c r="Q239" s="230"/>
    </row>
    <row r="240" spans="13:17" x14ac:dyDescent="0.2">
      <c r="M240" s="230"/>
      <c r="N240" s="230"/>
      <c r="O240" s="230"/>
      <c r="P240" s="230"/>
      <c r="Q240" s="230"/>
    </row>
    <row r="241" spans="13:17" x14ac:dyDescent="0.2">
      <c r="M241" s="230"/>
      <c r="N241" s="230"/>
      <c r="O241" s="230"/>
      <c r="P241" s="230"/>
      <c r="Q241" s="230"/>
    </row>
    <row r="242" spans="13:17" x14ac:dyDescent="0.2">
      <c r="M242" s="230"/>
      <c r="N242" s="230"/>
      <c r="O242" s="230"/>
      <c r="P242" s="230"/>
      <c r="Q242" s="230"/>
    </row>
    <row r="243" spans="13:17" x14ac:dyDescent="0.2">
      <c r="M243" s="230"/>
      <c r="N243" s="230"/>
      <c r="O243" s="230"/>
      <c r="P243" s="230"/>
      <c r="Q243" s="230"/>
    </row>
    <row r="244" spans="13:17" x14ac:dyDescent="0.2">
      <c r="M244" s="230"/>
      <c r="N244" s="230"/>
      <c r="O244" s="230"/>
      <c r="P244" s="230"/>
      <c r="Q244" s="230"/>
    </row>
    <row r="245" spans="13:17" x14ac:dyDescent="0.2">
      <c r="M245" s="230"/>
      <c r="N245" s="230"/>
      <c r="O245" s="230"/>
      <c r="P245" s="230"/>
      <c r="Q245" s="230"/>
    </row>
    <row r="246" spans="13:17" x14ac:dyDescent="0.2">
      <c r="M246" s="230"/>
      <c r="N246" s="230"/>
      <c r="O246" s="230"/>
      <c r="P246" s="230"/>
      <c r="Q246" s="230"/>
    </row>
    <row r="247" spans="13:17" x14ac:dyDescent="0.2">
      <c r="M247" s="230"/>
      <c r="N247" s="230"/>
      <c r="O247" s="230"/>
      <c r="P247" s="230"/>
      <c r="Q247" s="230"/>
    </row>
    <row r="248" spans="13:17" x14ac:dyDescent="0.2">
      <c r="M248" s="230"/>
      <c r="N248" s="230"/>
      <c r="O248" s="230"/>
      <c r="P248" s="230"/>
      <c r="Q248" s="230"/>
    </row>
    <row r="249" spans="13:17" x14ac:dyDescent="0.2">
      <c r="M249" s="230"/>
      <c r="N249" s="230"/>
      <c r="O249" s="230"/>
      <c r="P249" s="230"/>
      <c r="Q249" s="230"/>
    </row>
    <row r="250" spans="13:17" x14ac:dyDescent="0.2">
      <c r="M250" s="230"/>
      <c r="N250" s="230"/>
      <c r="O250" s="230"/>
      <c r="P250" s="230"/>
      <c r="Q250" s="230"/>
    </row>
    <row r="251" spans="13:17" x14ac:dyDescent="0.2">
      <c r="M251" s="230"/>
      <c r="N251" s="230"/>
      <c r="O251" s="230"/>
      <c r="P251" s="230"/>
      <c r="Q251" s="230"/>
    </row>
    <row r="252" spans="13:17" x14ac:dyDescent="0.2">
      <c r="M252" s="230"/>
      <c r="N252" s="230"/>
      <c r="O252" s="230"/>
      <c r="P252" s="230"/>
      <c r="Q252" s="230"/>
    </row>
    <row r="253" spans="13:17" x14ac:dyDescent="0.2">
      <c r="M253" s="230"/>
      <c r="N253" s="230"/>
      <c r="O253" s="230"/>
      <c r="P253" s="230"/>
      <c r="Q253" s="230"/>
    </row>
    <row r="254" spans="13:17" x14ac:dyDescent="0.2">
      <c r="M254" s="230"/>
      <c r="N254" s="230"/>
      <c r="O254" s="230"/>
      <c r="P254" s="230"/>
      <c r="Q254" s="230"/>
    </row>
    <row r="255" spans="13:17" x14ac:dyDescent="0.2">
      <c r="M255" s="230"/>
      <c r="N255" s="230"/>
      <c r="O255" s="230"/>
      <c r="P255" s="230"/>
      <c r="Q255" s="230"/>
    </row>
    <row r="256" spans="13:17" x14ac:dyDescent="0.2">
      <c r="M256" s="230"/>
      <c r="N256" s="230"/>
      <c r="O256" s="230"/>
      <c r="P256" s="230"/>
      <c r="Q256" s="230"/>
    </row>
    <row r="257" spans="13:17" x14ac:dyDescent="0.2">
      <c r="M257" s="230"/>
      <c r="N257" s="230"/>
      <c r="O257" s="230"/>
      <c r="P257" s="230"/>
      <c r="Q257" s="230"/>
    </row>
    <row r="258" spans="13:17" x14ac:dyDescent="0.2">
      <c r="M258" s="230"/>
      <c r="N258" s="230"/>
      <c r="O258" s="230"/>
      <c r="P258" s="230"/>
      <c r="Q258" s="230"/>
    </row>
    <row r="259" spans="13:17" x14ac:dyDescent="0.2">
      <c r="M259" s="230"/>
      <c r="N259" s="230"/>
      <c r="O259" s="230"/>
      <c r="P259" s="230"/>
      <c r="Q259" s="230"/>
    </row>
    <row r="260" spans="13:17" x14ac:dyDescent="0.2">
      <c r="M260" s="230"/>
      <c r="N260" s="230"/>
      <c r="O260" s="230"/>
      <c r="P260" s="230"/>
      <c r="Q260" s="230"/>
    </row>
    <row r="261" spans="13:17" x14ac:dyDescent="0.2">
      <c r="M261" s="230"/>
      <c r="N261" s="230"/>
      <c r="O261" s="230"/>
      <c r="P261" s="230"/>
      <c r="Q261" s="230"/>
    </row>
    <row r="262" spans="13:17" x14ac:dyDescent="0.2">
      <c r="M262" s="230"/>
      <c r="N262" s="230"/>
      <c r="O262" s="230"/>
      <c r="P262" s="230"/>
      <c r="Q262" s="230"/>
    </row>
    <row r="263" spans="13:17" x14ac:dyDescent="0.2">
      <c r="M263" s="230"/>
      <c r="N263" s="230"/>
      <c r="O263" s="230"/>
      <c r="P263" s="230"/>
      <c r="Q263" s="230"/>
    </row>
    <row r="264" spans="13:17" x14ac:dyDescent="0.2">
      <c r="M264" s="230"/>
      <c r="N264" s="230"/>
      <c r="O264" s="230"/>
      <c r="P264" s="230"/>
      <c r="Q264" s="230"/>
    </row>
    <row r="265" spans="13:17" x14ac:dyDescent="0.2">
      <c r="M265" s="230"/>
      <c r="N265" s="230"/>
      <c r="O265" s="230"/>
      <c r="P265" s="230"/>
      <c r="Q265" s="230"/>
    </row>
    <row r="266" spans="13:17" x14ac:dyDescent="0.2">
      <c r="M266" s="230"/>
      <c r="N266" s="230"/>
      <c r="O266" s="230"/>
      <c r="P266" s="230"/>
      <c r="Q266" s="230"/>
    </row>
    <row r="267" spans="13:17" x14ac:dyDescent="0.2">
      <c r="M267" s="230"/>
      <c r="N267" s="230"/>
      <c r="O267" s="230"/>
      <c r="P267" s="230"/>
      <c r="Q267" s="230"/>
    </row>
    <row r="268" spans="13:17" x14ac:dyDescent="0.2">
      <c r="M268" s="230"/>
      <c r="N268" s="230"/>
      <c r="O268" s="230"/>
      <c r="P268" s="230"/>
      <c r="Q268" s="230"/>
    </row>
    <row r="269" spans="13:17" x14ac:dyDescent="0.2">
      <c r="M269" s="230"/>
      <c r="N269" s="230"/>
      <c r="O269" s="230"/>
      <c r="P269" s="230"/>
      <c r="Q269" s="230"/>
    </row>
    <row r="270" spans="13:17" x14ac:dyDescent="0.2">
      <c r="M270" s="230"/>
      <c r="N270" s="230"/>
      <c r="O270" s="230"/>
      <c r="P270" s="230"/>
      <c r="Q270" s="230"/>
    </row>
    <row r="271" spans="13:17" x14ac:dyDescent="0.2">
      <c r="M271" s="230"/>
      <c r="N271" s="230"/>
      <c r="O271" s="230"/>
      <c r="P271" s="230"/>
      <c r="Q271" s="230"/>
    </row>
    <row r="272" spans="13:17" x14ac:dyDescent="0.2">
      <c r="M272" s="230"/>
      <c r="N272" s="230"/>
      <c r="O272" s="230"/>
      <c r="P272" s="230"/>
      <c r="Q272" s="230"/>
    </row>
    <row r="273" spans="13:17" x14ac:dyDescent="0.2">
      <c r="M273" s="230"/>
      <c r="N273" s="230"/>
      <c r="O273" s="230"/>
      <c r="P273" s="230"/>
      <c r="Q273" s="230"/>
    </row>
    <row r="274" spans="13:17" x14ac:dyDescent="0.2">
      <c r="M274" s="230"/>
      <c r="N274" s="230"/>
      <c r="O274" s="230"/>
      <c r="P274" s="230"/>
      <c r="Q274" s="230"/>
    </row>
    <row r="275" spans="13:17" x14ac:dyDescent="0.2">
      <c r="M275" s="230"/>
      <c r="N275" s="230"/>
      <c r="O275" s="230"/>
      <c r="P275" s="230"/>
      <c r="Q275" s="230"/>
    </row>
    <row r="276" spans="13:17" x14ac:dyDescent="0.2">
      <c r="M276" s="230"/>
      <c r="N276" s="230"/>
      <c r="O276" s="230"/>
      <c r="P276" s="230"/>
      <c r="Q276" s="230"/>
    </row>
    <row r="277" spans="13:17" x14ac:dyDescent="0.2">
      <c r="M277" s="230"/>
      <c r="N277" s="230"/>
      <c r="O277" s="230"/>
      <c r="P277" s="230"/>
      <c r="Q277" s="230"/>
    </row>
    <row r="278" spans="13:17" x14ac:dyDescent="0.2">
      <c r="M278" s="230"/>
      <c r="N278" s="230"/>
      <c r="O278" s="230"/>
      <c r="P278" s="230"/>
      <c r="Q278" s="230"/>
    </row>
    <row r="279" spans="13:17" x14ac:dyDescent="0.2">
      <c r="M279" s="230"/>
      <c r="N279" s="230"/>
      <c r="O279" s="230"/>
      <c r="P279" s="230"/>
      <c r="Q279" s="230"/>
    </row>
    <row r="280" spans="13:17" x14ac:dyDescent="0.2">
      <c r="M280" s="230"/>
      <c r="N280" s="230"/>
      <c r="O280" s="230"/>
      <c r="P280" s="230"/>
      <c r="Q280" s="230"/>
    </row>
    <row r="281" spans="13:17" x14ac:dyDescent="0.2">
      <c r="M281" s="230"/>
      <c r="N281" s="230"/>
      <c r="O281" s="230"/>
      <c r="P281" s="230"/>
      <c r="Q281" s="230"/>
    </row>
    <row r="282" spans="13:17" x14ac:dyDescent="0.2">
      <c r="M282" s="230"/>
      <c r="N282" s="230"/>
      <c r="O282" s="230"/>
      <c r="P282" s="230"/>
      <c r="Q282" s="230"/>
    </row>
    <row r="283" spans="13:17" x14ac:dyDescent="0.2">
      <c r="M283" s="230"/>
      <c r="N283" s="230"/>
      <c r="O283" s="230"/>
      <c r="P283" s="230"/>
      <c r="Q283" s="230"/>
    </row>
    <row r="284" spans="13:17" x14ac:dyDescent="0.2">
      <c r="M284" s="230"/>
      <c r="N284" s="230"/>
      <c r="O284" s="230"/>
      <c r="P284" s="230"/>
      <c r="Q284" s="230"/>
    </row>
    <row r="285" spans="13:17" x14ac:dyDescent="0.2">
      <c r="M285" s="230"/>
      <c r="N285" s="230"/>
      <c r="O285" s="230"/>
      <c r="P285" s="230"/>
      <c r="Q285" s="230"/>
    </row>
    <row r="286" spans="13:17" x14ac:dyDescent="0.2">
      <c r="M286" s="230"/>
      <c r="N286" s="230"/>
      <c r="O286" s="230"/>
      <c r="P286" s="230"/>
      <c r="Q286" s="230"/>
    </row>
    <row r="287" spans="13:17" x14ac:dyDescent="0.2">
      <c r="M287" s="230"/>
      <c r="N287" s="230"/>
      <c r="O287" s="230"/>
      <c r="P287" s="230"/>
      <c r="Q287" s="230"/>
    </row>
    <row r="288" spans="13:17" x14ac:dyDescent="0.2">
      <c r="M288" s="230"/>
      <c r="N288" s="230"/>
      <c r="O288" s="230"/>
      <c r="P288" s="230"/>
      <c r="Q288" s="230"/>
    </row>
    <row r="289" spans="13:17" x14ac:dyDescent="0.2">
      <c r="M289" s="230"/>
      <c r="N289" s="230"/>
      <c r="O289" s="230"/>
      <c r="P289" s="230"/>
      <c r="Q289" s="230"/>
    </row>
    <row r="290" spans="13:17" x14ac:dyDescent="0.2">
      <c r="M290" s="230"/>
      <c r="N290" s="230"/>
      <c r="O290" s="230"/>
      <c r="P290" s="230"/>
      <c r="Q290" s="230"/>
    </row>
    <row r="291" spans="13:17" x14ac:dyDescent="0.2">
      <c r="M291" s="230"/>
      <c r="N291" s="230"/>
      <c r="O291" s="230"/>
      <c r="P291" s="230"/>
      <c r="Q291" s="230"/>
    </row>
    <row r="292" spans="13:17" x14ac:dyDescent="0.2">
      <c r="M292" s="230"/>
      <c r="N292" s="230"/>
      <c r="O292" s="230"/>
      <c r="P292" s="230"/>
      <c r="Q292" s="230"/>
    </row>
    <row r="293" spans="13:17" x14ac:dyDescent="0.2">
      <c r="M293" s="230"/>
      <c r="N293" s="230"/>
      <c r="O293" s="230"/>
      <c r="P293" s="230"/>
      <c r="Q293" s="230"/>
    </row>
    <row r="294" spans="13:17" x14ac:dyDescent="0.2">
      <c r="M294" s="230"/>
      <c r="N294" s="230"/>
      <c r="O294" s="230"/>
      <c r="P294" s="230"/>
      <c r="Q294" s="230"/>
    </row>
    <row r="295" spans="13:17" x14ac:dyDescent="0.2">
      <c r="M295" s="230"/>
      <c r="N295" s="230"/>
      <c r="O295" s="230"/>
      <c r="P295" s="230"/>
      <c r="Q295" s="230"/>
    </row>
    <row r="296" spans="13:17" x14ac:dyDescent="0.2">
      <c r="M296" s="230"/>
      <c r="N296" s="230"/>
      <c r="O296" s="230"/>
      <c r="P296" s="230"/>
      <c r="Q296" s="230"/>
    </row>
    <row r="297" spans="13:17" x14ac:dyDescent="0.2">
      <c r="M297" s="230"/>
      <c r="N297" s="230"/>
      <c r="O297" s="230"/>
      <c r="P297" s="230"/>
      <c r="Q297" s="230"/>
    </row>
    <row r="298" spans="13:17" x14ac:dyDescent="0.2">
      <c r="M298" s="230"/>
      <c r="N298" s="230"/>
      <c r="O298" s="230"/>
      <c r="P298" s="230"/>
      <c r="Q298" s="230"/>
    </row>
    <row r="299" spans="13:17" x14ac:dyDescent="0.2">
      <c r="M299" s="230"/>
      <c r="N299" s="230"/>
      <c r="O299" s="230"/>
      <c r="P299" s="230"/>
      <c r="Q299" s="230"/>
    </row>
    <row r="300" spans="13:17" x14ac:dyDescent="0.2">
      <c r="M300" s="230"/>
      <c r="N300" s="230"/>
      <c r="O300" s="230"/>
      <c r="P300" s="230"/>
      <c r="Q300" s="230"/>
    </row>
    <row r="301" spans="13:17" x14ac:dyDescent="0.2">
      <c r="M301" s="230"/>
      <c r="N301" s="230"/>
      <c r="O301" s="230"/>
      <c r="P301" s="230"/>
      <c r="Q301" s="230"/>
    </row>
    <row r="302" spans="13:17" x14ac:dyDescent="0.2">
      <c r="M302" s="230"/>
      <c r="N302" s="230"/>
      <c r="O302" s="230"/>
      <c r="P302" s="230"/>
      <c r="Q302" s="230"/>
    </row>
    <row r="303" spans="13:17" x14ac:dyDescent="0.2">
      <c r="M303" s="230"/>
      <c r="N303" s="230"/>
      <c r="O303" s="230"/>
      <c r="P303" s="230"/>
      <c r="Q303" s="230"/>
    </row>
    <row r="304" spans="13:17" x14ac:dyDescent="0.2">
      <c r="M304" s="230"/>
      <c r="N304" s="230"/>
      <c r="O304" s="230"/>
      <c r="P304" s="230"/>
      <c r="Q304" s="230"/>
    </row>
    <row r="305" spans="13:17" x14ac:dyDescent="0.2">
      <c r="M305" s="230"/>
      <c r="N305" s="230"/>
      <c r="O305" s="230"/>
      <c r="P305" s="230"/>
      <c r="Q305" s="230"/>
    </row>
    <row r="306" spans="13:17" x14ac:dyDescent="0.2">
      <c r="M306" s="230"/>
      <c r="N306" s="230"/>
      <c r="O306" s="230"/>
      <c r="P306" s="230"/>
      <c r="Q306" s="230"/>
    </row>
    <row r="307" spans="13:17" x14ac:dyDescent="0.2">
      <c r="M307" s="230"/>
      <c r="N307" s="230"/>
      <c r="O307" s="230"/>
      <c r="P307" s="230"/>
      <c r="Q307" s="230"/>
    </row>
    <row r="308" spans="13:17" x14ac:dyDescent="0.2">
      <c r="M308" s="230"/>
      <c r="N308" s="230"/>
      <c r="O308" s="230"/>
      <c r="P308" s="230"/>
      <c r="Q308" s="230"/>
    </row>
    <row r="309" spans="13:17" x14ac:dyDescent="0.2">
      <c r="M309" s="230"/>
      <c r="N309" s="230"/>
      <c r="O309" s="230"/>
      <c r="P309" s="230"/>
      <c r="Q309" s="230"/>
    </row>
    <row r="310" spans="13:17" x14ac:dyDescent="0.2">
      <c r="M310" s="230"/>
      <c r="N310" s="230"/>
      <c r="O310" s="230"/>
      <c r="P310" s="230"/>
      <c r="Q310" s="230"/>
    </row>
    <row r="311" spans="13:17" x14ac:dyDescent="0.2">
      <c r="M311" s="230"/>
      <c r="N311" s="230"/>
      <c r="O311" s="230"/>
      <c r="P311" s="230"/>
      <c r="Q311" s="230"/>
    </row>
    <row r="312" spans="13:17" x14ac:dyDescent="0.2">
      <c r="M312" s="230"/>
      <c r="N312" s="230"/>
      <c r="O312" s="230"/>
      <c r="P312" s="230"/>
      <c r="Q312" s="230"/>
    </row>
    <row r="313" spans="13:17" x14ac:dyDescent="0.2">
      <c r="M313" s="230"/>
      <c r="N313" s="230"/>
      <c r="O313" s="230"/>
      <c r="P313" s="230"/>
      <c r="Q313" s="230"/>
    </row>
    <row r="314" spans="13:17" x14ac:dyDescent="0.2">
      <c r="M314" s="230"/>
      <c r="N314" s="230"/>
      <c r="O314" s="230"/>
      <c r="P314" s="230"/>
      <c r="Q314" s="230"/>
    </row>
    <row r="315" spans="13:17" x14ac:dyDescent="0.2">
      <c r="M315" s="230"/>
      <c r="N315" s="230"/>
      <c r="O315" s="230"/>
      <c r="P315" s="230"/>
      <c r="Q315" s="230"/>
    </row>
    <row r="316" spans="13:17" x14ac:dyDescent="0.2">
      <c r="M316" s="230"/>
      <c r="N316" s="230"/>
      <c r="O316" s="230"/>
      <c r="P316" s="230"/>
      <c r="Q316" s="230"/>
    </row>
    <row r="317" spans="13:17" x14ac:dyDescent="0.2">
      <c r="M317" s="230"/>
      <c r="N317" s="230"/>
      <c r="O317" s="230"/>
      <c r="P317" s="230"/>
      <c r="Q317" s="230"/>
    </row>
    <row r="318" spans="13:17" x14ac:dyDescent="0.2">
      <c r="M318" s="230"/>
      <c r="N318" s="230"/>
      <c r="O318" s="230"/>
      <c r="P318" s="230"/>
      <c r="Q318" s="230"/>
    </row>
    <row r="319" spans="13:17" x14ac:dyDescent="0.2">
      <c r="M319" s="230"/>
      <c r="N319" s="230"/>
      <c r="O319" s="230"/>
      <c r="P319" s="230"/>
      <c r="Q319" s="230"/>
    </row>
    <row r="320" spans="13:17" x14ac:dyDescent="0.2">
      <c r="M320" s="230"/>
      <c r="N320" s="230"/>
      <c r="O320" s="230"/>
      <c r="P320" s="230"/>
      <c r="Q320" s="230"/>
    </row>
    <row r="321" spans="13:17" x14ac:dyDescent="0.2">
      <c r="M321" s="230"/>
      <c r="N321" s="230"/>
      <c r="O321" s="230"/>
      <c r="P321" s="230"/>
      <c r="Q321" s="230"/>
    </row>
    <row r="322" spans="13:17" x14ac:dyDescent="0.2">
      <c r="M322" s="230"/>
      <c r="N322" s="230"/>
      <c r="O322" s="230"/>
      <c r="P322" s="230"/>
      <c r="Q322" s="230"/>
    </row>
    <row r="323" spans="13:17" x14ac:dyDescent="0.2">
      <c r="M323" s="230"/>
      <c r="N323" s="230"/>
      <c r="O323" s="230"/>
      <c r="P323" s="230"/>
      <c r="Q323" s="230"/>
    </row>
    <row r="324" spans="13:17" x14ac:dyDescent="0.2">
      <c r="M324" s="230"/>
      <c r="N324" s="230"/>
      <c r="O324" s="230"/>
      <c r="P324" s="230"/>
      <c r="Q324" s="230"/>
    </row>
    <row r="325" spans="13:17" x14ac:dyDescent="0.2">
      <c r="M325" s="230"/>
      <c r="N325" s="230"/>
      <c r="O325" s="230"/>
      <c r="P325" s="230"/>
      <c r="Q325" s="230"/>
    </row>
    <row r="326" spans="13:17" x14ac:dyDescent="0.2">
      <c r="M326" s="230"/>
      <c r="N326" s="230"/>
      <c r="O326" s="230"/>
      <c r="P326" s="230"/>
      <c r="Q326" s="230"/>
    </row>
    <row r="327" spans="13:17" x14ac:dyDescent="0.2">
      <c r="M327" s="230"/>
      <c r="N327" s="230"/>
      <c r="O327" s="230"/>
      <c r="P327" s="230"/>
      <c r="Q327" s="230"/>
    </row>
    <row r="328" spans="13:17" x14ac:dyDescent="0.2">
      <c r="M328" s="230"/>
      <c r="N328" s="230"/>
      <c r="O328" s="230"/>
      <c r="P328" s="230"/>
      <c r="Q328" s="230"/>
    </row>
    <row r="329" spans="13:17" x14ac:dyDescent="0.2">
      <c r="M329" s="230"/>
      <c r="N329" s="230"/>
      <c r="O329" s="230"/>
      <c r="P329" s="230"/>
      <c r="Q329" s="230"/>
    </row>
    <row r="330" spans="13:17" x14ac:dyDescent="0.2">
      <c r="M330" s="230"/>
      <c r="N330" s="230"/>
      <c r="O330" s="230"/>
      <c r="P330" s="230"/>
      <c r="Q330" s="230"/>
    </row>
    <row r="331" spans="13:17" x14ac:dyDescent="0.2">
      <c r="M331" s="230"/>
      <c r="N331" s="230"/>
      <c r="O331" s="230"/>
      <c r="P331" s="230"/>
      <c r="Q331" s="230"/>
    </row>
    <row r="332" spans="13:17" x14ac:dyDescent="0.2">
      <c r="M332" s="230"/>
      <c r="N332" s="230"/>
      <c r="O332" s="230"/>
      <c r="P332" s="230"/>
      <c r="Q332" s="230"/>
    </row>
    <row r="333" spans="13:17" x14ac:dyDescent="0.2">
      <c r="M333" s="230"/>
      <c r="N333" s="230"/>
      <c r="O333" s="230"/>
      <c r="P333" s="230"/>
      <c r="Q333" s="230"/>
    </row>
    <row r="334" spans="13:17" x14ac:dyDescent="0.2">
      <c r="M334" s="230"/>
      <c r="N334" s="230"/>
      <c r="O334" s="230"/>
      <c r="P334" s="230"/>
      <c r="Q334" s="230"/>
    </row>
    <row r="335" spans="13:17" x14ac:dyDescent="0.2">
      <c r="M335" s="230"/>
      <c r="N335" s="230"/>
      <c r="O335" s="230"/>
      <c r="P335" s="230"/>
      <c r="Q335" s="230"/>
    </row>
    <row r="336" spans="13:17" x14ac:dyDescent="0.2">
      <c r="M336" s="230"/>
      <c r="N336" s="230"/>
      <c r="O336" s="230"/>
      <c r="P336" s="230"/>
      <c r="Q336" s="230"/>
    </row>
    <row r="337" spans="13:17" x14ac:dyDescent="0.2">
      <c r="M337" s="230"/>
      <c r="N337" s="230"/>
      <c r="O337" s="230"/>
      <c r="P337" s="230"/>
      <c r="Q337" s="230"/>
    </row>
    <row r="338" spans="13:17" x14ac:dyDescent="0.2">
      <c r="M338" s="230"/>
      <c r="N338" s="230"/>
      <c r="O338" s="230"/>
      <c r="P338" s="230"/>
      <c r="Q338" s="230"/>
    </row>
    <row r="339" spans="13:17" x14ac:dyDescent="0.2">
      <c r="M339" s="230"/>
      <c r="N339" s="230"/>
      <c r="O339" s="230"/>
      <c r="P339" s="230"/>
      <c r="Q339" s="230"/>
    </row>
    <row r="340" spans="13:17" x14ac:dyDescent="0.2">
      <c r="M340" s="230"/>
      <c r="N340" s="230"/>
      <c r="O340" s="230"/>
      <c r="P340" s="230"/>
      <c r="Q340" s="230"/>
    </row>
    <row r="341" spans="13:17" x14ac:dyDescent="0.2">
      <c r="M341" s="230"/>
      <c r="N341" s="230"/>
      <c r="O341" s="230"/>
      <c r="P341" s="230"/>
      <c r="Q341" s="230"/>
    </row>
    <row r="342" spans="13:17" x14ac:dyDescent="0.2">
      <c r="M342" s="230"/>
      <c r="N342" s="230"/>
      <c r="O342" s="230"/>
      <c r="P342" s="230"/>
      <c r="Q342" s="230"/>
    </row>
    <row r="343" spans="13:17" x14ac:dyDescent="0.2">
      <c r="M343" s="230"/>
      <c r="N343" s="230"/>
      <c r="O343" s="230"/>
      <c r="P343" s="230"/>
      <c r="Q343" s="230"/>
    </row>
    <row r="344" spans="13:17" x14ac:dyDescent="0.2">
      <c r="M344" s="230"/>
      <c r="N344" s="230"/>
      <c r="O344" s="230"/>
      <c r="P344" s="230"/>
      <c r="Q344" s="230"/>
    </row>
    <row r="345" spans="13:17" x14ac:dyDescent="0.2">
      <c r="M345" s="230"/>
      <c r="N345" s="230"/>
      <c r="O345" s="230"/>
      <c r="P345" s="230"/>
      <c r="Q345" s="230"/>
    </row>
    <row r="346" spans="13:17" x14ac:dyDescent="0.2">
      <c r="M346" s="230"/>
      <c r="N346" s="230"/>
      <c r="O346" s="230"/>
      <c r="P346" s="230"/>
      <c r="Q346" s="230"/>
    </row>
    <row r="347" spans="13:17" x14ac:dyDescent="0.2">
      <c r="M347" s="230"/>
      <c r="N347" s="230"/>
      <c r="O347" s="230"/>
      <c r="P347" s="230"/>
      <c r="Q347" s="230"/>
    </row>
    <row r="348" spans="13:17" x14ac:dyDescent="0.2">
      <c r="M348" s="230"/>
      <c r="N348" s="230"/>
      <c r="O348" s="230"/>
      <c r="P348" s="230"/>
      <c r="Q348" s="230"/>
    </row>
    <row r="349" spans="13:17" x14ac:dyDescent="0.2">
      <c r="M349" s="230"/>
      <c r="N349" s="230"/>
      <c r="O349" s="230"/>
      <c r="P349" s="230"/>
      <c r="Q349" s="230"/>
    </row>
    <row r="350" spans="13:17" x14ac:dyDescent="0.2">
      <c r="M350" s="230"/>
      <c r="N350" s="230"/>
      <c r="O350" s="230"/>
      <c r="P350" s="230"/>
      <c r="Q350" s="230"/>
    </row>
    <row r="351" spans="13:17" x14ac:dyDescent="0.2">
      <c r="M351" s="230"/>
      <c r="N351" s="230"/>
      <c r="O351" s="230"/>
      <c r="P351" s="230"/>
      <c r="Q351" s="230"/>
    </row>
    <row r="352" spans="13:17" x14ac:dyDescent="0.2">
      <c r="M352" s="230"/>
      <c r="N352" s="230"/>
      <c r="O352" s="230"/>
      <c r="P352" s="230"/>
      <c r="Q352" s="230"/>
    </row>
    <row r="353" spans="13:17" x14ac:dyDescent="0.2">
      <c r="M353" s="230"/>
      <c r="N353" s="230"/>
      <c r="O353" s="230"/>
      <c r="P353" s="230"/>
      <c r="Q353" s="230"/>
    </row>
    <row r="354" spans="13:17" x14ac:dyDescent="0.2">
      <c r="M354" s="230"/>
      <c r="N354" s="230"/>
      <c r="O354" s="230"/>
      <c r="P354" s="230"/>
      <c r="Q354" s="230"/>
    </row>
    <row r="355" spans="13:17" x14ac:dyDescent="0.2">
      <c r="M355" s="230"/>
      <c r="N355" s="230"/>
      <c r="O355" s="230"/>
      <c r="P355" s="230"/>
      <c r="Q355" s="230"/>
    </row>
    <row r="356" spans="13:17" x14ac:dyDescent="0.2">
      <c r="M356" s="230"/>
      <c r="N356" s="230"/>
      <c r="O356" s="230"/>
      <c r="P356" s="230"/>
      <c r="Q356" s="230"/>
    </row>
    <row r="357" spans="13:17" x14ac:dyDescent="0.2">
      <c r="M357" s="230"/>
      <c r="N357" s="230"/>
      <c r="O357" s="230"/>
      <c r="P357" s="230"/>
      <c r="Q357" s="230"/>
    </row>
    <row r="358" spans="13:17" x14ac:dyDescent="0.2">
      <c r="M358" s="230"/>
      <c r="N358" s="230"/>
      <c r="O358" s="230"/>
      <c r="P358" s="230"/>
      <c r="Q358" s="230"/>
    </row>
    <row r="359" spans="13:17" x14ac:dyDescent="0.2">
      <c r="M359" s="230"/>
      <c r="N359" s="230"/>
      <c r="O359" s="230"/>
      <c r="P359" s="230"/>
      <c r="Q359" s="230"/>
    </row>
    <row r="360" spans="13:17" x14ac:dyDescent="0.2">
      <c r="M360" s="230"/>
      <c r="N360" s="230"/>
      <c r="O360" s="230"/>
      <c r="P360" s="230"/>
      <c r="Q360" s="230"/>
    </row>
    <row r="361" spans="13:17" x14ac:dyDescent="0.2">
      <c r="M361" s="230"/>
      <c r="N361" s="230"/>
      <c r="O361" s="230"/>
      <c r="P361" s="230"/>
      <c r="Q361" s="230"/>
    </row>
    <row r="362" spans="13:17" x14ac:dyDescent="0.2">
      <c r="M362" s="230"/>
      <c r="N362" s="230"/>
      <c r="O362" s="230"/>
      <c r="P362" s="230"/>
      <c r="Q362" s="230"/>
    </row>
    <row r="363" spans="13:17" x14ac:dyDescent="0.2">
      <c r="M363" s="230"/>
      <c r="N363" s="230"/>
      <c r="O363" s="230"/>
      <c r="P363" s="230"/>
      <c r="Q363" s="230"/>
    </row>
    <row r="364" spans="13:17" x14ac:dyDescent="0.2">
      <c r="M364" s="230"/>
      <c r="N364" s="230"/>
      <c r="O364" s="230"/>
      <c r="P364" s="230"/>
      <c r="Q364" s="230"/>
    </row>
    <row r="365" spans="13:17" x14ac:dyDescent="0.2">
      <c r="M365" s="230"/>
      <c r="N365" s="230"/>
      <c r="O365" s="230"/>
      <c r="P365" s="230"/>
      <c r="Q365" s="230"/>
    </row>
    <row r="366" spans="13:17" x14ac:dyDescent="0.2">
      <c r="M366" s="230"/>
      <c r="N366" s="230"/>
      <c r="O366" s="230"/>
      <c r="P366" s="230"/>
      <c r="Q366" s="230"/>
    </row>
    <row r="367" spans="13:17" x14ac:dyDescent="0.2">
      <c r="M367" s="230"/>
      <c r="N367" s="230"/>
      <c r="O367" s="230"/>
      <c r="P367" s="230"/>
      <c r="Q367" s="230"/>
    </row>
    <row r="368" spans="13:17" x14ac:dyDescent="0.2">
      <c r="M368" s="230"/>
      <c r="N368" s="230"/>
      <c r="O368" s="230"/>
      <c r="P368" s="230"/>
      <c r="Q368" s="230"/>
    </row>
    <row r="369" spans="13:17" x14ac:dyDescent="0.2">
      <c r="M369" s="230"/>
      <c r="N369" s="230"/>
      <c r="O369" s="230"/>
      <c r="P369" s="230"/>
      <c r="Q369" s="230"/>
    </row>
    <row r="370" spans="13:17" x14ac:dyDescent="0.2">
      <c r="M370" s="230"/>
      <c r="N370" s="230"/>
      <c r="O370" s="230"/>
      <c r="P370" s="230"/>
      <c r="Q370" s="230"/>
    </row>
    <row r="371" spans="13:17" x14ac:dyDescent="0.2">
      <c r="M371" s="230"/>
      <c r="N371" s="230"/>
      <c r="O371" s="230"/>
      <c r="P371" s="230"/>
      <c r="Q371" s="230"/>
    </row>
    <row r="372" spans="13:17" x14ac:dyDescent="0.2">
      <c r="M372" s="230"/>
      <c r="N372" s="230"/>
      <c r="O372" s="230"/>
      <c r="P372" s="230"/>
      <c r="Q372" s="230"/>
    </row>
    <row r="373" spans="13:17" x14ac:dyDescent="0.2">
      <c r="M373" s="230"/>
      <c r="N373" s="230"/>
      <c r="O373" s="230"/>
      <c r="P373" s="230"/>
      <c r="Q373" s="230"/>
    </row>
    <row r="374" spans="13:17" x14ac:dyDescent="0.2">
      <c r="M374" s="230"/>
      <c r="N374" s="230"/>
      <c r="O374" s="230"/>
      <c r="P374" s="230"/>
      <c r="Q374" s="230"/>
    </row>
    <row r="375" spans="13:17" x14ac:dyDescent="0.2">
      <c r="M375" s="230"/>
      <c r="N375" s="230"/>
      <c r="O375" s="230"/>
      <c r="P375" s="230"/>
      <c r="Q375" s="230"/>
    </row>
    <row r="376" spans="13:17" x14ac:dyDescent="0.2">
      <c r="M376" s="230"/>
      <c r="N376" s="230"/>
      <c r="O376" s="230"/>
      <c r="P376" s="230"/>
      <c r="Q376" s="230"/>
    </row>
    <row r="377" spans="13:17" x14ac:dyDescent="0.2">
      <c r="M377" s="230"/>
      <c r="N377" s="230"/>
      <c r="O377" s="230"/>
      <c r="P377" s="230"/>
      <c r="Q377" s="230"/>
    </row>
    <row r="378" spans="13:17" x14ac:dyDescent="0.2">
      <c r="M378" s="230"/>
      <c r="N378" s="230"/>
      <c r="O378" s="230"/>
      <c r="P378" s="230"/>
      <c r="Q378" s="230"/>
    </row>
    <row r="379" spans="13:17" x14ac:dyDescent="0.2">
      <c r="M379" s="230"/>
      <c r="N379" s="230"/>
      <c r="O379" s="230"/>
      <c r="P379" s="230"/>
      <c r="Q379" s="230"/>
    </row>
    <row r="380" spans="13:17" x14ac:dyDescent="0.2">
      <c r="M380" s="230"/>
      <c r="N380" s="230"/>
      <c r="O380" s="230"/>
      <c r="P380" s="230"/>
      <c r="Q380" s="230"/>
    </row>
    <row r="381" spans="13:17" x14ac:dyDescent="0.2">
      <c r="M381" s="230"/>
      <c r="N381" s="230"/>
      <c r="O381" s="230"/>
      <c r="P381" s="230"/>
      <c r="Q381" s="230"/>
    </row>
    <row r="382" spans="13:17" x14ac:dyDescent="0.2">
      <c r="M382" s="230"/>
      <c r="N382" s="230"/>
      <c r="O382" s="230"/>
      <c r="P382" s="230"/>
      <c r="Q382" s="230"/>
    </row>
    <row r="383" spans="13:17" x14ac:dyDescent="0.2">
      <c r="M383" s="230"/>
      <c r="N383" s="230"/>
      <c r="O383" s="230"/>
      <c r="P383" s="230"/>
      <c r="Q383" s="230"/>
    </row>
    <row r="384" spans="13:17" x14ac:dyDescent="0.2">
      <c r="M384" s="230"/>
      <c r="N384" s="230"/>
      <c r="O384" s="230"/>
      <c r="P384" s="230"/>
      <c r="Q384" s="230"/>
    </row>
    <row r="385" spans="13:17" x14ac:dyDescent="0.2">
      <c r="M385" s="230"/>
      <c r="N385" s="230"/>
      <c r="O385" s="230"/>
      <c r="P385" s="230"/>
      <c r="Q385" s="230"/>
    </row>
    <row r="386" spans="13:17" x14ac:dyDescent="0.2">
      <c r="M386" s="230"/>
      <c r="N386" s="230"/>
      <c r="O386" s="230"/>
      <c r="P386" s="230"/>
      <c r="Q386" s="230"/>
    </row>
    <row r="387" spans="13:17" x14ac:dyDescent="0.2">
      <c r="M387" s="230"/>
      <c r="N387" s="230"/>
      <c r="O387" s="230"/>
      <c r="P387" s="230"/>
      <c r="Q387" s="230"/>
    </row>
    <row r="388" spans="13:17" x14ac:dyDescent="0.2">
      <c r="M388" s="230"/>
      <c r="N388" s="230"/>
      <c r="O388" s="230"/>
      <c r="P388" s="230"/>
      <c r="Q388" s="230"/>
    </row>
    <row r="389" spans="13:17" x14ac:dyDescent="0.2">
      <c r="M389" s="230"/>
      <c r="N389" s="230"/>
      <c r="O389" s="230"/>
      <c r="P389" s="230"/>
      <c r="Q389" s="230"/>
    </row>
    <row r="390" spans="13:17" x14ac:dyDescent="0.2">
      <c r="M390" s="230"/>
      <c r="N390" s="230"/>
      <c r="O390" s="230"/>
      <c r="P390" s="230"/>
      <c r="Q390" s="230"/>
    </row>
    <row r="391" spans="13:17" x14ac:dyDescent="0.2">
      <c r="M391" s="230"/>
      <c r="N391" s="230"/>
      <c r="O391" s="230"/>
      <c r="P391" s="230"/>
      <c r="Q391" s="230"/>
    </row>
    <row r="392" spans="13:17" x14ac:dyDescent="0.2">
      <c r="M392" s="230"/>
      <c r="N392" s="230"/>
      <c r="O392" s="230"/>
      <c r="P392" s="230"/>
      <c r="Q392" s="230"/>
    </row>
    <row r="393" spans="13:17" x14ac:dyDescent="0.2">
      <c r="M393" s="230"/>
      <c r="N393" s="230"/>
      <c r="O393" s="230"/>
      <c r="P393" s="230"/>
      <c r="Q393" s="230"/>
    </row>
    <row r="394" spans="13:17" x14ac:dyDescent="0.2">
      <c r="M394" s="230"/>
      <c r="N394" s="230"/>
      <c r="O394" s="230"/>
      <c r="P394" s="230"/>
      <c r="Q394" s="230"/>
    </row>
    <row r="395" spans="13:17" x14ac:dyDescent="0.2">
      <c r="M395" s="230"/>
      <c r="N395" s="230"/>
      <c r="O395" s="230"/>
      <c r="P395" s="230"/>
      <c r="Q395" s="230"/>
    </row>
    <row r="396" spans="13:17" x14ac:dyDescent="0.2">
      <c r="M396" s="230"/>
      <c r="N396" s="230"/>
      <c r="O396" s="230"/>
      <c r="P396" s="230"/>
      <c r="Q396" s="230"/>
    </row>
    <row r="397" spans="13:17" x14ac:dyDescent="0.2">
      <c r="M397" s="230"/>
      <c r="N397" s="230"/>
      <c r="O397" s="230"/>
      <c r="P397" s="230"/>
      <c r="Q397" s="230"/>
    </row>
    <row r="398" spans="13:17" x14ac:dyDescent="0.2">
      <c r="M398" s="230"/>
      <c r="N398" s="230"/>
      <c r="O398" s="230"/>
      <c r="P398" s="230"/>
      <c r="Q398" s="230"/>
    </row>
    <row r="399" spans="13:17" x14ac:dyDescent="0.2">
      <c r="M399" s="230"/>
      <c r="N399" s="230"/>
      <c r="O399" s="230"/>
      <c r="P399" s="230"/>
      <c r="Q399" s="230"/>
    </row>
    <row r="400" spans="13:17" x14ac:dyDescent="0.2">
      <c r="M400" s="230"/>
      <c r="N400" s="230"/>
      <c r="O400" s="230"/>
      <c r="P400" s="230"/>
      <c r="Q400" s="230"/>
    </row>
    <row r="401" spans="13:17" x14ac:dyDescent="0.2">
      <c r="M401" s="230"/>
      <c r="N401" s="230"/>
      <c r="O401" s="230"/>
      <c r="P401" s="230"/>
      <c r="Q401" s="230"/>
    </row>
    <row r="402" spans="13:17" x14ac:dyDescent="0.2">
      <c r="M402" s="230"/>
      <c r="N402" s="230"/>
      <c r="O402" s="230"/>
      <c r="P402" s="230"/>
      <c r="Q402" s="230"/>
    </row>
    <row r="403" spans="13:17" x14ac:dyDescent="0.2">
      <c r="M403" s="230"/>
      <c r="N403" s="230"/>
      <c r="O403" s="230"/>
      <c r="P403" s="230"/>
      <c r="Q403" s="230"/>
    </row>
    <row r="404" spans="13:17" x14ac:dyDescent="0.2">
      <c r="M404" s="230"/>
      <c r="N404" s="230"/>
      <c r="O404" s="230"/>
      <c r="P404" s="230"/>
      <c r="Q404" s="230"/>
    </row>
    <row r="405" spans="13:17" x14ac:dyDescent="0.2">
      <c r="M405" s="230"/>
      <c r="N405" s="230"/>
      <c r="O405" s="230"/>
      <c r="P405" s="230"/>
      <c r="Q405" s="230"/>
    </row>
    <row r="406" spans="13:17" x14ac:dyDescent="0.2">
      <c r="M406" s="230"/>
      <c r="N406" s="230"/>
      <c r="O406" s="230"/>
      <c r="P406" s="230"/>
      <c r="Q406" s="230"/>
    </row>
    <row r="407" spans="13:17" x14ac:dyDescent="0.2">
      <c r="M407" s="230"/>
      <c r="N407" s="230"/>
      <c r="O407" s="230"/>
      <c r="P407" s="230"/>
      <c r="Q407" s="230"/>
    </row>
    <row r="408" spans="13:17" x14ac:dyDescent="0.2">
      <c r="M408" s="230"/>
      <c r="N408" s="230"/>
      <c r="O408" s="230"/>
      <c r="P408" s="230"/>
      <c r="Q408" s="230"/>
    </row>
    <row r="409" spans="13:17" x14ac:dyDescent="0.2">
      <c r="M409" s="230"/>
      <c r="N409" s="230"/>
      <c r="O409" s="230"/>
      <c r="P409" s="230"/>
      <c r="Q409" s="230"/>
    </row>
    <row r="410" spans="13:17" x14ac:dyDescent="0.2">
      <c r="M410" s="230"/>
      <c r="N410" s="230"/>
      <c r="O410" s="230"/>
      <c r="P410" s="230"/>
      <c r="Q410" s="230"/>
    </row>
    <row r="411" spans="13:17" x14ac:dyDescent="0.2">
      <c r="M411" s="230"/>
      <c r="N411" s="230"/>
      <c r="O411" s="230"/>
      <c r="P411" s="230"/>
      <c r="Q411" s="230"/>
    </row>
    <row r="412" spans="13:17" x14ac:dyDescent="0.2">
      <c r="M412" s="230"/>
      <c r="N412" s="230"/>
      <c r="O412" s="230"/>
      <c r="P412" s="230"/>
      <c r="Q412" s="230"/>
    </row>
    <row r="413" spans="13:17" x14ac:dyDescent="0.2">
      <c r="M413" s="230"/>
      <c r="N413" s="230"/>
      <c r="O413" s="230"/>
      <c r="P413" s="230"/>
      <c r="Q413" s="230"/>
    </row>
    <row r="414" spans="13:17" x14ac:dyDescent="0.2">
      <c r="M414" s="230"/>
      <c r="N414" s="230"/>
      <c r="O414" s="230"/>
      <c r="P414" s="230"/>
      <c r="Q414" s="230"/>
    </row>
    <row r="415" spans="13:17" x14ac:dyDescent="0.2">
      <c r="M415" s="230"/>
      <c r="N415" s="230"/>
      <c r="O415" s="230"/>
      <c r="P415" s="230"/>
      <c r="Q415" s="230"/>
    </row>
    <row r="416" spans="13:17" x14ac:dyDescent="0.2">
      <c r="M416" s="230"/>
      <c r="N416" s="230"/>
      <c r="O416" s="230"/>
      <c r="P416" s="230"/>
      <c r="Q416" s="230"/>
    </row>
    <row r="417" spans="13:17" x14ac:dyDescent="0.2">
      <c r="M417" s="230"/>
      <c r="N417" s="230"/>
      <c r="O417" s="230"/>
      <c r="P417" s="230"/>
      <c r="Q417" s="230"/>
    </row>
    <row r="418" spans="13:17" x14ac:dyDescent="0.2">
      <c r="M418" s="230"/>
      <c r="N418" s="230"/>
      <c r="O418" s="230"/>
      <c r="P418" s="230"/>
      <c r="Q418" s="230"/>
    </row>
    <row r="419" spans="13:17" x14ac:dyDescent="0.2">
      <c r="M419" s="230"/>
      <c r="N419" s="230"/>
      <c r="O419" s="230"/>
      <c r="P419" s="230"/>
      <c r="Q419" s="230"/>
    </row>
    <row r="420" spans="13:17" x14ac:dyDescent="0.2">
      <c r="M420" s="230"/>
      <c r="N420" s="230"/>
      <c r="O420" s="230"/>
      <c r="P420" s="230"/>
      <c r="Q420" s="230"/>
    </row>
    <row r="421" spans="13:17" x14ac:dyDescent="0.2">
      <c r="M421" s="230"/>
      <c r="N421" s="230"/>
      <c r="O421" s="230"/>
      <c r="P421" s="230"/>
      <c r="Q421" s="230"/>
    </row>
    <row r="422" spans="13:17" x14ac:dyDescent="0.2">
      <c r="M422" s="230"/>
      <c r="N422" s="230"/>
      <c r="O422" s="230"/>
      <c r="P422" s="230"/>
      <c r="Q422" s="230"/>
    </row>
    <row r="423" spans="13:17" x14ac:dyDescent="0.2">
      <c r="M423" s="230"/>
      <c r="N423" s="230"/>
      <c r="O423" s="230"/>
      <c r="P423" s="230"/>
      <c r="Q423" s="230"/>
    </row>
    <row r="424" spans="13:17" x14ac:dyDescent="0.2">
      <c r="M424" s="230"/>
      <c r="N424" s="230"/>
      <c r="O424" s="230"/>
      <c r="P424" s="230"/>
      <c r="Q424" s="230"/>
    </row>
    <row r="425" spans="13:17" x14ac:dyDescent="0.2">
      <c r="M425" s="230"/>
      <c r="N425" s="230"/>
      <c r="O425" s="230"/>
      <c r="P425" s="230"/>
      <c r="Q425" s="230"/>
    </row>
    <row r="426" spans="13:17" x14ac:dyDescent="0.2">
      <c r="M426" s="230"/>
      <c r="N426" s="230"/>
      <c r="O426" s="230"/>
      <c r="P426" s="230"/>
      <c r="Q426" s="230"/>
    </row>
    <row r="427" spans="13:17" x14ac:dyDescent="0.2">
      <c r="M427" s="230"/>
      <c r="N427" s="230"/>
      <c r="O427" s="230"/>
      <c r="P427" s="230"/>
      <c r="Q427" s="230"/>
    </row>
    <row r="428" spans="13:17" x14ac:dyDescent="0.2">
      <c r="M428" s="230"/>
      <c r="N428" s="230"/>
      <c r="O428" s="230"/>
      <c r="P428" s="230"/>
      <c r="Q428" s="230"/>
    </row>
    <row r="429" spans="13:17" x14ac:dyDescent="0.2">
      <c r="M429" s="230"/>
      <c r="N429" s="230"/>
      <c r="O429" s="230"/>
      <c r="P429" s="230"/>
      <c r="Q429" s="230"/>
    </row>
    <row r="430" spans="13:17" x14ac:dyDescent="0.2">
      <c r="M430" s="230"/>
      <c r="N430" s="230"/>
      <c r="O430" s="230"/>
      <c r="P430" s="230"/>
      <c r="Q430" s="230"/>
    </row>
    <row r="431" spans="13:17" x14ac:dyDescent="0.2">
      <c r="M431" s="230"/>
      <c r="N431" s="230"/>
      <c r="O431" s="230"/>
      <c r="P431" s="230"/>
      <c r="Q431" s="230"/>
    </row>
    <row r="432" spans="13:17" x14ac:dyDescent="0.2">
      <c r="M432" s="230"/>
      <c r="N432" s="230"/>
      <c r="O432" s="230"/>
      <c r="P432" s="230"/>
      <c r="Q432" s="230"/>
    </row>
    <row r="433" spans="13:17" x14ac:dyDescent="0.2">
      <c r="M433" s="230"/>
      <c r="N433" s="230"/>
      <c r="O433" s="230"/>
      <c r="P433" s="230"/>
      <c r="Q433" s="230"/>
    </row>
    <row r="434" spans="13:17" x14ac:dyDescent="0.2">
      <c r="M434" s="230"/>
      <c r="N434" s="230"/>
      <c r="O434" s="230"/>
      <c r="P434" s="230"/>
      <c r="Q434" s="230"/>
    </row>
    <row r="435" spans="13:17" x14ac:dyDescent="0.2">
      <c r="M435" s="230"/>
      <c r="N435" s="230"/>
      <c r="O435" s="230"/>
      <c r="P435" s="230"/>
      <c r="Q435" s="230"/>
    </row>
    <row r="436" spans="13:17" x14ac:dyDescent="0.2">
      <c r="M436" s="230"/>
      <c r="N436" s="230"/>
      <c r="O436" s="230"/>
      <c r="P436" s="230"/>
      <c r="Q436" s="230"/>
    </row>
    <row r="437" spans="13:17" x14ac:dyDescent="0.2">
      <c r="M437" s="230"/>
      <c r="N437" s="230"/>
      <c r="O437" s="230"/>
      <c r="P437" s="230"/>
      <c r="Q437" s="230"/>
    </row>
    <row r="438" spans="13:17" x14ac:dyDescent="0.2">
      <c r="M438" s="230"/>
      <c r="N438" s="230"/>
      <c r="O438" s="230"/>
      <c r="P438" s="230"/>
      <c r="Q438" s="230"/>
    </row>
    <row r="439" spans="13:17" x14ac:dyDescent="0.2">
      <c r="M439" s="230"/>
      <c r="N439" s="230"/>
      <c r="O439" s="230"/>
      <c r="P439" s="230"/>
      <c r="Q439" s="230"/>
    </row>
    <row r="440" spans="13:17" x14ac:dyDescent="0.2">
      <c r="M440" s="230"/>
      <c r="N440" s="230"/>
      <c r="O440" s="230"/>
      <c r="P440" s="230"/>
      <c r="Q440" s="230"/>
    </row>
    <row r="441" spans="13:17" x14ac:dyDescent="0.2">
      <c r="M441" s="230"/>
      <c r="N441" s="230"/>
      <c r="O441" s="230"/>
      <c r="P441" s="230"/>
      <c r="Q441" s="230"/>
    </row>
    <row r="442" spans="13:17" x14ac:dyDescent="0.2">
      <c r="M442" s="230"/>
      <c r="N442" s="230"/>
      <c r="O442" s="230"/>
      <c r="P442" s="230"/>
      <c r="Q442" s="230"/>
    </row>
    <row r="443" spans="13:17" x14ac:dyDescent="0.2">
      <c r="M443" s="230"/>
      <c r="N443" s="230"/>
      <c r="O443" s="230"/>
      <c r="P443" s="230"/>
      <c r="Q443" s="230"/>
    </row>
    <row r="444" spans="13:17" x14ac:dyDescent="0.2">
      <c r="M444" s="230"/>
      <c r="N444" s="230"/>
      <c r="O444" s="230"/>
      <c r="P444" s="230"/>
      <c r="Q444" s="230"/>
    </row>
    <row r="445" spans="13:17" x14ac:dyDescent="0.2">
      <c r="M445" s="230"/>
      <c r="N445" s="230"/>
      <c r="O445" s="230"/>
      <c r="P445" s="230"/>
      <c r="Q445" s="230"/>
    </row>
    <row r="446" spans="13:17" x14ac:dyDescent="0.2">
      <c r="M446" s="230"/>
      <c r="N446" s="230"/>
      <c r="O446" s="230"/>
      <c r="P446" s="230"/>
      <c r="Q446" s="230"/>
    </row>
    <row r="447" spans="13:17" x14ac:dyDescent="0.2">
      <c r="M447" s="230"/>
      <c r="N447" s="230"/>
      <c r="O447" s="230"/>
      <c r="P447" s="230"/>
      <c r="Q447" s="230"/>
    </row>
    <row r="448" spans="13:17" x14ac:dyDescent="0.2">
      <c r="M448" s="230"/>
      <c r="N448" s="230"/>
      <c r="O448" s="230"/>
      <c r="P448" s="230"/>
      <c r="Q448" s="230"/>
    </row>
    <row r="449" spans="13:17" x14ac:dyDescent="0.2">
      <c r="M449" s="230"/>
      <c r="N449" s="230"/>
      <c r="O449" s="230"/>
      <c r="P449" s="230"/>
      <c r="Q449" s="230"/>
    </row>
    <row r="450" spans="13:17" x14ac:dyDescent="0.2">
      <c r="M450" s="230"/>
      <c r="N450" s="230"/>
      <c r="O450" s="230"/>
      <c r="P450" s="230"/>
      <c r="Q450" s="230"/>
    </row>
    <row r="451" spans="13:17" x14ac:dyDescent="0.2">
      <c r="M451" s="230"/>
      <c r="N451" s="230"/>
      <c r="O451" s="230"/>
      <c r="P451" s="230"/>
      <c r="Q451" s="230"/>
    </row>
    <row r="452" spans="13:17" x14ac:dyDescent="0.2">
      <c r="M452" s="230"/>
      <c r="N452" s="230"/>
      <c r="O452" s="230"/>
      <c r="P452" s="230"/>
      <c r="Q452" s="230"/>
    </row>
    <row r="453" spans="13:17" x14ac:dyDescent="0.2">
      <c r="M453" s="230"/>
      <c r="N453" s="230"/>
      <c r="O453" s="230"/>
      <c r="P453" s="230"/>
      <c r="Q453" s="230"/>
    </row>
    <row r="454" spans="13:17" x14ac:dyDescent="0.2">
      <c r="M454" s="230"/>
      <c r="N454" s="230"/>
      <c r="O454" s="230"/>
      <c r="P454" s="230"/>
      <c r="Q454" s="230"/>
    </row>
  </sheetData>
  <dataValidations count="1">
    <dataValidation type="textLength" showInputMessage="1" showErrorMessage="1" sqref="M5:M11">
      <formula1>0</formula1>
      <formula2>150</formula2>
    </dataValidation>
  </dataValidations>
  <pageMargins left="0.7" right="0.7" top="0.75" bottom="0.75" header="0.3" footer="0.3"/>
  <pageSetup paperSize="9" scale="31"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G463"/>
  <sheetViews>
    <sheetView topLeftCell="O1" zoomScale="90" zoomScaleNormal="90" workbookViewId="0">
      <pane ySplit="5" topLeftCell="A6" activePane="bottomLeft" state="frozen"/>
      <selection activeCell="I1" sqref="I1"/>
      <selection pane="bottomLeft" activeCell="T6" sqref="T6"/>
    </sheetView>
  </sheetViews>
  <sheetFormatPr defaultColWidth="8.85546875" defaultRowHeight="12.75" x14ac:dyDescent="0.2"/>
  <cols>
    <col min="1" max="1" width="9" style="25" customWidth="1"/>
    <col min="2" max="2" width="19" style="25" customWidth="1"/>
    <col min="3" max="3" width="20.28515625" style="25" customWidth="1"/>
    <col min="4" max="4" width="17.140625" style="25" customWidth="1"/>
    <col min="5" max="5" width="23.28515625" style="25" customWidth="1"/>
    <col min="6" max="6" width="15.85546875" style="25" customWidth="1"/>
    <col min="7" max="7" width="17" style="25" customWidth="1"/>
    <col min="8" max="8" width="27.85546875" style="25" customWidth="1"/>
    <col min="9" max="9" width="11" style="25" customWidth="1"/>
    <col min="10" max="10" width="23.28515625" style="25" customWidth="1"/>
    <col min="11" max="11" width="25.140625" style="521" customWidth="1"/>
    <col min="12" max="12" width="14.28515625" style="25" customWidth="1"/>
    <col min="13" max="13" width="14.85546875" style="25" bestFit="1" customWidth="1"/>
    <col min="14" max="14" width="17" style="25" customWidth="1"/>
    <col min="15" max="15" width="57" style="25" customWidth="1"/>
    <col min="16" max="16" width="20.140625" style="30" customWidth="1"/>
    <col min="17" max="17" width="16.7109375" style="30" customWidth="1"/>
    <col min="18" max="18" width="29" style="30" bestFit="1" customWidth="1"/>
    <col min="19" max="19" width="11.85546875" style="25" customWidth="1"/>
    <col min="20" max="20" width="18.28515625" style="25" customWidth="1"/>
    <col min="21" max="21" width="35.5703125" style="25" customWidth="1"/>
    <col min="22" max="24" width="8.85546875" style="25"/>
    <col min="25" max="25" width="52.7109375" style="25" customWidth="1"/>
    <col min="26" max="16384" width="8.85546875" style="25"/>
  </cols>
  <sheetData>
    <row r="1" spans="1:33" ht="13.5" thickBot="1" x14ac:dyDescent="0.25">
      <c r="A1" s="35" t="s">
        <v>167</v>
      </c>
      <c r="B1" s="31"/>
      <c r="C1" s="31"/>
      <c r="D1" s="31"/>
      <c r="E1" s="31"/>
      <c r="F1" s="31"/>
      <c r="G1" s="31"/>
      <c r="H1" s="31"/>
      <c r="I1" s="31"/>
      <c r="J1" s="33"/>
      <c r="K1" s="520"/>
      <c r="L1" s="32"/>
      <c r="M1" s="34"/>
      <c r="N1" s="34"/>
      <c r="O1" s="34"/>
      <c r="P1" s="34"/>
      <c r="Q1" s="34"/>
      <c r="R1" s="34"/>
      <c r="S1" s="34"/>
      <c r="T1" s="34"/>
      <c r="U1" s="31"/>
    </row>
    <row r="2" spans="1:33" x14ac:dyDescent="0.2">
      <c r="A2" s="50"/>
      <c r="B2" s="20"/>
      <c r="C2" s="20"/>
      <c r="D2" s="20"/>
      <c r="E2" s="20"/>
      <c r="F2" s="20"/>
      <c r="G2" s="20"/>
      <c r="H2" s="20"/>
      <c r="I2" s="20"/>
      <c r="J2" s="20"/>
      <c r="L2" s="20"/>
      <c r="M2" s="20"/>
      <c r="N2" s="20"/>
      <c r="O2" s="515"/>
      <c r="P2" s="20"/>
      <c r="Q2" s="20"/>
      <c r="R2" s="20"/>
      <c r="S2" s="26"/>
      <c r="T2" s="96" t="s">
        <v>56</v>
      </c>
      <c r="U2" s="88" t="s">
        <v>50</v>
      </c>
    </row>
    <row r="3" spans="1:33" ht="13.5" thickBot="1" x14ac:dyDescent="0.25">
      <c r="A3" s="49"/>
      <c r="B3" s="20"/>
      <c r="C3" s="20"/>
      <c r="D3" s="20"/>
      <c r="E3" s="20"/>
      <c r="F3" s="20"/>
      <c r="G3" s="20"/>
      <c r="H3" s="20"/>
      <c r="I3" s="20"/>
      <c r="J3" s="20"/>
      <c r="L3" s="20"/>
      <c r="M3" s="20"/>
      <c r="N3" s="20"/>
      <c r="O3" s="20"/>
      <c r="P3" s="20"/>
      <c r="Q3" s="20"/>
      <c r="R3" s="20"/>
      <c r="S3" s="26"/>
      <c r="T3" s="97" t="s">
        <v>55</v>
      </c>
      <c r="U3" s="634">
        <v>2019</v>
      </c>
    </row>
    <row r="4" spans="1:33" s="176" customFormat="1" ht="59.25" customHeight="1" x14ac:dyDescent="0.2">
      <c r="A4" s="727" t="s">
        <v>0</v>
      </c>
      <c r="B4" s="729" t="s">
        <v>166</v>
      </c>
      <c r="C4" s="727" t="s">
        <v>165</v>
      </c>
      <c r="D4" s="729" t="s">
        <v>5</v>
      </c>
      <c r="E4" s="729" t="s">
        <v>8</v>
      </c>
      <c r="F4" s="727" t="s">
        <v>164</v>
      </c>
      <c r="G4" s="727" t="s">
        <v>64</v>
      </c>
      <c r="H4" s="729" t="s">
        <v>163</v>
      </c>
      <c r="I4" s="729" t="s">
        <v>162</v>
      </c>
      <c r="J4" s="733" t="s">
        <v>161</v>
      </c>
      <c r="K4" s="733" t="s">
        <v>160</v>
      </c>
      <c r="L4" s="736" t="s">
        <v>159</v>
      </c>
      <c r="M4" s="736" t="s">
        <v>158</v>
      </c>
      <c r="N4" s="736" t="s">
        <v>9</v>
      </c>
      <c r="O4" s="729" t="s">
        <v>4</v>
      </c>
      <c r="P4" s="732" t="s">
        <v>234</v>
      </c>
      <c r="Q4" s="719" t="s">
        <v>235</v>
      </c>
      <c r="R4" s="721" t="s">
        <v>157</v>
      </c>
      <c r="S4" s="723" t="s">
        <v>156</v>
      </c>
      <c r="T4" s="721" t="s">
        <v>155</v>
      </c>
      <c r="U4" s="725" t="s">
        <v>154</v>
      </c>
    </row>
    <row r="5" spans="1:33" ht="13.5" thickBot="1" x14ac:dyDescent="0.25">
      <c r="A5" s="728"/>
      <c r="B5" s="730"/>
      <c r="C5" s="728"/>
      <c r="D5" s="730"/>
      <c r="E5" s="730"/>
      <c r="F5" s="730"/>
      <c r="G5" s="728"/>
      <c r="H5" s="730"/>
      <c r="I5" s="730"/>
      <c r="J5" s="734"/>
      <c r="K5" s="735"/>
      <c r="L5" s="734"/>
      <c r="M5" s="734"/>
      <c r="N5" s="734"/>
      <c r="O5" s="731"/>
      <c r="P5" s="726"/>
      <c r="Q5" s="720"/>
      <c r="R5" s="722"/>
      <c r="S5" s="724"/>
      <c r="T5" s="722"/>
      <c r="U5" s="726"/>
    </row>
    <row r="6" spans="1:33" x14ac:dyDescent="0.2">
      <c r="A6" s="243" t="s">
        <v>277</v>
      </c>
      <c r="B6" s="244" t="s">
        <v>50</v>
      </c>
      <c r="C6" s="245" t="s">
        <v>672</v>
      </c>
      <c r="D6" s="245" t="s">
        <v>74</v>
      </c>
      <c r="E6" s="246" t="s">
        <v>153</v>
      </c>
      <c r="F6" s="247" t="s">
        <v>673</v>
      </c>
      <c r="G6" s="247"/>
      <c r="H6" s="247" t="s">
        <v>674</v>
      </c>
      <c r="I6" s="248" t="s">
        <v>675</v>
      </c>
      <c r="J6" s="248" t="s">
        <v>676</v>
      </c>
      <c r="K6" s="522" t="s">
        <v>677</v>
      </c>
      <c r="L6" s="250" t="s">
        <v>678</v>
      </c>
      <c r="M6" s="251">
        <v>1</v>
      </c>
      <c r="N6" s="252" t="s">
        <v>196</v>
      </c>
      <c r="O6" s="241" t="s">
        <v>655</v>
      </c>
      <c r="P6" s="156">
        <v>1</v>
      </c>
      <c r="Q6" s="511">
        <f t="shared" ref="Q6:Q28" si="0">P6/M6*100</f>
        <v>100</v>
      </c>
      <c r="R6" s="156"/>
      <c r="S6" s="516" t="s">
        <v>7</v>
      </c>
      <c r="T6" s="516" t="s">
        <v>6</v>
      </c>
      <c r="U6" s="158"/>
    </row>
    <row r="7" spans="1:33" x14ac:dyDescent="0.2">
      <c r="A7" s="243" t="s">
        <v>277</v>
      </c>
      <c r="B7" s="244" t="s">
        <v>50</v>
      </c>
      <c r="C7" s="245" t="s">
        <v>672</v>
      </c>
      <c r="D7" s="245" t="s">
        <v>74</v>
      </c>
      <c r="E7" s="246" t="s">
        <v>153</v>
      </c>
      <c r="F7" s="247" t="s">
        <v>673</v>
      </c>
      <c r="G7" s="247"/>
      <c r="H7" s="247" t="s">
        <v>679</v>
      </c>
      <c r="I7" s="248" t="s">
        <v>675</v>
      </c>
      <c r="J7" s="248" t="s">
        <v>676</v>
      </c>
      <c r="K7" s="522" t="s">
        <v>677</v>
      </c>
      <c r="L7" s="250" t="s">
        <v>678</v>
      </c>
      <c r="M7" s="251">
        <v>1</v>
      </c>
      <c r="N7" s="252" t="s">
        <v>196</v>
      </c>
      <c r="O7" s="241" t="s">
        <v>655</v>
      </c>
      <c r="P7" s="156">
        <v>1</v>
      </c>
      <c r="Q7" s="511">
        <f t="shared" si="0"/>
        <v>100</v>
      </c>
      <c r="R7" s="156"/>
      <c r="S7" s="516" t="s">
        <v>7</v>
      </c>
      <c r="T7" s="516" t="s">
        <v>6</v>
      </c>
      <c r="U7" s="159"/>
    </row>
    <row r="8" spans="1:33" x14ac:dyDescent="0.2">
      <c r="A8" s="243" t="s">
        <v>277</v>
      </c>
      <c r="B8" s="244" t="s">
        <v>50</v>
      </c>
      <c r="C8" s="245" t="s">
        <v>672</v>
      </c>
      <c r="D8" s="245" t="s">
        <v>74</v>
      </c>
      <c r="E8" s="246" t="s">
        <v>153</v>
      </c>
      <c r="F8" s="247" t="s">
        <v>673</v>
      </c>
      <c r="G8" s="247"/>
      <c r="H8" s="247" t="s">
        <v>680</v>
      </c>
      <c r="I8" s="248" t="s">
        <v>675</v>
      </c>
      <c r="J8" s="248" t="s">
        <v>676</v>
      </c>
      <c r="K8" s="522" t="s">
        <v>677</v>
      </c>
      <c r="L8" s="250" t="s">
        <v>678</v>
      </c>
      <c r="M8" s="251">
        <v>1</v>
      </c>
      <c r="N8" s="252" t="s">
        <v>196</v>
      </c>
      <c r="O8" s="241" t="s">
        <v>655</v>
      </c>
      <c r="P8" s="157">
        <v>1</v>
      </c>
      <c r="Q8" s="511">
        <f t="shared" si="0"/>
        <v>100</v>
      </c>
      <c r="R8" s="156"/>
      <c r="S8" s="516" t="s">
        <v>7</v>
      </c>
      <c r="T8" s="516" t="s">
        <v>6</v>
      </c>
      <c r="U8" s="159"/>
    </row>
    <row r="9" spans="1:33" x14ac:dyDescent="0.2">
      <c r="A9" s="243" t="s">
        <v>277</v>
      </c>
      <c r="B9" s="244" t="s">
        <v>50</v>
      </c>
      <c r="C9" s="245" t="s">
        <v>672</v>
      </c>
      <c r="D9" s="245" t="s">
        <v>74</v>
      </c>
      <c r="E9" s="246" t="s">
        <v>153</v>
      </c>
      <c r="F9" s="247" t="s">
        <v>673</v>
      </c>
      <c r="G9" s="247"/>
      <c r="H9" s="247" t="s">
        <v>681</v>
      </c>
      <c r="I9" s="248" t="s">
        <v>675</v>
      </c>
      <c r="J9" s="248" t="s">
        <v>676</v>
      </c>
      <c r="K9" s="522" t="s">
        <v>677</v>
      </c>
      <c r="L9" s="250" t="s">
        <v>678</v>
      </c>
      <c r="M9" s="251">
        <v>1</v>
      </c>
      <c r="N9" s="252" t="s">
        <v>196</v>
      </c>
      <c r="O9" s="241" t="s">
        <v>655</v>
      </c>
      <c r="P9" s="157">
        <v>1</v>
      </c>
      <c r="Q9" s="511">
        <f t="shared" si="0"/>
        <v>100</v>
      </c>
      <c r="R9" s="156"/>
      <c r="S9" s="516" t="s">
        <v>7</v>
      </c>
      <c r="T9" s="516" t="s">
        <v>6</v>
      </c>
      <c r="U9" s="159"/>
    </row>
    <row r="10" spans="1:33" x14ac:dyDescent="0.2">
      <c r="A10" s="243" t="s">
        <v>277</v>
      </c>
      <c r="B10" s="244" t="s">
        <v>50</v>
      </c>
      <c r="C10" s="245" t="s">
        <v>672</v>
      </c>
      <c r="D10" s="245" t="s">
        <v>74</v>
      </c>
      <c r="E10" s="246" t="s">
        <v>153</v>
      </c>
      <c r="F10" s="247" t="s">
        <v>673</v>
      </c>
      <c r="G10" s="247"/>
      <c r="H10" s="247" t="s">
        <v>682</v>
      </c>
      <c r="I10" s="248" t="s">
        <v>675</v>
      </c>
      <c r="J10" s="248" t="s">
        <v>676</v>
      </c>
      <c r="K10" s="522" t="s">
        <v>677</v>
      </c>
      <c r="L10" s="250" t="s">
        <v>678</v>
      </c>
      <c r="M10" s="251">
        <v>1</v>
      </c>
      <c r="N10" s="252" t="s">
        <v>196</v>
      </c>
      <c r="O10" s="241" t="s">
        <v>655</v>
      </c>
      <c r="P10" s="233">
        <v>1</v>
      </c>
      <c r="Q10" s="511">
        <f t="shared" si="0"/>
        <v>100</v>
      </c>
      <c r="R10" s="233"/>
      <c r="S10" s="516" t="s">
        <v>7</v>
      </c>
      <c r="T10" s="517" t="s">
        <v>6</v>
      </c>
      <c r="U10" s="268"/>
    </row>
    <row r="11" spans="1:33" x14ac:dyDescent="0.2">
      <c r="A11" s="243" t="s">
        <v>277</v>
      </c>
      <c r="B11" s="244" t="s">
        <v>50</v>
      </c>
      <c r="C11" s="245" t="s">
        <v>672</v>
      </c>
      <c r="D11" s="245" t="s">
        <v>74</v>
      </c>
      <c r="E11" s="246" t="s">
        <v>153</v>
      </c>
      <c r="F11" s="247" t="s">
        <v>673</v>
      </c>
      <c r="G11" s="247"/>
      <c r="H11" s="247" t="s">
        <v>683</v>
      </c>
      <c r="I11" s="248" t="s">
        <v>675</v>
      </c>
      <c r="J11" s="248" t="s">
        <v>676</v>
      </c>
      <c r="K11" s="522" t="s">
        <v>677</v>
      </c>
      <c r="L11" s="250" t="s">
        <v>678</v>
      </c>
      <c r="M11" s="251">
        <v>1</v>
      </c>
      <c r="N11" s="252" t="s">
        <v>196</v>
      </c>
      <c r="O11" s="285" t="s">
        <v>655</v>
      </c>
      <c r="P11" s="234">
        <v>1</v>
      </c>
      <c r="Q11" s="511">
        <f t="shared" si="0"/>
        <v>100</v>
      </c>
      <c r="R11" s="234"/>
      <c r="S11" s="516" t="s">
        <v>7</v>
      </c>
      <c r="T11" s="518" t="s">
        <v>6</v>
      </c>
      <c r="U11" s="235"/>
      <c r="V11" s="30"/>
      <c r="W11" s="30"/>
      <c r="X11" s="30"/>
      <c r="Y11" s="30"/>
      <c r="Z11" s="30"/>
      <c r="AA11" s="30"/>
      <c r="AB11" s="30"/>
      <c r="AC11" s="30"/>
      <c r="AD11" s="30"/>
      <c r="AE11" s="30"/>
      <c r="AF11" s="30"/>
      <c r="AG11" s="30"/>
    </row>
    <row r="12" spans="1:33" x14ac:dyDescent="0.2">
      <c r="A12" s="243" t="s">
        <v>277</v>
      </c>
      <c r="B12" s="244" t="s">
        <v>50</v>
      </c>
      <c r="C12" s="245" t="s">
        <v>672</v>
      </c>
      <c r="D12" s="245" t="s">
        <v>74</v>
      </c>
      <c r="E12" s="246" t="s">
        <v>153</v>
      </c>
      <c r="F12" s="247" t="s">
        <v>673</v>
      </c>
      <c r="G12" s="247"/>
      <c r="H12" s="247" t="s">
        <v>684</v>
      </c>
      <c r="I12" s="248" t="s">
        <v>675</v>
      </c>
      <c r="J12" s="248" t="s">
        <v>676</v>
      </c>
      <c r="K12" s="522" t="s">
        <v>677</v>
      </c>
      <c r="L12" s="250" t="s">
        <v>678</v>
      </c>
      <c r="M12" s="251">
        <v>1</v>
      </c>
      <c r="N12" s="252" t="s">
        <v>196</v>
      </c>
      <c r="O12" s="285" t="s">
        <v>655</v>
      </c>
      <c r="P12" s="234">
        <v>1</v>
      </c>
      <c r="Q12" s="511">
        <f t="shared" si="0"/>
        <v>100</v>
      </c>
      <c r="R12" s="234"/>
      <c r="S12" s="516" t="s">
        <v>7</v>
      </c>
      <c r="T12" s="518" t="s">
        <v>6</v>
      </c>
      <c r="U12" s="235"/>
      <c r="V12" s="30"/>
      <c r="W12" s="30"/>
      <c r="X12" s="30"/>
      <c r="Y12" s="30"/>
      <c r="Z12" s="30"/>
      <c r="AA12" s="30"/>
      <c r="AB12" s="30"/>
      <c r="AC12" s="30"/>
      <c r="AD12" s="30"/>
      <c r="AE12" s="30"/>
      <c r="AF12" s="30"/>
      <c r="AG12" s="30"/>
    </row>
    <row r="13" spans="1:33" x14ac:dyDescent="0.2">
      <c r="A13" s="243" t="s">
        <v>277</v>
      </c>
      <c r="B13" s="244" t="s">
        <v>50</v>
      </c>
      <c r="C13" s="245" t="s">
        <v>672</v>
      </c>
      <c r="D13" s="245" t="s">
        <v>74</v>
      </c>
      <c r="E13" s="253" t="s">
        <v>153</v>
      </c>
      <c r="F13" s="247" t="s">
        <v>6</v>
      </c>
      <c r="G13" s="247"/>
      <c r="H13" s="254" t="s">
        <v>685</v>
      </c>
      <c r="I13" s="248" t="s">
        <v>675</v>
      </c>
      <c r="J13" s="248" t="s">
        <v>686</v>
      </c>
      <c r="K13" s="522" t="s">
        <v>687</v>
      </c>
      <c r="L13" s="249" t="s">
        <v>688</v>
      </c>
      <c r="M13" s="251">
        <v>1</v>
      </c>
      <c r="N13" s="252" t="s">
        <v>196</v>
      </c>
      <c r="O13" s="285" t="s">
        <v>689</v>
      </c>
      <c r="P13" s="234">
        <v>1</v>
      </c>
      <c r="Q13" s="511">
        <f t="shared" si="0"/>
        <v>100</v>
      </c>
      <c r="R13" s="234"/>
      <c r="S13" s="516" t="s">
        <v>7</v>
      </c>
      <c r="T13" s="518" t="s">
        <v>77</v>
      </c>
      <c r="U13" s="235" t="s">
        <v>1882</v>
      </c>
      <c r="V13" s="30"/>
      <c r="W13" s="30"/>
      <c r="X13" s="30"/>
      <c r="Y13" s="30"/>
      <c r="Z13" s="30"/>
      <c r="AA13" s="30"/>
      <c r="AB13" s="30"/>
      <c r="AC13" s="30"/>
      <c r="AD13" s="30"/>
      <c r="AE13" s="30"/>
      <c r="AF13" s="30"/>
      <c r="AG13" s="30"/>
    </row>
    <row r="14" spans="1:33" ht="25.5" x14ac:dyDescent="0.2">
      <c r="A14" s="243" t="s">
        <v>277</v>
      </c>
      <c r="B14" s="244" t="s">
        <v>50</v>
      </c>
      <c r="C14" s="245" t="s">
        <v>672</v>
      </c>
      <c r="D14" s="245" t="s">
        <v>74</v>
      </c>
      <c r="E14" s="253" t="s">
        <v>153</v>
      </c>
      <c r="F14" s="247" t="s">
        <v>6</v>
      </c>
      <c r="G14" s="247"/>
      <c r="H14" s="254" t="s">
        <v>690</v>
      </c>
      <c r="I14" s="248" t="s">
        <v>675</v>
      </c>
      <c r="J14" s="248" t="s">
        <v>686</v>
      </c>
      <c r="K14" s="522" t="s">
        <v>687</v>
      </c>
      <c r="L14" s="249" t="s">
        <v>688</v>
      </c>
      <c r="M14" s="251">
        <v>1</v>
      </c>
      <c r="N14" s="252" t="s">
        <v>196</v>
      </c>
      <c r="O14" s="285" t="s">
        <v>689</v>
      </c>
      <c r="P14" s="234">
        <v>0</v>
      </c>
      <c r="Q14" s="511">
        <f t="shared" si="0"/>
        <v>0</v>
      </c>
      <c r="R14" s="661" t="s">
        <v>1777</v>
      </c>
      <c r="S14" s="516" t="s">
        <v>7</v>
      </c>
      <c r="T14" s="518" t="s">
        <v>77</v>
      </c>
      <c r="U14" s="235" t="s">
        <v>1882</v>
      </c>
      <c r="V14" s="30"/>
      <c r="W14" s="30"/>
      <c r="X14" s="30"/>
      <c r="Y14" s="30"/>
      <c r="Z14" s="30"/>
      <c r="AA14" s="30"/>
      <c r="AB14" s="30"/>
      <c r="AC14" s="30"/>
      <c r="AD14" s="30"/>
      <c r="AE14" s="30"/>
      <c r="AF14" s="30"/>
      <c r="AG14" s="30"/>
    </row>
    <row r="15" spans="1:33" x14ac:dyDescent="0.2">
      <c r="A15" s="243" t="s">
        <v>277</v>
      </c>
      <c r="B15" s="244" t="s">
        <v>50</v>
      </c>
      <c r="C15" s="245" t="s">
        <v>672</v>
      </c>
      <c r="D15" s="245" t="s">
        <v>74</v>
      </c>
      <c r="E15" s="253" t="s">
        <v>153</v>
      </c>
      <c r="F15" s="247" t="s">
        <v>6</v>
      </c>
      <c r="G15" s="247"/>
      <c r="H15" s="254" t="s">
        <v>691</v>
      </c>
      <c r="I15" s="248" t="s">
        <v>675</v>
      </c>
      <c r="J15" s="248" t="s">
        <v>686</v>
      </c>
      <c r="K15" s="522" t="s">
        <v>687</v>
      </c>
      <c r="L15" s="249" t="s">
        <v>688</v>
      </c>
      <c r="M15" s="251">
        <v>1</v>
      </c>
      <c r="N15" s="252" t="s">
        <v>196</v>
      </c>
      <c r="O15" s="285" t="s">
        <v>689</v>
      </c>
      <c r="P15" s="234">
        <v>1</v>
      </c>
      <c r="Q15" s="511">
        <f t="shared" si="0"/>
        <v>100</v>
      </c>
      <c r="R15" s="234"/>
      <c r="S15" s="516" t="s">
        <v>7</v>
      </c>
      <c r="T15" s="518" t="s">
        <v>77</v>
      </c>
      <c r="U15" s="235" t="s">
        <v>1882</v>
      </c>
      <c r="V15" s="30"/>
      <c r="W15" s="30"/>
      <c r="X15" s="30"/>
      <c r="Y15" s="30"/>
      <c r="Z15" s="30"/>
      <c r="AA15" s="30"/>
      <c r="AB15" s="30"/>
      <c r="AC15" s="30"/>
      <c r="AD15" s="30"/>
      <c r="AE15" s="30"/>
      <c r="AF15" s="30"/>
      <c r="AG15" s="30"/>
    </row>
    <row r="16" spans="1:33" x14ac:dyDescent="0.2">
      <c r="A16" s="243" t="s">
        <v>277</v>
      </c>
      <c r="B16" s="244" t="s">
        <v>50</v>
      </c>
      <c r="C16" s="245" t="s">
        <v>672</v>
      </c>
      <c r="D16" s="245" t="s">
        <v>74</v>
      </c>
      <c r="E16" s="253" t="s">
        <v>153</v>
      </c>
      <c r="F16" s="247" t="s">
        <v>6</v>
      </c>
      <c r="G16" s="247"/>
      <c r="H16" s="254" t="s">
        <v>692</v>
      </c>
      <c r="I16" s="248" t="s">
        <v>675</v>
      </c>
      <c r="J16" s="248" t="s">
        <v>686</v>
      </c>
      <c r="K16" s="522" t="s">
        <v>687</v>
      </c>
      <c r="L16" s="249" t="s">
        <v>688</v>
      </c>
      <c r="M16" s="251">
        <v>1</v>
      </c>
      <c r="N16" s="252" t="s">
        <v>196</v>
      </c>
      <c r="O16" s="285" t="s">
        <v>689</v>
      </c>
      <c r="P16" s="236">
        <v>1</v>
      </c>
      <c r="Q16" s="511">
        <f t="shared" si="0"/>
        <v>100</v>
      </c>
      <c r="R16" s="237"/>
      <c r="S16" s="516" t="s">
        <v>7</v>
      </c>
      <c r="T16" s="519" t="s">
        <v>77</v>
      </c>
      <c r="U16" s="235" t="s">
        <v>1882</v>
      </c>
      <c r="V16" s="30"/>
      <c r="W16" s="30"/>
      <c r="X16" s="30"/>
      <c r="Y16" s="30"/>
      <c r="Z16" s="30"/>
      <c r="AA16" s="30"/>
      <c r="AB16" s="30"/>
      <c r="AC16" s="30"/>
      <c r="AD16" s="30"/>
      <c r="AE16" s="30"/>
      <c r="AF16" s="30"/>
      <c r="AG16" s="30"/>
    </row>
    <row r="17" spans="1:33" ht="25.5" x14ac:dyDescent="0.2">
      <c r="A17" s="243" t="s">
        <v>277</v>
      </c>
      <c r="B17" s="250" t="s">
        <v>50</v>
      </c>
      <c r="C17" s="245" t="s">
        <v>693</v>
      </c>
      <c r="D17" s="250" t="s">
        <v>74</v>
      </c>
      <c r="E17" s="255" t="s">
        <v>76</v>
      </c>
      <c r="F17" s="247" t="s">
        <v>6</v>
      </c>
      <c r="G17" s="247"/>
      <c r="H17" s="254" t="s">
        <v>685</v>
      </c>
      <c r="I17" s="243" t="s">
        <v>694</v>
      </c>
      <c r="J17" s="250" t="s">
        <v>686</v>
      </c>
      <c r="K17" s="376" t="s">
        <v>695</v>
      </c>
      <c r="L17" s="250" t="s">
        <v>696</v>
      </c>
      <c r="M17" s="243">
        <v>3</v>
      </c>
      <c r="N17" s="250" t="s">
        <v>196</v>
      </c>
      <c r="O17" s="285" t="s">
        <v>697</v>
      </c>
      <c r="P17" s="204">
        <v>3</v>
      </c>
      <c r="Q17" s="511">
        <f t="shared" si="0"/>
        <v>100</v>
      </c>
      <c r="R17" s="204"/>
      <c r="S17" s="516" t="s">
        <v>7</v>
      </c>
      <c r="T17" s="201" t="s">
        <v>77</v>
      </c>
      <c r="U17" s="235" t="s">
        <v>1882</v>
      </c>
      <c r="V17" s="30"/>
      <c r="W17" s="30"/>
      <c r="X17" s="30"/>
      <c r="Y17" s="30"/>
      <c r="Z17" s="30"/>
      <c r="AA17" s="30"/>
      <c r="AB17" s="30"/>
      <c r="AC17" s="30"/>
      <c r="AD17" s="30"/>
      <c r="AE17" s="30"/>
      <c r="AF17" s="30"/>
      <c r="AG17" s="30"/>
    </row>
    <row r="18" spans="1:33" ht="25.5" x14ac:dyDescent="0.2">
      <c r="A18" s="243" t="s">
        <v>277</v>
      </c>
      <c r="B18" s="250" t="s">
        <v>50</v>
      </c>
      <c r="C18" s="245" t="s">
        <v>693</v>
      </c>
      <c r="D18" s="250" t="s">
        <v>74</v>
      </c>
      <c r="E18" s="255" t="s">
        <v>76</v>
      </c>
      <c r="F18" s="247" t="s">
        <v>6</v>
      </c>
      <c r="G18" s="247"/>
      <c r="H18" s="254" t="s">
        <v>691</v>
      </c>
      <c r="I18" s="243" t="s">
        <v>694</v>
      </c>
      <c r="J18" s="250" t="s">
        <v>686</v>
      </c>
      <c r="K18" s="376" t="s">
        <v>695</v>
      </c>
      <c r="L18" s="250" t="s">
        <v>696</v>
      </c>
      <c r="M18" s="243">
        <v>4</v>
      </c>
      <c r="N18" s="250" t="s">
        <v>196</v>
      </c>
      <c r="O18" s="285" t="s">
        <v>698</v>
      </c>
      <c r="P18" s="204">
        <v>4</v>
      </c>
      <c r="Q18" s="511">
        <f t="shared" si="0"/>
        <v>100</v>
      </c>
      <c r="R18" s="204"/>
      <c r="S18" s="516" t="s">
        <v>7</v>
      </c>
      <c r="T18" s="201" t="s">
        <v>77</v>
      </c>
      <c r="U18" s="235" t="s">
        <v>1882</v>
      </c>
      <c r="V18" s="30"/>
      <c r="W18" s="30"/>
      <c r="X18" s="30"/>
      <c r="Y18" s="30"/>
      <c r="Z18" s="30"/>
      <c r="AA18" s="30"/>
      <c r="AB18" s="30"/>
      <c r="AC18" s="30"/>
      <c r="AD18" s="30"/>
      <c r="AE18" s="30"/>
      <c r="AF18" s="30"/>
      <c r="AG18" s="30"/>
    </row>
    <row r="19" spans="1:33" x14ac:dyDescent="0.2">
      <c r="A19" s="243" t="s">
        <v>277</v>
      </c>
      <c r="B19" s="250" t="s">
        <v>50</v>
      </c>
      <c r="C19" s="243" t="s">
        <v>693</v>
      </c>
      <c r="D19" s="250" t="s">
        <v>74</v>
      </c>
      <c r="E19" s="255" t="s">
        <v>76</v>
      </c>
      <c r="F19" s="247" t="s">
        <v>6</v>
      </c>
      <c r="G19" s="247"/>
      <c r="H19" s="254" t="s">
        <v>692</v>
      </c>
      <c r="I19" s="243" t="s">
        <v>694</v>
      </c>
      <c r="J19" s="250" t="s">
        <v>686</v>
      </c>
      <c r="K19" s="376" t="s">
        <v>695</v>
      </c>
      <c r="L19" s="250" t="s">
        <v>696</v>
      </c>
      <c r="M19" s="243">
        <v>1</v>
      </c>
      <c r="N19" s="250" t="s">
        <v>196</v>
      </c>
      <c r="O19" s="285" t="s">
        <v>689</v>
      </c>
      <c r="P19" s="204">
        <v>1</v>
      </c>
      <c r="Q19" s="511">
        <f t="shared" si="0"/>
        <v>100</v>
      </c>
      <c r="R19" s="204"/>
      <c r="S19" s="516" t="s">
        <v>7</v>
      </c>
      <c r="T19" s="201" t="s">
        <v>77</v>
      </c>
      <c r="U19" s="235" t="s">
        <v>1882</v>
      </c>
      <c r="V19" s="30"/>
      <c r="W19" s="30"/>
      <c r="X19" s="30"/>
      <c r="Y19" s="30"/>
      <c r="Z19" s="30"/>
      <c r="AA19" s="30"/>
      <c r="AB19" s="30"/>
      <c r="AC19" s="30"/>
      <c r="AD19" s="30"/>
      <c r="AE19" s="30"/>
      <c r="AF19" s="30"/>
      <c r="AG19" s="30"/>
    </row>
    <row r="20" spans="1:33" ht="63.75" x14ac:dyDescent="0.2">
      <c r="A20" s="243" t="s">
        <v>277</v>
      </c>
      <c r="B20" s="250" t="s">
        <v>50</v>
      </c>
      <c r="C20" s="243" t="s">
        <v>693</v>
      </c>
      <c r="D20" s="250" t="s">
        <v>74</v>
      </c>
      <c r="E20" s="255" t="s">
        <v>76</v>
      </c>
      <c r="F20" s="247" t="s">
        <v>6</v>
      </c>
      <c r="G20" s="247"/>
      <c r="H20" s="254" t="s">
        <v>685</v>
      </c>
      <c r="I20" s="243" t="s">
        <v>699</v>
      </c>
      <c r="J20" s="250" t="s">
        <v>686</v>
      </c>
      <c r="K20" s="376" t="s">
        <v>700</v>
      </c>
      <c r="L20" s="250" t="s">
        <v>701</v>
      </c>
      <c r="M20" s="243">
        <v>1</v>
      </c>
      <c r="N20" s="250" t="s">
        <v>196</v>
      </c>
      <c r="O20" s="285" t="s">
        <v>702</v>
      </c>
      <c r="P20" s="204">
        <v>0</v>
      </c>
      <c r="Q20" s="511">
        <f t="shared" si="0"/>
        <v>0</v>
      </c>
      <c r="R20" s="512" t="s">
        <v>1778</v>
      </c>
      <c r="S20" s="516" t="s">
        <v>7</v>
      </c>
      <c r="T20" s="201" t="s">
        <v>77</v>
      </c>
      <c r="U20" s="235" t="s">
        <v>1882</v>
      </c>
      <c r="V20" s="30"/>
      <c r="W20" s="30"/>
      <c r="X20" s="30"/>
      <c r="Y20" s="30"/>
      <c r="Z20" s="30"/>
      <c r="AA20" s="30"/>
      <c r="AB20" s="30"/>
      <c r="AC20" s="30"/>
      <c r="AD20" s="30"/>
      <c r="AE20" s="30"/>
      <c r="AF20" s="30"/>
      <c r="AG20" s="30"/>
    </row>
    <row r="21" spans="1:33" ht="25.5" x14ac:dyDescent="0.2">
      <c r="A21" s="243" t="s">
        <v>277</v>
      </c>
      <c r="B21" s="250" t="s">
        <v>50</v>
      </c>
      <c r="C21" s="243" t="s">
        <v>693</v>
      </c>
      <c r="D21" s="250" t="s">
        <v>74</v>
      </c>
      <c r="E21" s="255" t="s">
        <v>76</v>
      </c>
      <c r="F21" s="247" t="s">
        <v>6</v>
      </c>
      <c r="G21" s="247"/>
      <c r="H21" s="254" t="s">
        <v>691</v>
      </c>
      <c r="I21" s="243" t="s">
        <v>699</v>
      </c>
      <c r="J21" s="250" t="s">
        <v>686</v>
      </c>
      <c r="K21" s="376" t="s">
        <v>700</v>
      </c>
      <c r="L21" s="250" t="s">
        <v>701</v>
      </c>
      <c r="M21" s="243">
        <v>1</v>
      </c>
      <c r="N21" s="250" t="s">
        <v>196</v>
      </c>
      <c r="O21" s="285" t="s">
        <v>703</v>
      </c>
      <c r="P21" s="204">
        <v>1</v>
      </c>
      <c r="Q21" s="511">
        <f t="shared" si="0"/>
        <v>100</v>
      </c>
      <c r="R21" s="204"/>
      <c r="S21" s="516" t="s">
        <v>7</v>
      </c>
      <c r="T21" s="201" t="s">
        <v>77</v>
      </c>
      <c r="U21" s="235" t="s">
        <v>1882</v>
      </c>
      <c r="V21" s="30"/>
      <c r="W21" s="30"/>
      <c r="X21" s="30"/>
      <c r="Y21" s="30"/>
      <c r="Z21" s="30"/>
      <c r="AA21" s="30"/>
      <c r="AB21" s="30"/>
      <c r="AC21" s="30"/>
      <c r="AD21" s="30"/>
      <c r="AE21" s="30"/>
      <c r="AF21" s="30"/>
      <c r="AG21" s="30"/>
    </row>
    <row r="22" spans="1:33" ht="51" x14ac:dyDescent="0.2">
      <c r="A22" s="243" t="s">
        <v>277</v>
      </c>
      <c r="B22" s="250" t="s">
        <v>50</v>
      </c>
      <c r="C22" s="243" t="s">
        <v>693</v>
      </c>
      <c r="D22" s="250" t="s">
        <v>74</v>
      </c>
      <c r="E22" s="255" t="s">
        <v>76</v>
      </c>
      <c r="F22" s="247" t="s">
        <v>6</v>
      </c>
      <c r="G22" s="247"/>
      <c r="H22" s="254" t="s">
        <v>685</v>
      </c>
      <c r="I22" s="243" t="s">
        <v>699</v>
      </c>
      <c r="J22" s="250" t="s">
        <v>686</v>
      </c>
      <c r="K22" s="376" t="s">
        <v>704</v>
      </c>
      <c r="L22" s="250" t="s">
        <v>705</v>
      </c>
      <c r="M22" s="243">
        <v>7</v>
      </c>
      <c r="N22" s="250" t="s">
        <v>196</v>
      </c>
      <c r="O22" s="285" t="s">
        <v>706</v>
      </c>
      <c r="P22" s="204">
        <v>6</v>
      </c>
      <c r="Q22" s="511">
        <f t="shared" si="0"/>
        <v>85.714285714285708</v>
      </c>
      <c r="R22" s="672" t="s">
        <v>1916</v>
      </c>
      <c r="S22" s="516" t="s">
        <v>7</v>
      </c>
      <c r="T22" s="201" t="s">
        <v>77</v>
      </c>
      <c r="U22" s="514" t="s">
        <v>1917</v>
      </c>
    </row>
    <row r="23" spans="1:33" ht="38.25" x14ac:dyDescent="0.2">
      <c r="A23" s="243" t="s">
        <v>277</v>
      </c>
      <c r="B23" s="250" t="s">
        <v>50</v>
      </c>
      <c r="C23" s="243" t="s">
        <v>693</v>
      </c>
      <c r="D23" s="250" t="s">
        <v>74</v>
      </c>
      <c r="E23" s="255" t="s">
        <v>76</v>
      </c>
      <c r="F23" s="247" t="s">
        <v>6</v>
      </c>
      <c r="G23" s="247"/>
      <c r="H23" s="254" t="s">
        <v>691</v>
      </c>
      <c r="I23" s="243" t="s">
        <v>699</v>
      </c>
      <c r="J23" s="250" t="s">
        <v>686</v>
      </c>
      <c r="K23" s="376" t="s">
        <v>704</v>
      </c>
      <c r="L23" s="250" t="s">
        <v>705</v>
      </c>
      <c r="M23" s="243">
        <v>4</v>
      </c>
      <c r="N23" s="250" t="s">
        <v>196</v>
      </c>
      <c r="O23" s="285" t="s">
        <v>706</v>
      </c>
      <c r="P23" s="204">
        <v>3</v>
      </c>
      <c r="Q23" s="511">
        <f t="shared" si="0"/>
        <v>75</v>
      </c>
      <c r="R23" s="512" t="s">
        <v>1773</v>
      </c>
      <c r="S23" s="516" t="s">
        <v>7</v>
      </c>
      <c r="T23" s="201" t="s">
        <v>77</v>
      </c>
      <c r="U23" s="514" t="s">
        <v>1918</v>
      </c>
    </row>
    <row r="24" spans="1:33" ht="38.25" x14ac:dyDescent="0.2">
      <c r="A24" s="243" t="s">
        <v>277</v>
      </c>
      <c r="B24" s="250" t="s">
        <v>50</v>
      </c>
      <c r="C24" s="243" t="s">
        <v>693</v>
      </c>
      <c r="D24" s="250" t="s">
        <v>74</v>
      </c>
      <c r="E24" s="255" t="s">
        <v>76</v>
      </c>
      <c r="F24" s="247" t="s">
        <v>6</v>
      </c>
      <c r="G24" s="247"/>
      <c r="H24" s="254" t="s">
        <v>692</v>
      </c>
      <c r="I24" s="243" t="s">
        <v>699</v>
      </c>
      <c r="J24" s="250" t="s">
        <v>686</v>
      </c>
      <c r="K24" s="376" t="s">
        <v>707</v>
      </c>
      <c r="L24" s="250" t="s">
        <v>705</v>
      </c>
      <c r="M24" s="243">
        <v>1</v>
      </c>
      <c r="N24" s="250" t="s">
        <v>196</v>
      </c>
      <c r="O24" s="285" t="s">
        <v>706</v>
      </c>
      <c r="P24" s="204">
        <v>1</v>
      </c>
      <c r="Q24" s="511">
        <f t="shared" si="0"/>
        <v>100</v>
      </c>
      <c r="R24" s="513"/>
      <c r="S24" s="516" t="s">
        <v>7</v>
      </c>
      <c r="T24" s="201" t="s">
        <v>77</v>
      </c>
      <c r="U24" s="235" t="s">
        <v>1882</v>
      </c>
    </row>
    <row r="25" spans="1:33" x14ac:dyDescent="0.2">
      <c r="A25" s="256" t="s">
        <v>277</v>
      </c>
      <c r="B25" s="257" t="s">
        <v>50</v>
      </c>
      <c r="C25" s="258" t="s">
        <v>693</v>
      </c>
      <c r="D25" s="258" t="s">
        <v>74</v>
      </c>
      <c r="E25" s="255" t="s">
        <v>76</v>
      </c>
      <c r="F25" s="247" t="s">
        <v>6</v>
      </c>
      <c r="G25" s="259"/>
      <c r="H25" s="259" t="s">
        <v>708</v>
      </c>
      <c r="I25" s="260" t="s">
        <v>694</v>
      </c>
      <c r="J25" s="260" t="s">
        <v>686</v>
      </c>
      <c r="K25" s="523" t="s">
        <v>695</v>
      </c>
      <c r="L25" s="261" t="s">
        <v>696</v>
      </c>
      <c r="M25" s="262">
        <v>1</v>
      </c>
      <c r="N25" s="263" t="s">
        <v>196</v>
      </c>
      <c r="O25" s="285" t="s">
        <v>709</v>
      </c>
      <c r="P25" s="204">
        <v>1</v>
      </c>
      <c r="Q25" s="511">
        <f t="shared" si="0"/>
        <v>100</v>
      </c>
      <c r="R25" s="513"/>
      <c r="S25" s="516" t="s">
        <v>7</v>
      </c>
      <c r="T25" s="201" t="s">
        <v>77</v>
      </c>
      <c r="U25" s="512"/>
    </row>
    <row r="26" spans="1:33" x14ac:dyDescent="0.2">
      <c r="A26" s="243" t="s">
        <v>277</v>
      </c>
      <c r="B26" s="243" t="s">
        <v>50</v>
      </c>
      <c r="C26" s="243" t="s">
        <v>693</v>
      </c>
      <c r="D26" s="243" t="s">
        <v>74</v>
      </c>
      <c r="E26" s="255" t="s">
        <v>76</v>
      </c>
      <c r="F26" s="247" t="s">
        <v>6</v>
      </c>
      <c r="G26" s="243"/>
      <c r="H26" s="243" t="s">
        <v>710</v>
      </c>
      <c r="I26" s="243" t="s">
        <v>711</v>
      </c>
      <c r="J26" s="243" t="s">
        <v>686</v>
      </c>
      <c r="K26" s="376" t="s">
        <v>712</v>
      </c>
      <c r="L26" s="243" t="s">
        <v>713</v>
      </c>
      <c r="M26" s="243">
        <v>170</v>
      </c>
      <c r="N26" s="243" t="s">
        <v>196</v>
      </c>
      <c r="O26" s="285" t="s">
        <v>714</v>
      </c>
      <c r="P26" s="204">
        <v>210</v>
      </c>
      <c r="Q26" s="511">
        <f t="shared" si="0"/>
        <v>123.52941176470588</v>
      </c>
      <c r="R26" s="513" t="s">
        <v>1774</v>
      </c>
      <c r="S26" s="516" t="s">
        <v>7</v>
      </c>
      <c r="T26" s="201" t="s">
        <v>77</v>
      </c>
      <c r="U26" s="512"/>
    </row>
    <row r="27" spans="1:33" ht="38.25" x14ac:dyDescent="0.2">
      <c r="A27" s="243" t="s">
        <v>277</v>
      </c>
      <c r="B27" s="243" t="s">
        <v>50</v>
      </c>
      <c r="C27" s="243" t="s">
        <v>693</v>
      </c>
      <c r="D27" s="243" t="s">
        <v>74</v>
      </c>
      <c r="E27" s="255" t="s">
        <v>76</v>
      </c>
      <c r="F27" s="247" t="s">
        <v>6</v>
      </c>
      <c r="G27" s="243"/>
      <c r="H27" s="243" t="s">
        <v>715</v>
      </c>
      <c r="I27" s="243" t="s">
        <v>711</v>
      </c>
      <c r="J27" s="243" t="s">
        <v>686</v>
      </c>
      <c r="K27" s="376" t="s">
        <v>716</v>
      </c>
      <c r="L27" s="243" t="s">
        <v>717</v>
      </c>
      <c r="M27" s="243" t="s">
        <v>718</v>
      </c>
      <c r="N27" s="243" t="s">
        <v>196</v>
      </c>
      <c r="O27" s="285" t="s">
        <v>714</v>
      </c>
      <c r="P27" s="204">
        <v>22</v>
      </c>
      <c r="Q27" s="511">
        <f>P27/30*100</f>
        <v>73.333333333333329</v>
      </c>
      <c r="R27" s="512" t="s">
        <v>1775</v>
      </c>
      <c r="S27" s="516" t="s">
        <v>7</v>
      </c>
      <c r="T27" s="201" t="s">
        <v>77</v>
      </c>
      <c r="U27" s="512" t="s">
        <v>1776</v>
      </c>
    </row>
    <row r="28" spans="1:33" ht="38.25" x14ac:dyDescent="0.2">
      <c r="A28" s="243" t="s">
        <v>277</v>
      </c>
      <c r="B28" s="243" t="s">
        <v>50</v>
      </c>
      <c r="C28" s="243" t="s">
        <v>693</v>
      </c>
      <c r="D28" s="243" t="s">
        <v>74</v>
      </c>
      <c r="E28" s="255" t="s">
        <v>76</v>
      </c>
      <c r="F28" s="247" t="s">
        <v>6</v>
      </c>
      <c r="G28" s="243"/>
      <c r="H28" s="243" t="s">
        <v>719</v>
      </c>
      <c r="I28" s="243" t="s">
        <v>699</v>
      </c>
      <c r="J28" s="243" t="s">
        <v>686</v>
      </c>
      <c r="K28" s="376" t="s">
        <v>720</v>
      </c>
      <c r="L28" s="243" t="s">
        <v>721</v>
      </c>
      <c r="M28" s="243">
        <v>1</v>
      </c>
      <c r="N28" s="243" t="s">
        <v>196</v>
      </c>
      <c r="O28" s="285" t="s">
        <v>709</v>
      </c>
      <c r="P28" s="204">
        <v>1</v>
      </c>
      <c r="Q28" s="511">
        <f t="shared" si="0"/>
        <v>100</v>
      </c>
      <c r="R28" s="513"/>
      <c r="S28" s="516" t="s">
        <v>7</v>
      </c>
      <c r="T28" s="201" t="s">
        <v>77</v>
      </c>
      <c r="U28" s="512"/>
    </row>
    <row r="29" spans="1:33" ht="38.25" x14ac:dyDescent="0.2">
      <c r="A29" s="243" t="s">
        <v>277</v>
      </c>
      <c r="B29" s="243" t="s">
        <v>50</v>
      </c>
      <c r="C29" s="245" t="s">
        <v>672</v>
      </c>
      <c r="D29" s="243" t="s">
        <v>74</v>
      </c>
      <c r="E29" s="246" t="s">
        <v>153</v>
      </c>
      <c r="F29" s="247" t="s">
        <v>6</v>
      </c>
      <c r="G29" s="243"/>
      <c r="H29" s="243" t="s">
        <v>715</v>
      </c>
      <c r="I29" s="243" t="s">
        <v>722</v>
      </c>
      <c r="J29" s="243" t="s">
        <v>686</v>
      </c>
      <c r="K29" s="376" t="s">
        <v>716</v>
      </c>
      <c r="L29" s="243" t="s">
        <v>717</v>
      </c>
      <c r="M29" s="243" t="s">
        <v>718</v>
      </c>
      <c r="N29" s="243" t="s">
        <v>196</v>
      </c>
      <c r="O29" s="285" t="s">
        <v>723</v>
      </c>
      <c r="P29" s="204">
        <v>22</v>
      </c>
      <c r="Q29" s="511">
        <f>P29/30*100</f>
        <v>73.333333333333329</v>
      </c>
      <c r="R29" s="512" t="s">
        <v>1775</v>
      </c>
      <c r="S29" s="516" t="s">
        <v>7</v>
      </c>
      <c r="T29" s="653" t="s">
        <v>77</v>
      </c>
      <c r="U29" s="512" t="s">
        <v>1776</v>
      </c>
    </row>
    <row r="30" spans="1:33" x14ac:dyDescent="0.2">
      <c r="M30" s="30"/>
      <c r="N30" s="30"/>
      <c r="O30" s="30"/>
      <c r="S30" s="30"/>
      <c r="T30" s="654"/>
      <c r="U30" s="30"/>
    </row>
    <row r="31" spans="1:33" x14ac:dyDescent="0.2">
      <c r="M31" s="30"/>
      <c r="N31" s="30"/>
      <c r="O31" s="30"/>
    </row>
    <row r="32" spans="1:33" x14ac:dyDescent="0.2">
      <c r="M32" s="30"/>
      <c r="N32" s="30"/>
      <c r="O32" s="30"/>
    </row>
    <row r="33" spans="13:15" x14ac:dyDescent="0.2">
      <c r="M33" s="30"/>
      <c r="N33" s="30"/>
      <c r="O33" s="30"/>
    </row>
    <row r="34" spans="13:15" x14ac:dyDescent="0.2">
      <c r="M34" s="30"/>
      <c r="N34" s="30"/>
      <c r="O34" s="30"/>
    </row>
    <row r="35" spans="13:15" x14ac:dyDescent="0.2">
      <c r="M35" s="30"/>
      <c r="N35" s="30"/>
      <c r="O35" s="30"/>
    </row>
    <row r="36" spans="13:15" x14ac:dyDescent="0.2">
      <c r="M36" s="30"/>
      <c r="N36" s="30"/>
      <c r="O36" s="30"/>
    </row>
    <row r="37" spans="13:15" x14ac:dyDescent="0.2">
      <c r="M37" s="30"/>
      <c r="N37" s="30"/>
      <c r="O37" s="30"/>
    </row>
    <row r="38" spans="13:15" x14ac:dyDescent="0.2">
      <c r="M38" s="30"/>
      <c r="N38" s="30"/>
      <c r="O38" s="30"/>
    </row>
    <row r="39" spans="13:15" x14ac:dyDescent="0.2">
      <c r="M39" s="30"/>
      <c r="N39" s="30"/>
      <c r="O39" s="30"/>
    </row>
    <row r="40" spans="13:15" x14ac:dyDescent="0.2">
      <c r="M40" s="30"/>
      <c r="N40" s="30"/>
      <c r="O40" s="30"/>
    </row>
    <row r="41" spans="13:15" x14ac:dyDescent="0.2">
      <c r="M41" s="30"/>
      <c r="N41" s="30"/>
      <c r="O41" s="30"/>
    </row>
    <row r="42" spans="13:15" x14ac:dyDescent="0.2">
      <c r="M42" s="30"/>
      <c r="N42" s="30"/>
      <c r="O42" s="30"/>
    </row>
    <row r="43" spans="13:15" x14ac:dyDescent="0.2">
      <c r="M43" s="30"/>
      <c r="N43" s="30"/>
      <c r="O43" s="30"/>
    </row>
    <row r="44" spans="13:15" x14ac:dyDescent="0.2">
      <c r="M44" s="30"/>
      <c r="N44" s="30"/>
      <c r="O44" s="30"/>
    </row>
    <row r="45" spans="13:15" x14ac:dyDescent="0.2">
      <c r="M45" s="30"/>
      <c r="N45" s="30"/>
      <c r="O45" s="30"/>
    </row>
    <row r="46" spans="13:15" x14ac:dyDescent="0.2">
      <c r="M46" s="30"/>
      <c r="N46" s="30"/>
      <c r="O46" s="30"/>
    </row>
    <row r="47" spans="13:15" x14ac:dyDescent="0.2">
      <c r="M47" s="30"/>
      <c r="N47" s="30"/>
      <c r="O47" s="30"/>
    </row>
    <row r="48" spans="13:15" x14ac:dyDescent="0.2">
      <c r="M48" s="30"/>
      <c r="N48" s="30"/>
      <c r="O48" s="30"/>
    </row>
    <row r="49" spans="13:15" x14ac:dyDescent="0.2">
      <c r="M49" s="30"/>
      <c r="N49" s="30"/>
      <c r="O49" s="30"/>
    </row>
    <row r="50" spans="13:15" x14ac:dyDescent="0.2">
      <c r="M50" s="30"/>
      <c r="N50" s="30"/>
      <c r="O50" s="30"/>
    </row>
    <row r="51" spans="13:15" x14ac:dyDescent="0.2">
      <c r="M51" s="30"/>
      <c r="N51" s="30"/>
      <c r="O51" s="30"/>
    </row>
    <row r="52" spans="13:15" x14ac:dyDescent="0.2">
      <c r="M52" s="30"/>
      <c r="N52" s="30"/>
      <c r="O52" s="30"/>
    </row>
    <row r="53" spans="13:15" x14ac:dyDescent="0.2">
      <c r="M53" s="30"/>
      <c r="N53" s="30"/>
      <c r="O53" s="30"/>
    </row>
    <row r="54" spans="13:15" x14ac:dyDescent="0.2">
      <c r="M54" s="30"/>
      <c r="N54" s="30"/>
      <c r="O54" s="30"/>
    </row>
    <row r="55" spans="13:15" x14ac:dyDescent="0.2">
      <c r="M55" s="30"/>
      <c r="N55" s="30"/>
      <c r="O55" s="30"/>
    </row>
    <row r="56" spans="13:15" x14ac:dyDescent="0.2">
      <c r="M56" s="30"/>
      <c r="N56" s="30"/>
      <c r="O56" s="30"/>
    </row>
    <row r="57" spans="13:15" x14ac:dyDescent="0.2">
      <c r="M57" s="30"/>
      <c r="N57" s="30"/>
      <c r="O57" s="30"/>
    </row>
    <row r="58" spans="13:15" x14ac:dyDescent="0.2">
      <c r="M58" s="30"/>
      <c r="N58" s="30"/>
      <c r="O58" s="30"/>
    </row>
    <row r="59" spans="13:15" x14ac:dyDescent="0.2">
      <c r="M59" s="30"/>
      <c r="N59" s="30"/>
      <c r="O59" s="30"/>
    </row>
    <row r="60" spans="13:15" x14ac:dyDescent="0.2">
      <c r="M60" s="30"/>
      <c r="N60" s="30"/>
      <c r="O60" s="30"/>
    </row>
    <row r="61" spans="13:15" x14ac:dyDescent="0.2">
      <c r="M61" s="30"/>
      <c r="N61" s="30"/>
      <c r="O61" s="30"/>
    </row>
    <row r="62" spans="13:15" x14ac:dyDescent="0.2">
      <c r="M62" s="30"/>
      <c r="N62" s="30"/>
      <c r="O62" s="30"/>
    </row>
    <row r="63" spans="13:15" x14ac:dyDescent="0.2">
      <c r="M63" s="30"/>
      <c r="N63" s="30"/>
      <c r="O63" s="30"/>
    </row>
    <row r="64" spans="13:15" x14ac:dyDescent="0.2">
      <c r="M64" s="30"/>
      <c r="N64" s="30"/>
      <c r="O64" s="30"/>
    </row>
    <row r="65" spans="13:15" x14ac:dyDescent="0.2">
      <c r="M65" s="30"/>
      <c r="N65" s="30"/>
      <c r="O65" s="30"/>
    </row>
    <row r="66" spans="13:15" x14ac:dyDescent="0.2">
      <c r="M66" s="30"/>
      <c r="N66" s="30"/>
      <c r="O66" s="30"/>
    </row>
    <row r="67" spans="13:15" x14ac:dyDescent="0.2">
      <c r="M67" s="30"/>
      <c r="N67" s="30"/>
      <c r="O67" s="30"/>
    </row>
    <row r="68" spans="13:15" x14ac:dyDescent="0.2">
      <c r="M68" s="30"/>
      <c r="N68" s="30"/>
      <c r="O68" s="30"/>
    </row>
    <row r="69" spans="13:15" x14ac:dyDescent="0.2">
      <c r="M69" s="30"/>
      <c r="N69" s="30"/>
      <c r="O69" s="30"/>
    </row>
    <row r="70" spans="13:15" x14ac:dyDescent="0.2">
      <c r="M70" s="30"/>
      <c r="N70" s="30"/>
      <c r="O70" s="30"/>
    </row>
    <row r="71" spans="13:15" x14ac:dyDescent="0.2">
      <c r="M71" s="30"/>
      <c r="N71" s="30"/>
      <c r="O71" s="30"/>
    </row>
    <row r="72" spans="13:15" x14ac:dyDescent="0.2">
      <c r="M72" s="30"/>
      <c r="N72" s="30"/>
      <c r="O72" s="30"/>
    </row>
    <row r="73" spans="13:15" x14ac:dyDescent="0.2">
      <c r="M73" s="30"/>
      <c r="N73" s="30"/>
      <c r="O73" s="30"/>
    </row>
    <row r="74" spans="13:15" x14ac:dyDescent="0.2">
      <c r="M74" s="30"/>
      <c r="N74" s="30"/>
      <c r="O74" s="30"/>
    </row>
    <row r="75" spans="13:15" x14ac:dyDescent="0.2">
      <c r="M75" s="30"/>
      <c r="N75" s="30"/>
      <c r="O75" s="30"/>
    </row>
    <row r="76" spans="13:15" x14ac:dyDescent="0.2">
      <c r="M76" s="30"/>
      <c r="N76" s="30"/>
      <c r="O76" s="30"/>
    </row>
    <row r="77" spans="13:15" x14ac:dyDescent="0.2">
      <c r="M77" s="30"/>
      <c r="N77" s="30"/>
      <c r="O77" s="30"/>
    </row>
    <row r="78" spans="13:15" x14ac:dyDescent="0.2">
      <c r="M78" s="30"/>
      <c r="N78" s="30"/>
      <c r="O78" s="30"/>
    </row>
    <row r="79" spans="13:15" x14ac:dyDescent="0.2">
      <c r="M79" s="30"/>
      <c r="N79" s="30"/>
      <c r="O79" s="30"/>
    </row>
    <row r="80" spans="13:15" x14ac:dyDescent="0.2">
      <c r="M80" s="30"/>
      <c r="N80" s="30"/>
      <c r="O80" s="30"/>
    </row>
    <row r="81" spans="13:15" x14ac:dyDescent="0.2">
      <c r="M81" s="30"/>
      <c r="N81" s="30"/>
      <c r="O81" s="30"/>
    </row>
    <row r="82" spans="13:15" x14ac:dyDescent="0.2">
      <c r="M82" s="30"/>
      <c r="N82" s="30"/>
      <c r="O82" s="30"/>
    </row>
    <row r="83" spans="13:15" x14ac:dyDescent="0.2">
      <c r="M83" s="30"/>
      <c r="N83" s="30"/>
      <c r="O83" s="30"/>
    </row>
    <row r="84" spans="13:15" x14ac:dyDescent="0.2">
      <c r="M84" s="30"/>
      <c r="N84" s="30"/>
      <c r="O84" s="30"/>
    </row>
    <row r="85" spans="13:15" x14ac:dyDescent="0.2">
      <c r="M85" s="30"/>
      <c r="N85" s="30"/>
      <c r="O85" s="30"/>
    </row>
    <row r="86" spans="13:15" x14ac:dyDescent="0.2">
      <c r="M86" s="30"/>
      <c r="N86" s="30"/>
      <c r="O86" s="30"/>
    </row>
    <row r="87" spans="13:15" x14ac:dyDescent="0.2">
      <c r="M87" s="30"/>
      <c r="N87" s="30"/>
      <c r="O87" s="30"/>
    </row>
    <row r="88" spans="13:15" x14ac:dyDescent="0.2">
      <c r="M88" s="30"/>
      <c r="N88" s="30"/>
      <c r="O88" s="30"/>
    </row>
    <row r="89" spans="13:15" x14ac:dyDescent="0.2">
      <c r="M89" s="30"/>
      <c r="N89" s="30"/>
      <c r="O89" s="30"/>
    </row>
    <row r="90" spans="13:15" x14ac:dyDescent="0.2">
      <c r="M90" s="30"/>
      <c r="N90" s="30"/>
      <c r="O90" s="30"/>
    </row>
    <row r="91" spans="13:15" x14ac:dyDescent="0.2">
      <c r="M91" s="30"/>
      <c r="N91" s="30"/>
      <c r="O91" s="30"/>
    </row>
    <row r="92" spans="13:15" x14ac:dyDescent="0.2">
      <c r="M92" s="30"/>
      <c r="N92" s="30"/>
      <c r="O92" s="30"/>
    </row>
    <row r="93" spans="13:15" x14ac:dyDescent="0.2">
      <c r="M93" s="30"/>
      <c r="N93" s="30"/>
      <c r="O93" s="30"/>
    </row>
    <row r="94" spans="13:15" x14ac:dyDescent="0.2">
      <c r="M94" s="30"/>
      <c r="N94" s="30"/>
      <c r="O94" s="30"/>
    </row>
    <row r="95" spans="13:15" x14ac:dyDescent="0.2">
      <c r="M95" s="30"/>
      <c r="N95" s="30"/>
      <c r="O95" s="30"/>
    </row>
    <row r="96" spans="13:15" x14ac:dyDescent="0.2">
      <c r="M96" s="30"/>
      <c r="N96" s="30"/>
      <c r="O96" s="30"/>
    </row>
    <row r="97" spans="13:15" x14ac:dyDescent="0.2">
      <c r="M97" s="30"/>
      <c r="N97" s="30"/>
      <c r="O97" s="30"/>
    </row>
    <row r="98" spans="13:15" x14ac:dyDescent="0.2">
      <c r="M98" s="30"/>
      <c r="N98" s="30"/>
      <c r="O98" s="30"/>
    </row>
    <row r="99" spans="13:15" x14ac:dyDescent="0.2">
      <c r="M99" s="30"/>
      <c r="N99" s="30"/>
      <c r="O99" s="30"/>
    </row>
    <row r="100" spans="13:15" x14ac:dyDescent="0.2">
      <c r="M100" s="30"/>
      <c r="N100" s="30"/>
      <c r="O100" s="30"/>
    </row>
    <row r="101" spans="13:15" x14ac:dyDescent="0.2">
      <c r="M101" s="30"/>
      <c r="N101" s="30"/>
      <c r="O101" s="30"/>
    </row>
    <row r="102" spans="13:15" x14ac:dyDescent="0.2">
      <c r="M102" s="30"/>
      <c r="N102" s="30"/>
      <c r="O102" s="30"/>
    </row>
    <row r="103" spans="13:15" x14ac:dyDescent="0.2">
      <c r="M103" s="30"/>
      <c r="N103" s="30"/>
      <c r="O103" s="30"/>
    </row>
    <row r="104" spans="13:15" x14ac:dyDescent="0.2">
      <c r="M104" s="30"/>
      <c r="N104" s="30"/>
      <c r="O104" s="30"/>
    </row>
    <row r="105" spans="13:15" x14ac:dyDescent="0.2">
      <c r="M105" s="30"/>
      <c r="N105" s="30"/>
      <c r="O105" s="30"/>
    </row>
    <row r="106" spans="13:15" x14ac:dyDescent="0.2">
      <c r="M106" s="30"/>
      <c r="N106" s="30"/>
      <c r="O106" s="30"/>
    </row>
    <row r="107" spans="13:15" x14ac:dyDescent="0.2">
      <c r="M107" s="30"/>
      <c r="N107" s="30"/>
      <c r="O107" s="30"/>
    </row>
    <row r="108" spans="13:15" x14ac:dyDescent="0.2">
      <c r="M108" s="30"/>
      <c r="N108" s="30"/>
      <c r="O108" s="30"/>
    </row>
    <row r="109" spans="13:15" x14ac:dyDescent="0.2">
      <c r="M109" s="30"/>
      <c r="N109" s="30"/>
      <c r="O109" s="30"/>
    </row>
    <row r="110" spans="13:15" x14ac:dyDescent="0.2">
      <c r="M110" s="30"/>
      <c r="N110" s="30"/>
      <c r="O110" s="30"/>
    </row>
    <row r="111" spans="13:15" x14ac:dyDescent="0.2">
      <c r="M111" s="30"/>
      <c r="N111" s="30"/>
      <c r="O111" s="30"/>
    </row>
    <row r="112" spans="13:15" x14ac:dyDescent="0.2">
      <c r="M112" s="30"/>
      <c r="N112" s="30"/>
      <c r="O112" s="30"/>
    </row>
    <row r="113" spans="13:15" x14ac:dyDescent="0.2">
      <c r="M113" s="30"/>
      <c r="N113" s="30"/>
      <c r="O113" s="30"/>
    </row>
    <row r="114" spans="13:15" x14ac:dyDescent="0.2">
      <c r="M114" s="30"/>
      <c r="N114" s="30"/>
      <c r="O114" s="30"/>
    </row>
    <row r="115" spans="13:15" x14ac:dyDescent="0.2">
      <c r="M115" s="30"/>
      <c r="N115" s="30"/>
      <c r="O115" s="30"/>
    </row>
    <row r="116" spans="13:15" x14ac:dyDescent="0.2">
      <c r="M116" s="30"/>
      <c r="N116" s="30"/>
      <c r="O116" s="30"/>
    </row>
    <row r="117" spans="13:15" x14ac:dyDescent="0.2">
      <c r="M117" s="30"/>
      <c r="N117" s="30"/>
      <c r="O117" s="30"/>
    </row>
    <row r="118" spans="13:15" x14ac:dyDescent="0.2">
      <c r="M118" s="30"/>
      <c r="N118" s="30"/>
      <c r="O118" s="30"/>
    </row>
    <row r="119" spans="13:15" x14ac:dyDescent="0.2">
      <c r="M119" s="30"/>
      <c r="N119" s="30"/>
      <c r="O119" s="30"/>
    </row>
    <row r="120" spans="13:15" x14ac:dyDescent="0.2">
      <c r="M120" s="30"/>
      <c r="N120" s="30"/>
      <c r="O120" s="30"/>
    </row>
    <row r="121" spans="13:15" x14ac:dyDescent="0.2">
      <c r="M121" s="30"/>
      <c r="N121" s="30"/>
      <c r="O121" s="30"/>
    </row>
    <row r="122" spans="13:15" x14ac:dyDescent="0.2">
      <c r="M122" s="30"/>
      <c r="N122" s="30"/>
      <c r="O122" s="30"/>
    </row>
    <row r="123" spans="13:15" x14ac:dyDescent="0.2">
      <c r="M123" s="30"/>
      <c r="N123" s="30"/>
      <c r="O123" s="30"/>
    </row>
    <row r="124" spans="13:15" x14ac:dyDescent="0.2">
      <c r="M124" s="30"/>
      <c r="N124" s="30"/>
      <c r="O124" s="30"/>
    </row>
    <row r="125" spans="13:15" x14ac:dyDescent="0.2">
      <c r="M125" s="30"/>
      <c r="N125" s="30"/>
      <c r="O125" s="30"/>
    </row>
    <row r="126" spans="13:15" x14ac:dyDescent="0.2">
      <c r="M126" s="30"/>
      <c r="N126" s="30"/>
      <c r="O126" s="30"/>
    </row>
    <row r="127" spans="13:15" x14ac:dyDescent="0.2">
      <c r="M127" s="30"/>
      <c r="N127" s="30"/>
      <c r="O127" s="30"/>
    </row>
    <row r="128" spans="13:15" x14ac:dyDescent="0.2">
      <c r="M128" s="30"/>
      <c r="N128" s="30"/>
      <c r="O128" s="30"/>
    </row>
    <row r="129" spans="13:15" x14ac:dyDescent="0.2">
      <c r="M129" s="30"/>
      <c r="N129" s="30"/>
      <c r="O129" s="30"/>
    </row>
    <row r="130" spans="13:15" x14ac:dyDescent="0.2">
      <c r="M130" s="30"/>
      <c r="N130" s="30"/>
      <c r="O130" s="30"/>
    </row>
    <row r="131" spans="13:15" x14ac:dyDescent="0.2">
      <c r="M131" s="30"/>
      <c r="N131" s="30"/>
      <c r="O131" s="30"/>
    </row>
    <row r="132" spans="13:15" x14ac:dyDescent="0.2">
      <c r="M132" s="30"/>
      <c r="N132" s="30"/>
      <c r="O132" s="30"/>
    </row>
    <row r="133" spans="13:15" x14ac:dyDescent="0.2">
      <c r="M133" s="30"/>
      <c r="N133" s="30"/>
      <c r="O133" s="30"/>
    </row>
    <row r="134" spans="13:15" x14ac:dyDescent="0.2">
      <c r="M134" s="30"/>
      <c r="N134" s="30"/>
      <c r="O134" s="30"/>
    </row>
    <row r="135" spans="13:15" x14ac:dyDescent="0.2">
      <c r="M135" s="30"/>
      <c r="N135" s="30"/>
      <c r="O135" s="30"/>
    </row>
    <row r="136" spans="13:15" x14ac:dyDescent="0.2">
      <c r="M136" s="30"/>
      <c r="N136" s="30"/>
      <c r="O136" s="30"/>
    </row>
    <row r="137" spans="13:15" x14ac:dyDescent="0.2">
      <c r="M137" s="30"/>
      <c r="N137" s="30"/>
      <c r="O137" s="30"/>
    </row>
    <row r="138" spans="13:15" x14ac:dyDescent="0.2">
      <c r="M138" s="30"/>
      <c r="N138" s="30"/>
      <c r="O138" s="30"/>
    </row>
    <row r="139" spans="13:15" x14ac:dyDescent="0.2">
      <c r="M139" s="30"/>
      <c r="N139" s="30"/>
      <c r="O139" s="30"/>
    </row>
    <row r="140" spans="13:15" x14ac:dyDescent="0.2">
      <c r="M140" s="30"/>
      <c r="N140" s="30"/>
      <c r="O140" s="30"/>
    </row>
    <row r="141" spans="13:15" x14ac:dyDescent="0.2">
      <c r="M141" s="30"/>
      <c r="N141" s="30"/>
      <c r="O141" s="30"/>
    </row>
    <row r="142" spans="13:15" x14ac:dyDescent="0.2">
      <c r="M142" s="30"/>
      <c r="N142" s="30"/>
      <c r="O142" s="30"/>
    </row>
    <row r="143" spans="13:15" x14ac:dyDescent="0.2">
      <c r="M143" s="30"/>
      <c r="N143" s="30"/>
      <c r="O143" s="30"/>
    </row>
    <row r="144" spans="13:15" x14ac:dyDescent="0.2">
      <c r="M144" s="30"/>
      <c r="N144" s="30"/>
      <c r="O144" s="30"/>
    </row>
    <row r="145" spans="13:15" x14ac:dyDescent="0.2">
      <c r="M145" s="30"/>
      <c r="N145" s="30"/>
      <c r="O145" s="30"/>
    </row>
    <row r="146" spans="13:15" x14ac:dyDescent="0.2">
      <c r="M146" s="30"/>
      <c r="N146" s="30"/>
      <c r="O146" s="30"/>
    </row>
    <row r="147" spans="13:15" x14ac:dyDescent="0.2">
      <c r="M147" s="30"/>
      <c r="N147" s="30"/>
      <c r="O147" s="30"/>
    </row>
    <row r="148" spans="13:15" x14ac:dyDescent="0.2">
      <c r="M148" s="30"/>
      <c r="N148" s="30"/>
      <c r="O148" s="30"/>
    </row>
    <row r="149" spans="13:15" x14ac:dyDescent="0.2">
      <c r="M149" s="30"/>
      <c r="N149" s="30"/>
      <c r="O149" s="30"/>
    </row>
    <row r="150" spans="13:15" x14ac:dyDescent="0.2">
      <c r="M150" s="30"/>
      <c r="N150" s="30"/>
      <c r="O150" s="30"/>
    </row>
    <row r="151" spans="13:15" x14ac:dyDescent="0.2">
      <c r="M151" s="30"/>
      <c r="N151" s="30"/>
      <c r="O151" s="30"/>
    </row>
    <row r="152" spans="13:15" x14ac:dyDescent="0.2">
      <c r="M152" s="30"/>
      <c r="N152" s="30"/>
      <c r="O152" s="30"/>
    </row>
    <row r="153" spans="13:15" x14ac:dyDescent="0.2">
      <c r="M153" s="30"/>
      <c r="N153" s="30"/>
      <c r="O153" s="30"/>
    </row>
    <row r="154" spans="13:15" x14ac:dyDescent="0.2">
      <c r="M154" s="30"/>
      <c r="N154" s="30"/>
      <c r="O154" s="30"/>
    </row>
    <row r="155" spans="13:15" x14ac:dyDescent="0.2">
      <c r="M155" s="30"/>
      <c r="N155" s="30"/>
      <c r="O155" s="30"/>
    </row>
    <row r="156" spans="13:15" x14ac:dyDescent="0.2">
      <c r="M156" s="30"/>
      <c r="N156" s="30"/>
      <c r="O156" s="30"/>
    </row>
    <row r="157" spans="13:15" x14ac:dyDescent="0.2">
      <c r="M157" s="30"/>
      <c r="N157" s="30"/>
      <c r="O157" s="30"/>
    </row>
    <row r="158" spans="13:15" x14ac:dyDescent="0.2">
      <c r="M158" s="30"/>
      <c r="N158" s="30"/>
      <c r="O158" s="30"/>
    </row>
    <row r="159" spans="13:15" x14ac:dyDescent="0.2">
      <c r="M159" s="30"/>
      <c r="N159" s="30"/>
      <c r="O159" s="30"/>
    </row>
    <row r="160" spans="13:15" x14ac:dyDescent="0.2">
      <c r="M160" s="30"/>
      <c r="N160" s="30"/>
      <c r="O160" s="30"/>
    </row>
    <row r="161" spans="13:15" x14ac:dyDescent="0.2">
      <c r="M161" s="30"/>
      <c r="N161" s="30"/>
      <c r="O161" s="30"/>
    </row>
    <row r="162" spans="13:15" x14ac:dyDescent="0.2">
      <c r="M162" s="30"/>
      <c r="N162" s="30"/>
      <c r="O162" s="30"/>
    </row>
    <row r="163" spans="13:15" x14ac:dyDescent="0.2">
      <c r="M163" s="30"/>
      <c r="N163" s="30"/>
      <c r="O163" s="30"/>
    </row>
    <row r="164" spans="13:15" x14ac:dyDescent="0.2">
      <c r="M164" s="30"/>
      <c r="N164" s="30"/>
      <c r="O164" s="30"/>
    </row>
    <row r="165" spans="13:15" x14ac:dyDescent="0.2">
      <c r="M165" s="30"/>
      <c r="N165" s="30"/>
      <c r="O165" s="30"/>
    </row>
    <row r="166" spans="13:15" x14ac:dyDescent="0.2">
      <c r="M166" s="30"/>
      <c r="N166" s="30"/>
      <c r="O166" s="30"/>
    </row>
    <row r="167" spans="13:15" x14ac:dyDescent="0.2">
      <c r="M167" s="30"/>
      <c r="N167" s="30"/>
      <c r="O167" s="30"/>
    </row>
    <row r="168" spans="13:15" x14ac:dyDescent="0.2">
      <c r="M168" s="30"/>
      <c r="N168" s="30"/>
      <c r="O168" s="30"/>
    </row>
    <row r="169" spans="13:15" x14ac:dyDescent="0.2">
      <c r="M169" s="30"/>
      <c r="N169" s="30"/>
      <c r="O169" s="30"/>
    </row>
    <row r="170" spans="13:15" x14ac:dyDescent="0.2">
      <c r="M170" s="30"/>
      <c r="N170" s="30"/>
      <c r="O170" s="30"/>
    </row>
    <row r="171" spans="13:15" x14ac:dyDescent="0.2">
      <c r="M171" s="30"/>
      <c r="N171" s="30"/>
      <c r="O171" s="30"/>
    </row>
    <row r="172" spans="13:15" x14ac:dyDescent="0.2">
      <c r="M172" s="30"/>
      <c r="N172" s="30"/>
      <c r="O172" s="30"/>
    </row>
    <row r="173" spans="13:15" x14ac:dyDescent="0.2">
      <c r="M173" s="30"/>
      <c r="N173" s="30"/>
      <c r="O173" s="30"/>
    </row>
    <row r="174" spans="13:15" x14ac:dyDescent="0.2">
      <c r="M174" s="30"/>
      <c r="N174" s="30"/>
      <c r="O174" s="30"/>
    </row>
    <row r="175" spans="13:15" x14ac:dyDescent="0.2">
      <c r="M175" s="30"/>
      <c r="N175" s="30"/>
      <c r="O175" s="30"/>
    </row>
    <row r="176" spans="13:15" x14ac:dyDescent="0.2">
      <c r="M176" s="30"/>
      <c r="N176" s="30"/>
      <c r="O176" s="30"/>
    </row>
    <row r="177" spans="13:15" x14ac:dyDescent="0.2">
      <c r="M177" s="30"/>
      <c r="N177" s="30"/>
      <c r="O177" s="30"/>
    </row>
    <row r="178" spans="13:15" x14ac:dyDescent="0.2">
      <c r="M178" s="30"/>
      <c r="N178" s="30"/>
      <c r="O178" s="30"/>
    </row>
    <row r="179" spans="13:15" x14ac:dyDescent="0.2">
      <c r="M179" s="30"/>
      <c r="N179" s="30"/>
      <c r="O179" s="30"/>
    </row>
    <row r="180" spans="13:15" x14ac:dyDescent="0.2">
      <c r="M180" s="30"/>
      <c r="N180" s="30"/>
      <c r="O180" s="30"/>
    </row>
    <row r="181" spans="13:15" x14ac:dyDescent="0.2">
      <c r="M181" s="30"/>
      <c r="N181" s="30"/>
      <c r="O181" s="30"/>
    </row>
    <row r="182" spans="13:15" x14ac:dyDescent="0.2">
      <c r="M182" s="30"/>
      <c r="N182" s="30"/>
      <c r="O182" s="30"/>
    </row>
    <row r="183" spans="13:15" x14ac:dyDescent="0.2">
      <c r="M183" s="30"/>
      <c r="N183" s="30"/>
      <c r="O183" s="30"/>
    </row>
    <row r="184" spans="13:15" x14ac:dyDescent="0.2">
      <c r="M184" s="30"/>
      <c r="N184" s="30"/>
      <c r="O184" s="30"/>
    </row>
    <row r="185" spans="13:15" x14ac:dyDescent="0.2">
      <c r="M185" s="30"/>
      <c r="N185" s="30"/>
      <c r="O185" s="30"/>
    </row>
    <row r="186" spans="13:15" x14ac:dyDescent="0.2">
      <c r="M186" s="30"/>
      <c r="N186" s="30"/>
      <c r="O186" s="30"/>
    </row>
    <row r="187" spans="13:15" x14ac:dyDescent="0.2">
      <c r="M187" s="30"/>
      <c r="N187" s="30"/>
      <c r="O187" s="30"/>
    </row>
    <row r="188" spans="13:15" x14ac:dyDescent="0.2">
      <c r="M188" s="30"/>
      <c r="N188" s="30"/>
      <c r="O188" s="30"/>
    </row>
    <row r="189" spans="13:15" x14ac:dyDescent="0.2">
      <c r="M189" s="30"/>
      <c r="N189" s="30"/>
      <c r="O189" s="30"/>
    </row>
    <row r="190" spans="13:15" x14ac:dyDescent="0.2">
      <c r="M190" s="30"/>
      <c r="N190" s="30"/>
      <c r="O190" s="30"/>
    </row>
    <row r="191" spans="13:15" x14ac:dyDescent="0.2">
      <c r="M191" s="30"/>
      <c r="N191" s="30"/>
      <c r="O191" s="30"/>
    </row>
    <row r="192" spans="13:15" x14ac:dyDescent="0.2">
      <c r="M192" s="30"/>
      <c r="N192" s="30"/>
      <c r="O192" s="30"/>
    </row>
    <row r="193" spans="13:15" x14ac:dyDescent="0.2">
      <c r="M193" s="30"/>
      <c r="N193" s="30"/>
      <c r="O193" s="30"/>
    </row>
    <row r="194" spans="13:15" x14ac:dyDescent="0.2">
      <c r="M194" s="30"/>
      <c r="N194" s="30"/>
      <c r="O194" s="30"/>
    </row>
    <row r="195" spans="13:15" x14ac:dyDescent="0.2">
      <c r="M195" s="30"/>
      <c r="N195" s="30"/>
      <c r="O195" s="30"/>
    </row>
    <row r="196" spans="13:15" x14ac:dyDescent="0.2">
      <c r="M196" s="30"/>
      <c r="N196" s="30"/>
      <c r="O196" s="30"/>
    </row>
    <row r="197" spans="13:15" x14ac:dyDescent="0.2">
      <c r="M197" s="30"/>
      <c r="N197" s="30"/>
      <c r="O197" s="30"/>
    </row>
    <row r="198" spans="13:15" x14ac:dyDescent="0.2">
      <c r="M198" s="30"/>
      <c r="N198" s="30"/>
      <c r="O198" s="30"/>
    </row>
    <row r="199" spans="13:15" x14ac:dyDescent="0.2">
      <c r="M199" s="30"/>
      <c r="N199" s="30"/>
      <c r="O199" s="30"/>
    </row>
    <row r="200" spans="13:15" x14ac:dyDescent="0.2">
      <c r="M200" s="30"/>
      <c r="N200" s="30"/>
      <c r="O200" s="30"/>
    </row>
    <row r="201" spans="13:15" x14ac:dyDescent="0.2">
      <c r="M201" s="30"/>
      <c r="N201" s="30"/>
      <c r="O201" s="30"/>
    </row>
    <row r="202" spans="13:15" x14ac:dyDescent="0.2">
      <c r="M202" s="30"/>
      <c r="N202" s="30"/>
      <c r="O202" s="30"/>
    </row>
    <row r="203" spans="13:15" x14ac:dyDescent="0.2">
      <c r="M203" s="30"/>
      <c r="N203" s="30"/>
      <c r="O203" s="30"/>
    </row>
    <row r="204" spans="13:15" x14ac:dyDescent="0.2">
      <c r="M204" s="30"/>
      <c r="N204" s="30"/>
      <c r="O204" s="30"/>
    </row>
    <row r="205" spans="13:15" x14ac:dyDescent="0.2">
      <c r="M205" s="30"/>
      <c r="N205" s="30"/>
      <c r="O205" s="30"/>
    </row>
    <row r="206" spans="13:15" x14ac:dyDescent="0.2">
      <c r="M206" s="30"/>
      <c r="N206" s="30"/>
      <c r="O206" s="30"/>
    </row>
    <row r="207" spans="13:15" x14ac:dyDescent="0.2">
      <c r="M207" s="30"/>
      <c r="N207" s="30"/>
      <c r="O207" s="30"/>
    </row>
    <row r="208" spans="13:15" x14ac:dyDescent="0.2">
      <c r="M208" s="30"/>
      <c r="N208" s="30"/>
      <c r="O208" s="30"/>
    </row>
    <row r="209" spans="13:15" x14ac:dyDescent="0.2">
      <c r="M209" s="30"/>
      <c r="N209" s="30"/>
      <c r="O209" s="30"/>
    </row>
    <row r="210" spans="13:15" x14ac:dyDescent="0.2">
      <c r="M210" s="30"/>
      <c r="N210" s="30"/>
      <c r="O210" s="30"/>
    </row>
    <row r="211" spans="13:15" x14ac:dyDescent="0.2">
      <c r="M211" s="30"/>
      <c r="N211" s="30"/>
      <c r="O211" s="30"/>
    </row>
    <row r="212" spans="13:15" x14ac:dyDescent="0.2">
      <c r="M212" s="30"/>
      <c r="N212" s="30"/>
      <c r="O212" s="30"/>
    </row>
    <row r="213" spans="13:15" x14ac:dyDescent="0.2">
      <c r="M213" s="30"/>
      <c r="N213" s="30"/>
      <c r="O213" s="30"/>
    </row>
    <row r="214" spans="13:15" x14ac:dyDescent="0.2">
      <c r="M214" s="30"/>
      <c r="N214" s="30"/>
      <c r="O214" s="30"/>
    </row>
    <row r="215" spans="13:15" x14ac:dyDescent="0.2">
      <c r="M215" s="30"/>
      <c r="N215" s="30"/>
      <c r="O215" s="30"/>
    </row>
    <row r="216" spans="13:15" x14ac:dyDescent="0.2">
      <c r="M216" s="30"/>
      <c r="N216" s="30"/>
      <c r="O216" s="30"/>
    </row>
    <row r="217" spans="13:15" x14ac:dyDescent="0.2">
      <c r="M217" s="30"/>
      <c r="N217" s="30"/>
      <c r="O217" s="30"/>
    </row>
    <row r="218" spans="13:15" x14ac:dyDescent="0.2">
      <c r="M218" s="30"/>
      <c r="N218" s="30"/>
      <c r="O218" s="30"/>
    </row>
    <row r="219" spans="13:15" x14ac:dyDescent="0.2">
      <c r="M219" s="30"/>
      <c r="N219" s="30"/>
      <c r="O219" s="30"/>
    </row>
    <row r="220" spans="13:15" x14ac:dyDescent="0.2">
      <c r="M220" s="30"/>
      <c r="N220" s="30"/>
      <c r="O220" s="30"/>
    </row>
    <row r="221" spans="13:15" x14ac:dyDescent="0.2">
      <c r="M221" s="30"/>
      <c r="N221" s="30"/>
      <c r="O221" s="30"/>
    </row>
    <row r="222" spans="13:15" x14ac:dyDescent="0.2">
      <c r="M222" s="30"/>
      <c r="N222" s="30"/>
      <c r="O222" s="30"/>
    </row>
    <row r="223" spans="13:15" x14ac:dyDescent="0.2">
      <c r="M223" s="30"/>
      <c r="N223" s="30"/>
      <c r="O223" s="30"/>
    </row>
    <row r="224" spans="13:15" x14ac:dyDescent="0.2">
      <c r="M224" s="30"/>
      <c r="N224" s="30"/>
      <c r="O224" s="30"/>
    </row>
    <row r="225" spans="13:15" x14ac:dyDescent="0.2">
      <c r="M225" s="30"/>
      <c r="N225" s="30"/>
      <c r="O225" s="30"/>
    </row>
    <row r="226" spans="13:15" x14ac:dyDescent="0.2">
      <c r="M226" s="30"/>
      <c r="N226" s="30"/>
      <c r="O226" s="30"/>
    </row>
    <row r="227" spans="13:15" x14ac:dyDescent="0.2">
      <c r="M227" s="30"/>
      <c r="N227" s="30"/>
      <c r="O227" s="30"/>
    </row>
    <row r="228" spans="13:15" x14ac:dyDescent="0.2">
      <c r="M228" s="30"/>
      <c r="N228" s="30"/>
      <c r="O228" s="30"/>
    </row>
    <row r="229" spans="13:15" x14ac:dyDescent="0.2">
      <c r="M229" s="30"/>
      <c r="N229" s="30"/>
      <c r="O229" s="30"/>
    </row>
    <row r="230" spans="13:15" x14ac:dyDescent="0.2">
      <c r="M230" s="30"/>
      <c r="N230" s="30"/>
      <c r="O230" s="30"/>
    </row>
    <row r="231" spans="13:15" x14ac:dyDescent="0.2">
      <c r="M231" s="30"/>
      <c r="N231" s="30"/>
      <c r="O231" s="30"/>
    </row>
    <row r="232" spans="13:15" x14ac:dyDescent="0.2">
      <c r="M232" s="30"/>
      <c r="N232" s="30"/>
      <c r="O232" s="30"/>
    </row>
    <row r="233" spans="13:15" x14ac:dyDescent="0.2">
      <c r="M233" s="30"/>
      <c r="N233" s="30"/>
      <c r="O233" s="30"/>
    </row>
    <row r="234" spans="13:15" x14ac:dyDescent="0.2">
      <c r="M234" s="30"/>
      <c r="N234" s="30"/>
      <c r="O234" s="30"/>
    </row>
    <row r="235" spans="13:15" x14ac:dyDescent="0.2">
      <c r="M235" s="30"/>
      <c r="N235" s="30"/>
      <c r="O235" s="30"/>
    </row>
    <row r="236" spans="13:15" x14ac:dyDescent="0.2">
      <c r="M236" s="30"/>
      <c r="N236" s="30"/>
      <c r="O236" s="30"/>
    </row>
    <row r="237" spans="13:15" x14ac:dyDescent="0.2">
      <c r="M237" s="30"/>
      <c r="N237" s="30"/>
      <c r="O237" s="30"/>
    </row>
    <row r="238" spans="13:15" x14ac:dyDescent="0.2">
      <c r="M238" s="30"/>
      <c r="N238" s="30"/>
      <c r="O238" s="30"/>
    </row>
    <row r="239" spans="13:15" x14ac:dyDescent="0.2">
      <c r="M239" s="30"/>
      <c r="N239" s="30"/>
      <c r="O239" s="30"/>
    </row>
    <row r="240" spans="13:15" x14ac:dyDescent="0.2">
      <c r="M240" s="30"/>
      <c r="N240" s="30"/>
      <c r="O240" s="30"/>
    </row>
    <row r="241" spans="13:15" x14ac:dyDescent="0.2">
      <c r="M241" s="30"/>
      <c r="N241" s="30"/>
      <c r="O241" s="30"/>
    </row>
    <row r="242" spans="13:15" x14ac:dyDescent="0.2">
      <c r="M242" s="30"/>
      <c r="N242" s="30"/>
      <c r="O242" s="30"/>
    </row>
    <row r="243" spans="13:15" x14ac:dyDescent="0.2">
      <c r="M243" s="30"/>
      <c r="N243" s="30"/>
      <c r="O243" s="30"/>
    </row>
    <row r="244" spans="13:15" x14ac:dyDescent="0.2">
      <c r="M244" s="30"/>
      <c r="N244" s="30"/>
      <c r="O244" s="30"/>
    </row>
    <row r="245" spans="13:15" x14ac:dyDescent="0.2">
      <c r="M245" s="30"/>
      <c r="N245" s="30"/>
      <c r="O245" s="30"/>
    </row>
    <row r="246" spans="13:15" x14ac:dyDescent="0.2">
      <c r="M246" s="30"/>
      <c r="N246" s="30"/>
      <c r="O246" s="30"/>
    </row>
    <row r="247" spans="13:15" x14ac:dyDescent="0.2">
      <c r="M247" s="30"/>
      <c r="N247" s="30"/>
      <c r="O247" s="30"/>
    </row>
    <row r="248" spans="13:15" x14ac:dyDescent="0.2">
      <c r="M248" s="30"/>
      <c r="N248" s="30"/>
      <c r="O248" s="30"/>
    </row>
    <row r="249" spans="13:15" x14ac:dyDescent="0.2">
      <c r="M249" s="30"/>
      <c r="N249" s="30"/>
      <c r="O249" s="30"/>
    </row>
    <row r="250" spans="13:15" x14ac:dyDescent="0.2">
      <c r="M250" s="30"/>
      <c r="N250" s="30"/>
      <c r="O250" s="30"/>
    </row>
    <row r="251" spans="13:15" x14ac:dyDescent="0.2">
      <c r="M251" s="30"/>
      <c r="N251" s="30"/>
      <c r="O251" s="30"/>
    </row>
    <row r="252" spans="13:15" x14ac:dyDescent="0.2">
      <c r="M252" s="30"/>
      <c r="N252" s="30"/>
      <c r="O252" s="30"/>
    </row>
    <row r="253" spans="13:15" x14ac:dyDescent="0.2">
      <c r="M253" s="30"/>
      <c r="N253" s="30"/>
      <c r="O253" s="30"/>
    </row>
    <row r="254" spans="13:15" x14ac:dyDescent="0.2">
      <c r="M254" s="30"/>
      <c r="N254" s="30"/>
      <c r="O254" s="30"/>
    </row>
    <row r="255" spans="13:15" x14ac:dyDescent="0.2">
      <c r="M255" s="30"/>
      <c r="N255" s="30"/>
      <c r="O255" s="30"/>
    </row>
    <row r="256" spans="13:15" x14ac:dyDescent="0.2">
      <c r="M256" s="30"/>
      <c r="N256" s="30"/>
      <c r="O256" s="30"/>
    </row>
    <row r="257" spans="13:15" x14ac:dyDescent="0.2">
      <c r="M257" s="30"/>
      <c r="N257" s="30"/>
      <c r="O257" s="30"/>
    </row>
    <row r="258" spans="13:15" x14ac:dyDescent="0.2">
      <c r="M258" s="30"/>
      <c r="N258" s="30"/>
      <c r="O258" s="30"/>
    </row>
    <row r="259" spans="13:15" x14ac:dyDescent="0.2">
      <c r="M259" s="30"/>
      <c r="N259" s="30"/>
      <c r="O259" s="30"/>
    </row>
    <row r="260" spans="13:15" x14ac:dyDescent="0.2">
      <c r="M260" s="30"/>
      <c r="N260" s="30"/>
      <c r="O260" s="30"/>
    </row>
    <row r="261" spans="13:15" x14ac:dyDescent="0.2">
      <c r="M261" s="30"/>
      <c r="N261" s="30"/>
      <c r="O261" s="30"/>
    </row>
    <row r="262" spans="13:15" x14ac:dyDescent="0.2">
      <c r="M262" s="30"/>
      <c r="N262" s="30"/>
      <c r="O262" s="30"/>
    </row>
    <row r="263" spans="13:15" x14ac:dyDescent="0.2">
      <c r="M263" s="30"/>
      <c r="N263" s="30"/>
      <c r="O263" s="30"/>
    </row>
    <row r="264" spans="13:15" x14ac:dyDescent="0.2">
      <c r="M264" s="30"/>
      <c r="N264" s="30"/>
      <c r="O264" s="30"/>
    </row>
    <row r="265" spans="13:15" x14ac:dyDescent="0.2">
      <c r="M265" s="30"/>
      <c r="N265" s="30"/>
      <c r="O265" s="30"/>
    </row>
    <row r="266" spans="13:15" x14ac:dyDescent="0.2">
      <c r="M266" s="30"/>
      <c r="N266" s="30"/>
      <c r="O266" s="30"/>
    </row>
    <row r="267" spans="13:15" x14ac:dyDescent="0.2">
      <c r="M267" s="30"/>
      <c r="N267" s="30"/>
      <c r="O267" s="30"/>
    </row>
    <row r="268" spans="13:15" x14ac:dyDescent="0.2">
      <c r="M268" s="30"/>
      <c r="N268" s="30"/>
      <c r="O268" s="30"/>
    </row>
    <row r="269" spans="13:15" x14ac:dyDescent="0.2">
      <c r="M269" s="30"/>
      <c r="N269" s="30"/>
      <c r="O269" s="30"/>
    </row>
    <row r="270" spans="13:15" x14ac:dyDescent="0.2">
      <c r="M270" s="30"/>
      <c r="N270" s="30"/>
      <c r="O270" s="30"/>
    </row>
    <row r="271" spans="13:15" x14ac:dyDescent="0.2">
      <c r="M271" s="30"/>
      <c r="N271" s="30"/>
      <c r="O271" s="30"/>
    </row>
    <row r="272" spans="13:15" x14ac:dyDescent="0.2">
      <c r="M272" s="30"/>
      <c r="N272" s="30"/>
      <c r="O272" s="30"/>
    </row>
    <row r="273" spans="13:15" x14ac:dyDescent="0.2">
      <c r="M273" s="30"/>
      <c r="N273" s="30"/>
      <c r="O273" s="30"/>
    </row>
    <row r="274" spans="13:15" x14ac:dyDescent="0.2">
      <c r="M274" s="30"/>
      <c r="N274" s="30"/>
      <c r="O274" s="30"/>
    </row>
    <row r="275" spans="13:15" x14ac:dyDescent="0.2">
      <c r="M275" s="30"/>
      <c r="N275" s="30"/>
      <c r="O275" s="30"/>
    </row>
    <row r="276" spans="13:15" x14ac:dyDescent="0.2">
      <c r="M276" s="30"/>
      <c r="N276" s="30"/>
      <c r="O276" s="30"/>
    </row>
    <row r="277" spans="13:15" x14ac:dyDescent="0.2">
      <c r="M277" s="30"/>
      <c r="N277" s="30"/>
      <c r="O277" s="30"/>
    </row>
    <row r="278" spans="13:15" x14ac:dyDescent="0.2">
      <c r="M278" s="30"/>
      <c r="N278" s="30"/>
      <c r="O278" s="30"/>
    </row>
    <row r="279" spans="13:15" x14ac:dyDescent="0.2">
      <c r="M279" s="30"/>
      <c r="N279" s="30"/>
      <c r="O279" s="30"/>
    </row>
    <row r="280" spans="13:15" x14ac:dyDescent="0.2">
      <c r="M280" s="30"/>
      <c r="N280" s="30"/>
      <c r="O280" s="30"/>
    </row>
    <row r="281" spans="13:15" x14ac:dyDescent="0.2">
      <c r="M281" s="30"/>
      <c r="N281" s="30"/>
      <c r="O281" s="30"/>
    </row>
    <row r="282" spans="13:15" x14ac:dyDescent="0.2">
      <c r="M282" s="30"/>
      <c r="N282" s="30"/>
      <c r="O282" s="30"/>
    </row>
    <row r="283" spans="13:15" x14ac:dyDescent="0.2">
      <c r="M283" s="30"/>
      <c r="N283" s="30"/>
      <c r="O283" s="30"/>
    </row>
    <row r="284" spans="13:15" x14ac:dyDescent="0.2">
      <c r="M284" s="30"/>
      <c r="N284" s="30"/>
      <c r="O284" s="30"/>
    </row>
    <row r="285" spans="13:15" x14ac:dyDescent="0.2">
      <c r="M285" s="30"/>
      <c r="N285" s="30"/>
      <c r="O285" s="30"/>
    </row>
    <row r="286" spans="13:15" x14ac:dyDescent="0.2">
      <c r="M286" s="30"/>
      <c r="N286" s="30"/>
      <c r="O286" s="30"/>
    </row>
    <row r="287" spans="13:15" x14ac:dyDescent="0.2">
      <c r="M287" s="30"/>
      <c r="N287" s="30"/>
      <c r="O287" s="30"/>
    </row>
    <row r="288" spans="13:15" x14ac:dyDescent="0.2">
      <c r="M288" s="30"/>
      <c r="N288" s="30"/>
      <c r="O288" s="30"/>
    </row>
    <row r="289" spans="13:15" x14ac:dyDescent="0.2">
      <c r="M289" s="30"/>
      <c r="N289" s="30"/>
      <c r="O289" s="30"/>
    </row>
    <row r="290" spans="13:15" x14ac:dyDescent="0.2">
      <c r="M290" s="30"/>
      <c r="N290" s="30"/>
      <c r="O290" s="30"/>
    </row>
    <row r="291" spans="13:15" x14ac:dyDescent="0.2">
      <c r="M291" s="30"/>
      <c r="N291" s="30"/>
      <c r="O291" s="30"/>
    </row>
    <row r="292" spans="13:15" x14ac:dyDescent="0.2">
      <c r="M292" s="30"/>
      <c r="N292" s="30"/>
      <c r="O292" s="30"/>
    </row>
    <row r="293" spans="13:15" x14ac:dyDescent="0.2">
      <c r="M293" s="30"/>
      <c r="N293" s="30"/>
      <c r="O293" s="30"/>
    </row>
    <row r="294" spans="13:15" x14ac:dyDescent="0.2">
      <c r="M294" s="30"/>
      <c r="N294" s="30"/>
      <c r="O294" s="30"/>
    </row>
    <row r="295" spans="13:15" x14ac:dyDescent="0.2">
      <c r="M295" s="30"/>
      <c r="N295" s="30"/>
      <c r="O295" s="30"/>
    </row>
    <row r="296" spans="13:15" x14ac:dyDescent="0.2">
      <c r="M296" s="30"/>
      <c r="N296" s="30"/>
      <c r="O296" s="30"/>
    </row>
    <row r="297" spans="13:15" x14ac:dyDescent="0.2">
      <c r="M297" s="30"/>
      <c r="N297" s="30"/>
      <c r="O297" s="30"/>
    </row>
    <row r="298" spans="13:15" x14ac:dyDescent="0.2">
      <c r="M298" s="30"/>
      <c r="N298" s="30"/>
      <c r="O298" s="30"/>
    </row>
    <row r="299" spans="13:15" x14ac:dyDescent="0.2">
      <c r="M299" s="30"/>
      <c r="N299" s="30"/>
      <c r="O299" s="30"/>
    </row>
    <row r="300" spans="13:15" x14ac:dyDescent="0.2">
      <c r="M300" s="30"/>
      <c r="N300" s="30"/>
      <c r="O300" s="30"/>
    </row>
    <row r="301" spans="13:15" x14ac:dyDescent="0.2">
      <c r="M301" s="30"/>
      <c r="N301" s="30"/>
      <c r="O301" s="30"/>
    </row>
    <row r="302" spans="13:15" x14ac:dyDescent="0.2">
      <c r="M302" s="30"/>
      <c r="N302" s="30"/>
      <c r="O302" s="30"/>
    </row>
    <row r="303" spans="13:15" x14ac:dyDescent="0.2">
      <c r="M303" s="30"/>
      <c r="N303" s="30"/>
      <c r="O303" s="30"/>
    </row>
    <row r="304" spans="13:15" x14ac:dyDescent="0.2">
      <c r="M304" s="30"/>
      <c r="N304" s="30"/>
      <c r="O304" s="30"/>
    </row>
    <row r="305" spans="13:15" x14ac:dyDescent="0.2">
      <c r="M305" s="30"/>
      <c r="N305" s="30"/>
      <c r="O305" s="30"/>
    </row>
    <row r="306" spans="13:15" x14ac:dyDescent="0.2">
      <c r="M306" s="30"/>
      <c r="N306" s="30"/>
      <c r="O306" s="30"/>
    </row>
    <row r="307" spans="13:15" x14ac:dyDescent="0.2">
      <c r="M307" s="30"/>
      <c r="N307" s="30"/>
      <c r="O307" s="30"/>
    </row>
    <row r="308" spans="13:15" x14ac:dyDescent="0.2">
      <c r="M308" s="30"/>
      <c r="N308" s="30"/>
      <c r="O308" s="30"/>
    </row>
    <row r="309" spans="13:15" x14ac:dyDescent="0.2">
      <c r="M309" s="30"/>
      <c r="N309" s="30"/>
      <c r="O309" s="30"/>
    </row>
    <row r="310" spans="13:15" x14ac:dyDescent="0.2">
      <c r="M310" s="30"/>
      <c r="N310" s="30"/>
      <c r="O310" s="30"/>
    </row>
    <row r="311" spans="13:15" x14ac:dyDescent="0.2">
      <c r="M311" s="30"/>
      <c r="N311" s="30"/>
      <c r="O311" s="30"/>
    </row>
    <row r="312" spans="13:15" x14ac:dyDescent="0.2">
      <c r="M312" s="30"/>
      <c r="N312" s="30"/>
      <c r="O312" s="30"/>
    </row>
    <row r="313" spans="13:15" x14ac:dyDescent="0.2">
      <c r="M313" s="30"/>
      <c r="N313" s="30"/>
      <c r="O313" s="30"/>
    </row>
    <row r="314" spans="13:15" x14ac:dyDescent="0.2">
      <c r="M314" s="30"/>
      <c r="N314" s="30"/>
      <c r="O314" s="30"/>
    </row>
    <row r="315" spans="13:15" x14ac:dyDescent="0.2">
      <c r="M315" s="30"/>
      <c r="N315" s="30"/>
      <c r="O315" s="30"/>
    </row>
    <row r="316" spans="13:15" x14ac:dyDescent="0.2">
      <c r="M316" s="30"/>
      <c r="N316" s="30"/>
      <c r="O316" s="30"/>
    </row>
    <row r="317" spans="13:15" x14ac:dyDescent="0.2">
      <c r="M317" s="30"/>
      <c r="N317" s="30"/>
      <c r="O317" s="30"/>
    </row>
    <row r="318" spans="13:15" x14ac:dyDescent="0.2">
      <c r="M318" s="30"/>
      <c r="N318" s="30"/>
      <c r="O318" s="30"/>
    </row>
    <row r="319" spans="13:15" x14ac:dyDescent="0.2">
      <c r="M319" s="30"/>
      <c r="N319" s="30"/>
      <c r="O319" s="30"/>
    </row>
    <row r="320" spans="13:15" x14ac:dyDescent="0.2">
      <c r="M320" s="30"/>
      <c r="N320" s="30"/>
      <c r="O320" s="30"/>
    </row>
    <row r="321" spans="13:15" x14ac:dyDescent="0.2">
      <c r="M321" s="30"/>
      <c r="N321" s="30"/>
      <c r="O321" s="30"/>
    </row>
    <row r="322" spans="13:15" x14ac:dyDescent="0.2">
      <c r="M322" s="30"/>
      <c r="N322" s="30"/>
      <c r="O322" s="30"/>
    </row>
    <row r="323" spans="13:15" x14ac:dyDescent="0.2">
      <c r="M323" s="30"/>
      <c r="N323" s="30"/>
      <c r="O323" s="30"/>
    </row>
    <row r="324" spans="13:15" x14ac:dyDescent="0.2">
      <c r="M324" s="30"/>
      <c r="N324" s="30"/>
      <c r="O324" s="30"/>
    </row>
    <row r="325" spans="13:15" x14ac:dyDescent="0.2">
      <c r="M325" s="30"/>
      <c r="N325" s="30"/>
      <c r="O325" s="30"/>
    </row>
    <row r="326" spans="13:15" x14ac:dyDescent="0.2">
      <c r="M326" s="30"/>
      <c r="N326" s="30"/>
      <c r="O326" s="30"/>
    </row>
    <row r="327" spans="13:15" x14ac:dyDescent="0.2">
      <c r="M327" s="30"/>
      <c r="N327" s="30"/>
      <c r="O327" s="30"/>
    </row>
    <row r="328" spans="13:15" x14ac:dyDescent="0.2">
      <c r="M328" s="30"/>
      <c r="N328" s="30"/>
      <c r="O328" s="30"/>
    </row>
    <row r="329" spans="13:15" x14ac:dyDescent="0.2">
      <c r="M329" s="30"/>
      <c r="N329" s="30"/>
      <c r="O329" s="30"/>
    </row>
    <row r="330" spans="13:15" x14ac:dyDescent="0.2">
      <c r="M330" s="30"/>
      <c r="N330" s="30"/>
      <c r="O330" s="30"/>
    </row>
    <row r="331" spans="13:15" x14ac:dyDescent="0.2">
      <c r="M331" s="30"/>
      <c r="N331" s="30"/>
      <c r="O331" s="30"/>
    </row>
    <row r="332" spans="13:15" x14ac:dyDescent="0.2">
      <c r="M332" s="30"/>
      <c r="N332" s="30"/>
      <c r="O332" s="30"/>
    </row>
    <row r="333" spans="13:15" x14ac:dyDescent="0.2">
      <c r="M333" s="30"/>
      <c r="N333" s="30"/>
      <c r="O333" s="30"/>
    </row>
    <row r="334" spans="13:15" x14ac:dyDescent="0.2">
      <c r="M334" s="30"/>
      <c r="N334" s="30"/>
      <c r="O334" s="30"/>
    </row>
    <row r="335" spans="13:15" x14ac:dyDescent="0.2">
      <c r="M335" s="30"/>
      <c r="N335" s="30"/>
      <c r="O335" s="30"/>
    </row>
    <row r="336" spans="13:15" x14ac:dyDescent="0.2">
      <c r="M336" s="30"/>
      <c r="N336" s="30"/>
      <c r="O336" s="30"/>
    </row>
    <row r="337" spans="13:15" x14ac:dyDescent="0.2">
      <c r="M337" s="30"/>
      <c r="N337" s="30"/>
      <c r="O337" s="30"/>
    </row>
    <row r="338" spans="13:15" x14ac:dyDescent="0.2">
      <c r="M338" s="30"/>
      <c r="N338" s="30"/>
      <c r="O338" s="30"/>
    </row>
    <row r="339" spans="13:15" x14ac:dyDescent="0.2">
      <c r="M339" s="30"/>
      <c r="N339" s="30"/>
      <c r="O339" s="30"/>
    </row>
    <row r="340" spans="13:15" x14ac:dyDescent="0.2">
      <c r="M340" s="30"/>
      <c r="N340" s="30"/>
      <c r="O340" s="30"/>
    </row>
    <row r="341" spans="13:15" x14ac:dyDescent="0.2">
      <c r="M341" s="30"/>
      <c r="N341" s="30"/>
      <c r="O341" s="30"/>
    </row>
    <row r="342" spans="13:15" x14ac:dyDescent="0.2">
      <c r="M342" s="30"/>
      <c r="N342" s="30"/>
      <c r="O342" s="30"/>
    </row>
    <row r="343" spans="13:15" x14ac:dyDescent="0.2">
      <c r="M343" s="30"/>
      <c r="N343" s="30"/>
      <c r="O343" s="30"/>
    </row>
    <row r="344" spans="13:15" x14ac:dyDescent="0.2">
      <c r="M344" s="30"/>
      <c r="N344" s="30"/>
      <c r="O344" s="30"/>
    </row>
    <row r="345" spans="13:15" x14ac:dyDescent="0.2">
      <c r="M345" s="30"/>
      <c r="N345" s="30"/>
      <c r="O345" s="30"/>
    </row>
    <row r="346" spans="13:15" x14ac:dyDescent="0.2">
      <c r="M346" s="30"/>
      <c r="N346" s="30"/>
      <c r="O346" s="30"/>
    </row>
    <row r="347" spans="13:15" x14ac:dyDescent="0.2">
      <c r="M347" s="30"/>
      <c r="N347" s="30"/>
      <c r="O347" s="30"/>
    </row>
    <row r="348" spans="13:15" x14ac:dyDescent="0.2">
      <c r="M348" s="30"/>
      <c r="N348" s="30"/>
      <c r="O348" s="30"/>
    </row>
    <row r="349" spans="13:15" x14ac:dyDescent="0.2">
      <c r="M349" s="30"/>
      <c r="N349" s="30"/>
      <c r="O349" s="30"/>
    </row>
    <row r="350" spans="13:15" x14ac:dyDescent="0.2">
      <c r="M350" s="30"/>
      <c r="N350" s="30"/>
      <c r="O350" s="30"/>
    </row>
    <row r="351" spans="13:15" x14ac:dyDescent="0.2">
      <c r="M351" s="30"/>
      <c r="N351" s="30"/>
      <c r="O351" s="30"/>
    </row>
    <row r="352" spans="13:15" x14ac:dyDescent="0.2">
      <c r="M352" s="30"/>
      <c r="N352" s="30"/>
      <c r="O352" s="30"/>
    </row>
    <row r="353" spans="13:15" x14ac:dyDescent="0.2">
      <c r="M353" s="30"/>
      <c r="N353" s="30"/>
      <c r="O353" s="30"/>
    </row>
    <row r="354" spans="13:15" x14ac:dyDescent="0.2">
      <c r="M354" s="30"/>
      <c r="N354" s="30"/>
      <c r="O354" s="30"/>
    </row>
    <row r="355" spans="13:15" x14ac:dyDescent="0.2">
      <c r="M355" s="30"/>
      <c r="N355" s="30"/>
      <c r="O355" s="30"/>
    </row>
    <row r="356" spans="13:15" x14ac:dyDescent="0.2">
      <c r="M356" s="30"/>
      <c r="N356" s="30"/>
      <c r="O356" s="30"/>
    </row>
    <row r="357" spans="13:15" x14ac:dyDescent="0.2">
      <c r="M357" s="30"/>
      <c r="N357" s="30"/>
      <c r="O357" s="30"/>
    </row>
    <row r="358" spans="13:15" x14ac:dyDescent="0.2">
      <c r="M358" s="30"/>
      <c r="N358" s="30"/>
      <c r="O358" s="30"/>
    </row>
    <row r="359" spans="13:15" x14ac:dyDescent="0.2">
      <c r="M359" s="30"/>
      <c r="N359" s="30"/>
      <c r="O359" s="30"/>
    </row>
    <row r="360" spans="13:15" x14ac:dyDescent="0.2">
      <c r="M360" s="30"/>
      <c r="N360" s="30"/>
      <c r="O360" s="30"/>
    </row>
    <row r="361" spans="13:15" x14ac:dyDescent="0.2">
      <c r="M361" s="30"/>
      <c r="N361" s="30"/>
      <c r="O361" s="30"/>
    </row>
    <row r="362" spans="13:15" x14ac:dyDescent="0.2">
      <c r="M362" s="30"/>
      <c r="N362" s="30"/>
      <c r="O362" s="30"/>
    </row>
    <row r="363" spans="13:15" x14ac:dyDescent="0.2">
      <c r="M363" s="30"/>
      <c r="N363" s="30"/>
      <c r="O363" s="30"/>
    </row>
    <row r="364" spans="13:15" x14ac:dyDescent="0.2">
      <c r="M364" s="30"/>
      <c r="N364" s="30"/>
      <c r="O364" s="30"/>
    </row>
    <row r="365" spans="13:15" x14ac:dyDescent="0.2">
      <c r="M365" s="30"/>
      <c r="N365" s="30"/>
      <c r="O365" s="30"/>
    </row>
    <row r="366" spans="13:15" x14ac:dyDescent="0.2">
      <c r="M366" s="30"/>
      <c r="N366" s="30"/>
      <c r="O366" s="30"/>
    </row>
    <row r="367" spans="13:15" x14ac:dyDescent="0.2">
      <c r="M367" s="30"/>
      <c r="N367" s="30"/>
      <c r="O367" s="30"/>
    </row>
    <row r="368" spans="13:15" x14ac:dyDescent="0.2">
      <c r="M368" s="30"/>
      <c r="N368" s="30"/>
      <c r="O368" s="30"/>
    </row>
    <row r="369" spans="13:15" x14ac:dyDescent="0.2">
      <c r="M369" s="30"/>
      <c r="N369" s="30"/>
      <c r="O369" s="30"/>
    </row>
    <row r="370" spans="13:15" x14ac:dyDescent="0.2">
      <c r="M370" s="30"/>
      <c r="N370" s="30"/>
      <c r="O370" s="30"/>
    </row>
    <row r="371" spans="13:15" x14ac:dyDescent="0.2">
      <c r="M371" s="30"/>
      <c r="N371" s="30"/>
      <c r="O371" s="30"/>
    </row>
    <row r="372" spans="13:15" x14ac:dyDescent="0.2">
      <c r="M372" s="30"/>
      <c r="N372" s="30"/>
      <c r="O372" s="30"/>
    </row>
    <row r="373" spans="13:15" x14ac:dyDescent="0.2">
      <c r="M373" s="30"/>
      <c r="N373" s="30"/>
      <c r="O373" s="30"/>
    </row>
    <row r="374" spans="13:15" x14ac:dyDescent="0.2">
      <c r="M374" s="30"/>
      <c r="N374" s="30"/>
      <c r="O374" s="30"/>
    </row>
    <row r="375" spans="13:15" x14ac:dyDescent="0.2">
      <c r="M375" s="30"/>
      <c r="N375" s="30"/>
      <c r="O375" s="30"/>
    </row>
    <row r="376" spans="13:15" x14ac:dyDescent="0.2">
      <c r="M376" s="30"/>
      <c r="N376" s="30"/>
      <c r="O376" s="30"/>
    </row>
    <row r="377" spans="13:15" x14ac:dyDescent="0.2">
      <c r="M377" s="30"/>
      <c r="N377" s="30"/>
      <c r="O377" s="30"/>
    </row>
    <row r="378" spans="13:15" x14ac:dyDescent="0.2">
      <c r="M378" s="30"/>
      <c r="N378" s="30"/>
      <c r="O378" s="30"/>
    </row>
    <row r="379" spans="13:15" x14ac:dyDescent="0.2">
      <c r="M379" s="30"/>
      <c r="N379" s="30"/>
      <c r="O379" s="30"/>
    </row>
    <row r="380" spans="13:15" x14ac:dyDescent="0.2">
      <c r="M380" s="30"/>
      <c r="N380" s="30"/>
      <c r="O380" s="30"/>
    </row>
    <row r="381" spans="13:15" x14ac:dyDescent="0.2">
      <c r="M381" s="30"/>
      <c r="N381" s="30"/>
      <c r="O381" s="30"/>
    </row>
    <row r="382" spans="13:15" x14ac:dyDescent="0.2">
      <c r="M382" s="30"/>
      <c r="N382" s="30"/>
      <c r="O382" s="30"/>
    </row>
    <row r="383" spans="13:15" x14ac:dyDescent="0.2">
      <c r="M383" s="30"/>
      <c r="N383" s="30"/>
      <c r="O383" s="30"/>
    </row>
    <row r="384" spans="13:15" x14ac:dyDescent="0.2">
      <c r="M384" s="30"/>
      <c r="N384" s="30"/>
      <c r="O384" s="30"/>
    </row>
    <row r="385" spans="13:15" x14ac:dyDescent="0.2">
      <c r="M385" s="30"/>
      <c r="N385" s="30"/>
      <c r="O385" s="30"/>
    </row>
    <row r="386" spans="13:15" x14ac:dyDescent="0.2">
      <c r="M386" s="30"/>
      <c r="N386" s="30"/>
      <c r="O386" s="30"/>
    </row>
    <row r="387" spans="13:15" x14ac:dyDescent="0.2">
      <c r="M387" s="30"/>
      <c r="N387" s="30"/>
      <c r="O387" s="30"/>
    </row>
    <row r="388" spans="13:15" x14ac:dyDescent="0.2">
      <c r="M388" s="30"/>
      <c r="N388" s="30"/>
      <c r="O388" s="30"/>
    </row>
    <row r="389" spans="13:15" x14ac:dyDescent="0.2">
      <c r="M389" s="30"/>
      <c r="N389" s="30"/>
      <c r="O389" s="30"/>
    </row>
    <row r="390" spans="13:15" x14ac:dyDescent="0.2">
      <c r="M390" s="30"/>
      <c r="N390" s="30"/>
      <c r="O390" s="30"/>
    </row>
    <row r="391" spans="13:15" x14ac:dyDescent="0.2">
      <c r="M391" s="30"/>
      <c r="N391" s="30"/>
      <c r="O391" s="30"/>
    </row>
    <row r="392" spans="13:15" x14ac:dyDescent="0.2">
      <c r="M392" s="30"/>
      <c r="N392" s="30"/>
      <c r="O392" s="30"/>
    </row>
    <row r="393" spans="13:15" x14ac:dyDescent="0.2">
      <c r="M393" s="30"/>
      <c r="N393" s="30"/>
      <c r="O393" s="30"/>
    </row>
    <row r="394" spans="13:15" x14ac:dyDescent="0.2">
      <c r="M394" s="30"/>
      <c r="N394" s="30"/>
      <c r="O394" s="30"/>
    </row>
    <row r="395" spans="13:15" x14ac:dyDescent="0.2">
      <c r="M395" s="30"/>
      <c r="N395" s="30"/>
      <c r="O395" s="30"/>
    </row>
    <row r="396" spans="13:15" x14ac:dyDescent="0.2">
      <c r="M396" s="30"/>
      <c r="N396" s="30"/>
      <c r="O396" s="30"/>
    </row>
    <row r="397" spans="13:15" x14ac:dyDescent="0.2">
      <c r="M397" s="30"/>
      <c r="N397" s="30"/>
      <c r="O397" s="30"/>
    </row>
    <row r="398" spans="13:15" x14ac:dyDescent="0.2">
      <c r="M398" s="30"/>
      <c r="N398" s="30"/>
      <c r="O398" s="30"/>
    </row>
    <row r="399" spans="13:15" x14ac:dyDescent="0.2">
      <c r="M399" s="30"/>
      <c r="N399" s="30"/>
      <c r="O399" s="30"/>
    </row>
    <row r="400" spans="13:15" x14ac:dyDescent="0.2">
      <c r="M400" s="30"/>
      <c r="N400" s="30"/>
      <c r="O400" s="30"/>
    </row>
    <row r="401" spans="13:15" x14ac:dyDescent="0.2">
      <c r="M401" s="30"/>
      <c r="N401" s="30"/>
      <c r="O401" s="30"/>
    </row>
    <row r="402" spans="13:15" x14ac:dyDescent="0.2">
      <c r="M402" s="30"/>
      <c r="N402" s="30"/>
      <c r="O402" s="30"/>
    </row>
    <row r="403" spans="13:15" x14ac:dyDescent="0.2">
      <c r="M403" s="30"/>
      <c r="N403" s="30"/>
      <c r="O403" s="30"/>
    </row>
    <row r="404" spans="13:15" x14ac:dyDescent="0.2">
      <c r="M404" s="30"/>
      <c r="N404" s="30"/>
      <c r="O404" s="30"/>
    </row>
    <row r="405" spans="13:15" x14ac:dyDescent="0.2">
      <c r="M405" s="30"/>
      <c r="N405" s="30"/>
      <c r="O405" s="30"/>
    </row>
    <row r="406" spans="13:15" x14ac:dyDescent="0.2">
      <c r="M406" s="30"/>
      <c r="N406" s="30"/>
      <c r="O406" s="30"/>
    </row>
    <row r="407" spans="13:15" x14ac:dyDescent="0.2">
      <c r="M407" s="30"/>
      <c r="N407" s="30"/>
      <c r="O407" s="30"/>
    </row>
    <row r="408" spans="13:15" x14ac:dyDescent="0.2">
      <c r="M408" s="30"/>
      <c r="N408" s="30"/>
      <c r="O408" s="30"/>
    </row>
    <row r="409" spans="13:15" x14ac:dyDescent="0.2">
      <c r="M409" s="30"/>
      <c r="N409" s="30"/>
      <c r="O409" s="30"/>
    </row>
    <row r="410" spans="13:15" x14ac:dyDescent="0.2">
      <c r="M410" s="30"/>
      <c r="N410" s="30"/>
      <c r="O410" s="30"/>
    </row>
    <row r="411" spans="13:15" x14ac:dyDescent="0.2">
      <c r="M411" s="30"/>
      <c r="N411" s="30"/>
      <c r="O411" s="30"/>
    </row>
    <row r="412" spans="13:15" x14ac:dyDescent="0.2">
      <c r="M412" s="30"/>
      <c r="N412" s="30"/>
      <c r="O412" s="30"/>
    </row>
    <row r="413" spans="13:15" x14ac:dyDescent="0.2">
      <c r="M413" s="30"/>
      <c r="N413" s="30"/>
      <c r="O413" s="30"/>
    </row>
    <row r="414" spans="13:15" x14ac:dyDescent="0.2">
      <c r="M414" s="30"/>
      <c r="N414" s="30"/>
      <c r="O414" s="30"/>
    </row>
    <row r="415" spans="13:15" x14ac:dyDescent="0.2">
      <c r="M415" s="30"/>
      <c r="N415" s="30"/>
      <c r="O415" s="30"/>
    </row>
    <row r="416" spans="13:15" x14ac:dyDescent="0.2">
      <c r="M416" s="30"/>
      <c r="N416" s="30"/>
      <c r="O416" s="30"/>
    </row>
    <row r="417" spans="13:15" x14ac:dyDescent="0.2">
      <c r="M417" s="30"/>
      <c r="N417" s="30"/>
      <c r="O417" s="30"/>
    </row>
    <row r="418" spans="13:15" x14ac:dyDescent="0.2">
      <c r="M418" s="30"/>
      <c r="N418" s="30"/>
      <c r="O418" s="30"/>
    </row>
    <row r="419" spans="13:15" x14ac:dyDescent="0.2">
      <c r="M419" s="30"/>
      <c r="N419" s="30"/>
      <c r="O419" s="30"/>
    </row>
    <row r="420" spans="13:15" x14ac:dyDescent="0.2">
      <c r="M420" s="30"/>
      <c r="N420" s="30"/>
      <c r="O420" s="30"/>
    </row>
    <row r="421" spans="13:15" x14ac:dyDescent="0.2">
      <c r="M421" s="30"/>
      <c r="N421" s="30"/>
      <c r="O421" s="30"/>
    </row>
    <row r="422" spans="13:15" x14ac:dyDescent="0.2">
      <c r="M422" s="30"/>
      <c r="N422" s="30"/>
      <c r="O422" s="30"/>
    </row>
    <row r="423" spans="13:15" x14ac:dyDescent="0.2">
      <c r="M423" s="30"/>
      <c r="N423" s="30"/>
      <c r="O423" s="30"/>
    </row>
    <row r="424" spans="13:15" x14ac:dyDescent="0.2">
      <c r="M424" s="30"/>
      <c r="N424" s="30"/>
      <c r="O424" s="30"/>
    </row>
    <row r="425" spans="13:15" x14ac:dyDescent="0.2">
      <c r="M425" s="30"/>
      <c r="N425" s="30"/>
      <c r="O425" s="30"/>
    </row>
    <row r="426" spans="13:15" x14ac:dyDescent="0.2">
      <c r="M426" s="30"/>
      <c r="N426" s="30"/>
      <c r="O426" s="30"/>
    </row>
    <row r="427" spans="13:15" x14ac:dyDescent="0.2">
      <c r="M427" s="30"/>
      <c r="N427" s="30"/>
      <c r="O427" s="30"/>
    </row>
    <row r="428" spans="13:15" x14ac:dyDescent="0.2">
      <c r="M428" s="30"/>
      <c r="N428" s="30"/>
      <c r="O428" s="30"/>
    </row>
    <row r="429" spans="13:15" x14ac:dyDescent="0.2">
      <c r="M429" s="30"/>
      <c r="N429" s="30"/>
      <c r="O429" s="30"/>
    </row>
    <row r="430" spans="13:15" x14ac:dyDescent="0.2">
      <c r="M430" s="30"/>
      <c r="N430" s="30"/>
      <c r="O430" s="30"/>
    </row>
    <row r="431" spans="13:15" x14ac:dyDescent="0.2">
      <c r="M431" s="30"/>
      <c r="N431" s="30"/>
      <c r="O431" s="30"/>
    </row>
    <row r="432" spans="13:15" x14ac:dyDescent="0.2">
      <c r="M432" s="30"/>
      <c r="N432" s="30"/>
      <c r="O432" s="30"/>
    </row>
    <row r="433" spans="13:15" x14ac:dyDescent="0.2">
      <c r="M433" s="30"/>
      <c r="N433" s="30"/>
      <c r="O433" s="30"/>
    </row>
    <row r="434" spans="13:15" x14ac:dyDescent="0.2">
      <c r="M434" s="30"/>
      <c r="N434" s="30"/>
      <c r="O434" s="30"/>
    </row>
    <row r="435" spans="13:15" x14ac:dyDescent="0.2">
      <c r="M435" s="30"/>
      <c r="N435" s="30"/>
      <c r="O435" s="30"/>
    </row>
    <row r="436" spans="13:15" x14ac:dyDescent="0.2">
      <c r="M436" s="30"/>
      <c r="N436" s="30"/>
      <c r="O436" s="30"/>
    </row>
    <row r="437" spans="13:15" x14ac:dyDescent="0.2">
      <c r="M437" s="30"/>
      <c r="N437" s="30"/>
      <c r="O437" s="30"/>
    </row>
    <row r="438" spans="13:15" x14ac:dyDescent="0.2">
      <c r="M438" s="30"/>
      <c r="N438" s="30"/>
      <c r="O438" s="30"/>
    </row>
    <row r="439" spans="13:15" x14ac:dyDescent="0.2">
      <c r="M439" s="30"/>
      <c r="N439" s="30"/>
      <c r="O439" s="30"/>
    </row>
    <row r="440" spans="13:15" x14ac:dyDescent="0.2">
      <c r="M440" s="30"/>
      <c r="N440" s="30"/>
      <c r="O440" s="30"/>
    </row>
    <row r="441" spans="13:15" x14ac:dyDescent="0.2">
      <c r="M441" s="30"/>
      <c r="N441" s="30"/>
      <c r="O441" s="30"/>
    </row>
    <row r="442" spans="13:15" x14ac:dyDescent="0.2">
      <c r="M442" s="30"/>
      <c r="N442" s="30"/>
      <c r="O442" s="30"/>
    </row>
    <row r="443" spans="13:15" x14ac:dyDescent="0.2">
      <c r="M443" s="30"/>
      <c r="N443" s="30"/>
      <c r="O443" s="30"/>
    </row>
    <row r="444" spans="13:15" x14ac:dyDescent="0.2">
      <c r="M444" s="30"/>
      <c r="N444" s="30"/>
      <c r="O444" s="30"/>
    </row>
    <row r="445" spans="13:15" x14ac:dyDescent="0.2">
      <c r="M445" s="30"/>
      <c r="N445" s="30"/>
      <c r="O445" s="30"/>
    </row>
    <row r="446" spans="13:15" x14ac:dyDescent="0.2">
      <c r="M446" s="30"/>
      <c r="N446" s="30"/>
      <c r="O446" s="30"/>
    </row>
    <row r="447" spans="13:15" x14ac:dyDescent="0.2">
      <c r="M447" s="30"/>
      <c r="N447" s="30"/>
      <c r="O447" s="30"/>
    </row>
    <row r="448" spans="13:15" x14ac:dyDescent="0.2">
      <c r="M448" s="30"/>
      <c r="N448" s="30"/>
      <c r="O448" s="30"/>
    </row>
    <row r="449" spans="13:15" x14ac:dyDescent="0.2">
      <c r="M449" s="30"/>
      <c r="N449" s="30"/>
      <c r="O449" s="30"/>
    </row>
    <row r="450" spans="13:15" x14ac:dyDescent="0.2">
      <c r="M450" s="30"/>
      <c r="N450" s="30"/>
      <c r="O450" s="30"/>
    </row>
    <row r="451" spans="13:15" x14ac:dyDescent="0.2">
      <c r="M451" s="30"/>
      <c r="N451" s="30"/>
      <c r="O451" s="30"/>
    </row>
    <row r="452" spans="13:15" x14ac:dyDescent="0.2">
      <c r="M452" s="30"/>
      <c r="N452" s="30"/>
      <c r="O452" s="30"/>
    </row>
    <row r="453" spans="13:15" x14ac:dyDescent="0.2">
      <c r="M453" s="30"/>
      <c r="N453" s="30"/>
      <c r="O453" s="30"/>
    </row>
    <row r="454" spans="13:15" x14ac:dyDescent="0.2">
      <c r="M454" s="30"/>
      <c r="N454" s="30"/>
      <c r="O454" s="30"/>
    </row>
    <row r="455" spans="13:15" x14ac:dyDescent="0.2">
      <c r="M455" s="30"/>
      <c r="N455" s="30"/>
      <c r="O455" s="30"/>
    </row>
    <row r="456" spans="13:15" x14ac:dyDescent="0.2">
      <c r="M456" s="30"/>
      <c r="N456" s="30"/>
      <c r="O456" s="30"/>
    </row>
    <row r="457" spans="13:15" x14ac:dyDescent="0.2">
      <c r="M457" s="30"/>
      <c r="N457" s="30"/>
      <c r="O457" s="30"/>
    </row>
    <row r="458" spans="13:15" x14ac:dyDescent="0.2">
      <c r="M458" s="30"/>
      <c r="N458" s="30"/>
      <c r="O458" s="30"/>
    </row>
    <row r="459" spans="13:15" x14ac:dyDescent="0.2">
      <c r="M459" s="30"/>
      <c r="N459" s="30"/>
      <c r="O459" s="30"/>
    </row>
    <row r="460" spans="13:15" x14ac:dyDescent="0.2">
      <c r="M460" s="30"/>
      <c r="N460" s="30"/>
      <c r="O460" s="30"/>
    </row>
    <row r="461" spans="13:15" x14ac:dyDescent="0.2">
      <c r="M461" s="30"/>
      <c r="N461" s="30"/>
      <c r="O461" s="30"/>
    </row>
    <row r="462" spans="13:15" x14ac:dyDescent="0.2">
      <c r="M462" s="30"/>
      <c r="N462" s="30"/>
      <c r="O462" s="30"/>
    </row>
    <row r="463" spans="13:15" x14ac:dyDescent="0.2">
      <c r="M463" s="30"/>
      <c r="N463" s="30"/>
      <c r="O463" s="30"/>
    </row>
  </sheetData>
  <mergeCells count="21">
    <mergeCell ref="F4:F5"/>
    <mergeCell ref="A4:A5"/>
    <mergeCell ref="B4:B5"/>
    <mergeCell ref="C4:C5"/>
    <mergeCell ref="D4:D5"/>
    <mergeCell ref="E4:E5"/>
    <mergeCell ref="G4:G5"/>
    <mergeCell ref="H4:H5"/>
    <mergeCell ref="O4:O5"/>
    <mergeCell ref="I4:I5"/>
    <mergeCell ref="P4:P5"/>
    <mergeCell ref="J4:J5"/>
    <mergeCell ref="K4:K5"/>
    <mergeCell ref="L4:L5"/>
    <mergeCell ref="M4:M5"/>
    <mergeCell ref="N4:N5"/>
    <mergeCell ref="Q4:Q5"/>
    <mergeCell ref="R4:R5"/>
    <mergeCell ref="S4:S5"/>
    <mergeCell ref="T4:T5"/>
    <mergeCell ref="U4:U5"/>
  </mergeCells>
  <pageMargins left="0.7" right="0.7" top="0.75" bottom="0.75" header="0.3" footer="0.3"/>
  <pageSetup paperSize="9" scale="31"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Y463"/>
  <sheetViews>
    <sheetView zoomScale="50" zoomScaleNormal="50" zoomScaleSheetLayoutView="100" workbookViewId="0">
      <pane ySplit="6" topLeftCell="A7" activePane="bottomLeft" state="frozen"/>
      <selection pane="bottomLeft" activeCell="F7" sqref="F7"/>
    </sheetView>
  </sheetViews>
  <sheetFormatPr defaultColWidth="8.85546875" defaultRowHeight="12.75" x14ac:dyDescent="0.2"/>
  <cols>
    <col min="1" max="1" width="8.85546875" style="3"/>
    <col min="2" max="2" width="15.28515625" style="71" customWidth="1"/>
    <col min="3" max="3" width="9.140625" style="72" customWidth="1"/>
    <col min="4" max="4" width="18.5703125" style="3" customWidth="1"/>
    <col min="5" max="5" width="17.5703125" style="3" customWidth="1"/>
    <col min="6" max="6" width="13.85546875" style="3" customWidth="1"/>
    <col min="7" max="7" width="29.140625" style="29" customWidth="1"/>
    <col min="8" max="8" width="19.42578125" style="29" customWidth="1"/>
    <col min="9" max="9" width="12.28515625" style="29" customWidth="1"/>
    <col min="10" max="10" width="66.5703125" style="29" hidden="1" customWidth="1"/>
    <col min="11" max="11" width="19.7109375" style="29" hidden="1" customWidth="1"/>
    <col min="12" max="12" width="28.42578125" style="48" hidden="1" customWidth="1"/>
    <col min="13" max="13" width="29.5703125" style="48" hidden="1" customWidth="1"/>
    <col min="14" max="14" width="33.85546875" style="48" hidden="1" customWidth="1"/>
    <col min="15" max="15" width="24.7109375" style="48" hidden="1" customWidth="1"/>
    <col min="16" max="16" width="13.42578125" style="48" customWidth="1"/>
    <col min="17" max="21" width="14.5703125" style="48" customWidth="1"/>
    <col min="22" max="22" width="18.85546875" style="48" customWidth="1"/>
    <col min="23" max="23" width="24.42578125" style="48" customWidth="1"/>
    <col min="24" max="24" width="20.85546875" style="1" customWidth="1"/>
    <col min="25" max="25" width="52.7109375" style="1" customWidth="1"/>
    <col min="26" max="16384" width="8.85546875" style="1"/>
  </cols>
  <sheetData>
    <row r="1" spans="1:25" ht="16.7" customHeight="1" thickBot="1" x14ac:dyDescent="0.25">
      <c r="A1" s="36" t="s">
        <v>236</v>
      </c>
      <c r="B1" s="39"/>
      <c r="C1" s="48"/>
      <c r="D1" s="48"/>
      <c r="E1" s="48"/>
      <c r="F1" s="48"/>
      <c r="G1" s="48"/>
      <c r="H1" s="48"/>
      <c r="I1" s="48"/>
      <c r="J1" s="48"/>
      <c r="K1" s="48"/>
    </row>
    <row r="2" spans="1:25" s="37" customFormat="1" ht="15.75" x14ac:dyDescent="0.25">
      <c r="A2" s="85"/>
      <c r="B2" s="85"/>
      <c r="C2" s="85"/>
      <c r="D2" s="85"/>
      <c r="E2" s="85"/>
      <c r="F2" s="85"/>
      <c r="G2" s="85"/>
      <c r="H2" s="85"/>
      <c r="I2" s="85"/>
      <c r="J2" s="85"/>
      <c r="K2" s="85"/>
      <c r="L2" s="85"/>
      <c r="M2" s="85"/>
      <c r="N2" s="85"/>
      <c r="O2" s="85"/>
      <c r="P2" s="85"/>
      <c r="Q2" s="85"/>
      <c r="R2" s="85"/>
      <c r="S2" s="85"/>
      <c r="T2" s="85"/>
      <c r="U2" s="85"/>
      <c r="V2" s="87" t="s">
        <v>56</v>
      </c>
      <c r="W2" s="98" t="s">
        <v>50</v>
      </c>
    </row>
    <row r="3" spans="1:25" ht="24" customHeight="1" thickBot="1" x14ac:dyDescent="0.3">
      <c r="A3" s="86"/>
      <c r="B3" s="86"/>
      <c r="C3" s="86"/>
      <c r="D3" s="86"/>
      <c r="E3" s="86"/>
      <c r="F3" s="86"/>
      <c r="G3" s="86"/>
      <c r="H3" s="86"/>
      <c r="I3" s="86"/>
      <c r="J3" s="86"/>
      <c r="K3" s="86"/>
      <c r="L3" s="86"/>
      <c r="M3" s="86"/>
      <c r="N3" s="86"/>
      <c r="O3" s="86"/>
      <c r="P3" s="86"/>
      <c r="Q3" s="86"/>
      <c r="R3" s="86"/>
      <c r="S3" s="86"/>
      <c r="T3" s="86"/>
      <c r="U3" s="86"/>
      <c r="V3" s="89" t="s">
        <v>55</v>
      </c>
      <c r="W3" s="160">
        <v>2019</v>
      </c>
    </row>
    <row r="4" spans="1:25" ht="24" customHeight="1" thickBot="1" x14ac:dyDescent="0.3">
      <c r="A4" s="86"/>
      <c r="B4" s="86"/>
      <c r="C4" s="86"/>
      <c r="D4" s="86"/>
      <c r="E4" s="86"/>
      <c r="F4" s="86"/>
      <c r="G4" s="86"/>
      <c r="H4" s="86"/>
      <c r="I4" s="86"/>
      <c r="J4" s="86"/>
      <c r="K4" s="86"/>
      <c r="L4" s="86"/>
      <c r="M4" s="86"/>
      <c r="N4" s="147"/>
      <c r="O4" s="86"/>
      <c r="P4" s="737" t="s">
        <v>248</v>
      </c>
      <c r="Q4" s="738"/>
      <c r="R4" s="738"/>
      <c r="S4" s="738"/>
      <c r="T4" s="739"/>
      <c r="U4" s="160"/>
      <c r="V4" s="160"/>
      <c r="W4" s="160"/>
    </row>
    <row r="5" spans="1:25" ht="13.5" thickBot="1" x14ac:dyDescent="0.25">
      <c r="A5" s="740" t="s">
        <v>0</v>
      </c>
      <c r="B5" s="742" t="s">
        <v>168</v>
      </c>
      <c r="C5" s="741" t="s">
        <v>1</v>
      </c>
      <c r="D5" s="741" t="s">
        <v>5</v>
      </c>
      <c r="E5" s="746" t="s">
        <v>169</v>
      </c>
      <c r="F5" s="748" t="s">
        <v>170</v>
      </c>
      <c r="G5" s="750" t="s">
        <v>171</v>
      </c>
      <c r="H5" s="748" t="s">
        <v>172</v>
      </c>
      <c r="I5" s="748" t="s">
        <v>173</v>
      </c>
      <c r="J5" s="748" t="s">
        <v>4</v>
      </c>
      <c r="K5" s="751" t="s">
        <v>263</v>
      </c>
      <c r="L5" s="751" t="s">
        <v>264</v>
      </c>
      <c r="M5" s="751" t="s">
        <v>249</v>
      </c>
      <c r="N5" s="751" t="s">
        <v>250</v>
      </c>
      <c r="O5" s="753" t="s">
        <v>265</v>
      </c>
      <c r="P5" s="753" t="s">
        <v>251</v>
      </c>
      <c r="Q5" s="753" t="s">
        <v>252</v>
      </c>
      <c r="R5" s="753" t="s">
        <v>253</v>
      </c>
      <c r="S5" s="753" t="s">
        <v>254</v>
      </c>
      <c r="T5" s="753" t="s">
        <v>255</v>
      </c>
      <c r="U5" s="755" t="s">
        <v>175</v>
      </c>
      <c r="V5" s="755" t="s">
        <v>176</v>
      </c>
      <c r="W5" s="755" t="s">
        <v>154</v>
      </c>
    </row>
    <row r="6" spans="1:25" ht="61.5" customHeight="1" thickBot="1" x14ac:dyDescent="0.25">
      <c r="A6" s="741"/>
      <c r="B6" s="743"/>
      <c r="C6" s="744"/>
      <c r="D6" s="745"/>
      <c r="E6" s="747"/>
      <c r="F6" s="749"/>
      <c r="G6" s="742"/>
      <c r="H6" s="749"/>
      <c r="I6" s="749"/>
      <c r="J6" s="749"/>
      <c r="K6" s="752"/>
      <c r="L6" s="752"/>
      <c r="M6" s="752"/>
      <c r="N6" s="752"/>
      <c r="O6" s="754"/>
      <c r="P6" s="754"/>
      <c r="Q6" s="754"/>
      <c r="R6" s="754"/>
      <c r="S6" s="754"/>
      <c r="T6" s="754"/>
      <c r="U6" s="756"/>
      <c r="V6" s="756"/>
      <c r="W6" s="756"/>
    </row>
    <row r="7" spans="1:25" s="38" customFormat="1" ht="102" x14ac:dyDescent="0.2">
      <c r="A7" s="265" t="s">
        <v>724</v>
      </c>
      <c r="B7" s="265" t="s">
        <v>50</v>
      </c>
      <c r="C7" s="265" t="s">
        <v>725</v>
      </c>
      <c r="D7" s="265" t="s">
        <v>74</v>
      </c>
      <c r="E7" s="265" t="s">
        <v>726</v>
      </c>
      <c r="F7" s="265" t="s">
        <v>727</v>
      </c>
      <c r="G7" s="266" t="s">
        <v>728</v>
      </c>
      <c r="H7" s="265" t="s">
        <v>729</v>
      </c>
      <c r="I7" s="265" t="s">
        <v>562</v>
      </c>
      <c r="J7" s="266" t="s">
        <v>730</v>
      </c>
      <c r="K7" s="546">
        <v>20407</v>
      </c>
      <c r="L7" s="547">
        <v>274</v>
      </c>
      <c r="M7" s="547">
        <v>274</v>
      </c>
      <c r="N7" s="524" t="s">
        <v>6</v>
      </c>
      <c r="O7" s="524" t="s">
        <v>77</v>
      </c>
      <c r="P7" s="524" t="s">
        <v>6</v>
      </c>
      <c r="Q7" s="524" t="s">
        <v>6</v>
      </c>
      <c r="R7" s="524" t="s">
        <v>77</v>
      </c>
      <c r="S7" s="524" t="s">
        <v>77</v>
      </c>
      <c r="T7" s="524" t="s">
        <v>77</v>
      </c>
      <c r="U7" s="524" t="s">
        <v>6</v>
      </c>
      <c r="V7" s="524" t="s">
        <v>6</v>
      </c>
      <c r="W7" s="524" t="s">
        <v>1779</v>
      </c>
    </row>
    <row r="8" spans="1:25" s="38" customFormat="1" ht="102" x14ac:dyDescent="0.2">
      <c r="A8" s="265" t="s">
        <v>724</v>
      </c>
      <c r="B8" s="265" t="s">
        <v>50</v>
      </c>
      <c r="C8" s="265" t="s">
        <v>725</v>
      </c>
      <c r="D8" s="265" t="s">
        <v>74</v>
      </c>
      <c r="E8" s="265" t="s">
        <v>726</v>
      </c>
      <c r="F8" s="265" t="s">
        <v>731</v>
      </c>
      <c r="G8" s="266" t="s">
        <v>728</v>
      </c>
      <c r="H8" s="265" t="s">
        <v>732</v>
      </c>
      <c r="I8" s="265" t="s">
        <v>562</v>
      </c>
      <c r="J8" s="266" t="s">
        <v>730</v>
      </c>
      <c r="K8" s="546">
        <v>20407</v>
      </c>
      <c r="L8" s="547">
        <v>274</v>
      </c>
      <c r="M8" s="547">
        <v>274</v>
      </c>
      <c r="N8" s="524" t="s">
        <v>6</v>
      </c>
      <c r="O8" s="524" t="s">
        <v>77</v>
      </c>
      <c r="P8" s="524" t="s">
        <v>6</v>
      </c>
      <c r="Q8" s="524" t="s">
        <v>6</v>
      </c>
      <c r="R8" s="524" t="s">
        <v>77</v>
      </c>
      <c r="S8" s="524" t="s">
        <v>77</v>
      </c>
      <c r="T8" s="524" t="s">
        <v>77</v>
      </c>
      <c r="U8" s="524" t="s">
        <v>6</v>
      </c>
      <c r="V8" s="524" t="s">
        <v>6</v>
      </c>
      <c r="W8" s="524" t="s">
        <v>1779</v>
      </c>
    </row>
    <row r="9" spans="1:25" s="38" customFormat="1" ht="102" x14ac:dyDescent="0.2">
      <c r="A9" s="265" t="s">
        <v>724</v>
      </c>
      <c r="B9" s="265" t="s">
        <v>50</v>
      </c>
      <c r="C9" s="265" t="s">
        <v>725</v>
      </c>
      <c r="D9" s="265" t="s">
        <v>74</v>
      </c>
      <c r="E9" s="265" t="s">
        <v>726</v>
      </c>
      <c r="F9" s="265" t="s">
        <v>731</v>
      </c>
      <c r="G9" s="266" t="s">
        <v>728</v>
      </c>
      <c r="H9" s="265" t="s">
        <v>733</v>
      </c>
      <c r="I9" s="265" t="s">
        <v>562</v>
      </c>
      <c r="J9" s="266" t="s">
        <v>730</v>
      </c>
      <c r="K9" s="546">
        <v>20407</v>
      </c>
      <c r="L9" s="547">
        <v>274</v>
      </c>
      <c r="M9" s="547">
        <v>274</v>
      </c>
      <c r="N9" s="524" t="s">
        <v>6</v>
      </c>
      <c r="O9" s="524" t="s">
        <v>77</v>
      </c>
      <c r="P9" s="524" t="s">
        <v>6</v>
      </c>
      <c r="Q9" s="524" t="s">
        <v>6</v>
      </c>
      <c r="R9" s="524" t="s">
        <v>77</v>
      </c>
      <c r="S9" s="524" t="s">
        <v>77</v>
      </c>
      <c r="T9" s="524" t="s">
        <v>77</v>
      </c>
      <c r="U9" s="524" t="s">
        <v>6</v>
      </c>
      <c r="V9" s="524" t="s">
        <v>6</v>
      </c>
      <c r="W9" s="524" t="s">
        <v>1779</v>
      </c>
    </row>
    <row r="10" spans="1:25" s="38" customFormat="1" ht="102" x14ac:dyDescent="0.2">
      <c r="A10" s="265" t="s">
        <v>724</v>
      </c>
      <c r="B10" s="265" t="s">
        <v>50</v>
      </c>
      <c r="C10" s="265" t="s">
        <v>725</v>
      </c>
      <c r="D10" s="265" t="s">
        <v>74</v>
      </c>
      <c r="E10" s="265" t="s">
        <v>726</v>
      </c>
      <c r="F10" s="265" t="s">
        <v>731</v>
      </c>
      <c r="G10" s="266" t="s">
        <v>728</v>
      </c>
      <c r="H10" s="265" t="s">
        <v>734</v>
      </c>
      <c r="I10" s="265" t="s">
        <v>562</v>
      </c>
      <c r="J10" s="266" t="s">
        <v>730</v>
      </c>
      <c r="K10" s="546">
        <v>20407</v>
      </c>
      <c r="L10" s="547">
        <v>274</v>
      </c>
      <c r="M10" s="547">
        <v>274</v>
      </c>
      <c r="N10" s="524" t="s">
        <v>6</v>
      </c>
      <c r="O10" s="524" t="s">
        <v>77</v>
      </c>
      <c r="P10" s="524" t="s">
        <v>6</v>
      </c>
      <c r="Q10" s="524" t="s">
        <v>6</v>
      </c>
      <c r="R10" s="524" t="s">
        <v>77</v>
      </c>
      <c r="S10" s="524" t="s">
        <v>77</v>
      </c>
      <c r="T10" s="524" t="s">
        <v>77</v>
      </c>
      <c r="U10" s="524" t="s">
        <v>6</v>
      </c>
      <c r="V10" s="524" t="s">
        <v>6</v>
      </c>
      <c r="W10" s="524" t="s">
        <v>1779</v>
      </c>
    </row>
    <row r="11" spans="1:25" s="5" customFormat="1" ht="102" x14ac:dyDescent="0.2">
      <c r="A11" s="265" t="s">
        <v>724</v>
      </c>
      <c r="B11" s="265" t="s">
        <v>50</v>
      </c>
      <c r="C11" s="265" t="s">
        <v>725</v>
      </c>
      <c r="D11" s="265" t="s">
        <v>74</v>
      </c>
      <c r="E11" s="265" t="s">
        <v>726</v>
      </c>
      <c r="F11" s="265" t="s">
        <v>731</v>
      </c>
      <c r="G11" s="266" t="s">
        <v>735</v>
      </c>
      <c r="H11" s="265" t="s">
        <v>736</v>
      </c>
      <c r="I11" s="265" t="s">
        <v>562</v>
      </c>
      <c r="J11" s="266" t="s">
        <v>730</v>
      </c>
      <c r="K11" s="546">
        <v>20407</v>
      </c>
      <c r="L11" s="547">
        <v>274</v>
      </c>
      <c r="M11" s="547">
        <v>274</v>
      </c>
      <c r="N11" s="525" t="s">
        <v>6</v>
      </c>
      <c r="O11" s="525" t="s">
        <v>77</v>
      </c>
      <c r="P11" s="525" t="s">
        <v>6</v>
      </c>
      <c r="Q11" s="525" t="s">
        <v>6</v>
      </c>
      <c r="R11" s="525" t="s">
        <v>77</v>
      </c>
      <c r="S11" s="525" t="s">
        <v>77</v>
      </c>
      <c r="T11" s="525" t="s">
        <v>77</v>
      </c>
      <c r="U11" s="525" t="s">
        <v>6</v>
      </c>
      <c r="V11" s="525" t="s">
        <v>6</v>
      </c>
      <c r="W11" s="525" t="s">
        <v>1874</v>
      </c>
      <c r="X11" s="3"/>
      <c r="Y11" s="3"/>
    </row>
    <row r="12" spans="1:25" ht="102" x14ac:dyDescent="0.2">
      <c r="A12" s="265" t="s">
        <v>724</v>
      </c>
      <c r="B12" s="265" t="s">
        <v>50</v>
      </c>
      <c r="C12" s="265" t="s">
        <v>725</v>
      </c>
      <c r="D12" s="265" t="s">
        <v>74</v>
      </c>
      <c r="E12" s="265" t="s">
        <v>726</v>
      </c>
      <c r="F12" s="265" t="s">
        <v>731</v>
      </c>
      <c r="G12" s="266" t="s">
        <v>728</v>
      </c>
      <c r="H12" s="265" t="s">
        <v>737</v>
      </c>
      <c r="I12" s="265" t="s">
        <v>562</v>
      </c>
      <c r="J12" s="266" t="s">
        <v>730</v>
      </c>
      <c r="K12" s="546">
        <v>20407</v>
      </c>
      <c r="L12" s="547">
        <v>274</v>
      </c>
      <c r="M12" s="547">
        <v>274</v>
      </c>
      <c r="N12" s="524" t="s">
        <v>6</v>
      </c>
      <c r="O12" s="524" t="s">
        <v>77</v>
      </c>
      <c r="P12" s="524" t="s">
        <v>6</v>
      </c>
      <c r="Q12" s="524" t="s">
        <v>6</v>
      </c>
      <c r="R12" s="524" t="s">
        <v>77</v>
      </c>
      <c r="S12" s="524" t="s">
        <v>77</v>
      </c>
      <c r="T12" s="524" t="s">
        <v>77</v>
      </c>
      <c r="U12" s="524" t="s">
        <v>6</v>
      </c>
      <c r="V12" s="524" t="s">
        <v>6</v>
      </c>
      <c r="W12" s="524" t="s">
        <v>1780</v>
      </c>
      <c r="X12" s="3"/>
      <c r="Y12" s="3"/>
    </row>
    <row r="13" spans="1:25" ht="63.75" x14ac:dyDescent="0.2">
      <c r="A13" s="265" t="s">
        <v>724</v>
      </c>
      <c r="B13" s="265" t="s">
        <v>50</v>
      </c>
      <c r="C13" s="265" t="s">
        <v>725</v>
      </c>
      <c r="D13" s="265" t="s">
        <v>74</v>
      </c>
      <c r="E13" s="265" t="s">
        <v>726</v>
      </c>
      <c r="F13" s="265" t="s">
        <v>738</v>
      </c>
      <c r="G13" s="265" t="s">
        <v>739</v>
      </c>
      <c r="H13" s="265" t="s">
        <v>740</v>
      </c>
      <c r="I13" s="265" t="s">
        <v>741</v>
      </c>
      <c r="J13" s="265" t="s">
        <v>742</v>
      </c>
      <c r="K13" s="548">
        <v>990</v>
      </c>
      <c r="L13" s="548">
        <v>13</v>
      </c>
      <c r="M13" s="548">
        <v>13</v>
      </c>
      <c r="N13" s="525" t="s">
        <v>6</v>
      </c>
      <c r="O13" s="525" t="s">
        <v>77</v>
      </c>
      <c r="P13" s="525" t="s">
        <v>77</v>
      </c>
      <c r="Q13" s="525" t="s">
        <v>77</v>
      </c>
      <c r="R13" s="525" t="s">
        <v>77</v>
      </c>
      <c r="S13" s="525" t="s">
        <v>77</v>
      </c>
      <c r="T13" s="525" t="s">
        <v>77</v>
      </c>
      <c r="U13" s="525" t="s">
        <v>6</v>
      </c>
      <c r="V13" s="525" t="s">
        <v>6</v>
      </c>
      <c r="W13" s="525" t="s">
        <v>1779</v>
      </c>
      <c r="X13" s="3"/>
      <c r="Y13" s="3"/>
    </row>
    <row r="14" spans="1:25" ht="63.75" x14ac:dyDescent="0.2">
      <c r="A14" s="265" t="s">
        <v>724</v>
      </c>
      <c r="B14" s="265" t="s">
        <v>50</v>
      </c>
      <c r="C14" s="265" t="s">
        <v>725</v>
      </c>
      <c r="D14" s="265" t="s">
        <v>74</v>
      </c>
      <c r="E14" s="265" t="s">
        <v>726</v>
      </c>
      <c r="F14" s="265" t="s">
        <v>738</v>
      </c>
      <c r="G14" s="265" t="s">
        <v>743</v>
      </c>
      <c r="H14" s="265" t="s">
        <v>733</v>
      </c>
      <c r="I14" s="265" t="s">
        <v>562</v>
      </c>
      <c r="J14" s="265" t="s">
        <v>744</v>
      </c>
      <c r="K14" s="548">
        <v>831</v>
      </c>
      <c r="L14" s="548">
        <v>4</v>
      </c>
      <c r="M14" s="548">
        <v>4</v>
      </c>
      <c r="N14" s="525" t="s">
        <v>6</v>
      </c>
      <c r="O14" s="525" t="s">
        <v>77</v>
      </c>
      <c r="P14" s="525" t="s">
        <v>6</v>
      </c>
      <c r="Q14" s="525" t="s">
        <v>6</v>
      </c>
      <c r="R14" s="525" t="s">
        <v>77</v>
      </c>
      <c r="S14" s="525" t="s">
        <v>77</v>
      </c>
      <c r="T14" s="525" t="s">
        <v>77</v>
      </c>
      <c r="U14" s="525" t="s">
        <v>6</v>
      </c>
      <c r="V14" s="525" t="s">
        <v>6</v>
      </c>
      <c r="W14" s="525" t="s">
        <v>1779</v>
      </c>
      <c r="X14" s="3"/>
      <c r="Y14" s="3"/>
    </row>
    <row r="15" spans="1:25" ht="63.75" x14ac:dyDescent="0.2">
      <c r="A15" s="265" t="s">
        <v>724</v>
      </c>
      <c r="B15" s="265" t="s">
        <v>50</v>
      </c>
      <c r="C15" s="265" t="s">
        <v>725</v>
      </c>
      <c r="D15" s="265" t="s">
        <v>74</v>
      </c>
      <c r="E15" s="265" t="s">
        <v>726</v>
      </c>
      <c r="F15" s="265" t="s">
        <v>738</v>
      </c>
      <c r="G15" s="265" t="s">
        <v>743</v>
      </c>
      <c r="H15" s="265" t="s">
        <v>745</v>
      </c>
      <c r="I15" s="265" t="s">
        <v>562</v>
      </c>
      <c r="J15" s="265" t="s">
        <v>744</v>
      </c>
      <c r="K15" s="548">
        <v>831</v>
      </c>
      <c r="L15" s="548">
        <v>4</v>
      </c>
      <c r="M15" s="548">
        <v>4</v>
      </c>
      <c r="N15" s="525" t="s">
        <v>6</v>
      </c>
      <c r="O15" s="525" t="s">
        <v>77</v>
      </c>
      <c r="P15" s="525" t="s">
        <v>6</v>
      </c>
      <c r="Q15" s="525" t="s">
        <v>6</v>
      </c>
      <c r="R15" s="525" t="s">
        <v>77</v>
      </c>
      <c r="S15" s="525" t="s">
        <v>77</v>
      </c>
      <c r="T15" s="525" t="s">
        <v>77</v>
      </c>
      <c r="U15" s="525" t="s">
        <v>6</v>
      </c>
      <c r="V15" s="525" t="s">
        <v>6</v>
      </c>
      <c r="W15" s="525" t="s">
        <v>1779</v>
      </c>
      <c r="X15" s="3"/>
      <c r="Y15" s="3"/>
    </row>
    <row r="16" spans="1:25" ht="63.75" x14ac:dyDescent="0.2">
      <c r="A16" s="265" t="s">
        <v>724</v>
      </c>
      <c r="B16" s="265" t="s">
        <v>50</v>
      </c>
      <c r="C16" s="265" t="s">
        <v>746</v>
      </c>
      <c r="D16" s="265" t="s">
        <v>74</v>
      </c>
      <c r="E16" s="265" t="s">
        <v>726</v>
      </c>
      <c r="F16" s="265" t="s">
        <v>747</v>
      </c>
      <c r="G16" s="265" t="s">
        <v>748</v>
      </c>
      <c r="H16" s="265" t="s">
        <v>729</v>
      </c>
      <c r="I16" s="265" t="s">
        <v>562</v>
      </c>
      <c r="J16" s="266" t="s">
        <v>730</v>
      </c>
      <c r="K16" s="548">
        <v>9</v>
      </c>
      <c r="L16" s="548">
        <v>0</v>
      </c>
      <c r="M16" s="548">
        <v>0</v>
      </c>
      <c r="N16" s="525" t="s">
        <v>6</v>
      </c>
      <c r="O16" s="525" t="s">
        <v>77</v>
      </c>
      <c r="P16" s="525" t="s">
        <v>77</v>
      </c>
      <c r="Q16" s="525" t="s">
        <v>77</v>
      </c>
      <c r="R16" s="525" t="s">
        <v>77</v>
      </c>
      <c r="S16" s="525" t="s">
        <v>77</v>
      </c>
      <c r="T16" s="525" t="s">
        <v>77</v>
      </c>
      <c r="U16" s="525" t="s">
        <v>6</v>
      </c>
      <c r="V16" s="525" t="s">
        <v>6</v>
      </c>
      <c r="W16" s="525" t="s">
        <v>1779</v>
      </c>
      <c r="X16" s="3"/>
      <c r="Y16" s="3"/>
    </row>
    <row r="17" spans="1:25" ht="63.75" x14ac:dyDescent="0.2">
      <c r="A17" s="265" t="s">
        <v>724</v>
      </c>
      <c r="B17" s="265" t="s">
        <v>50</v>
      </c>
      <c r="C17" s="265" t="s">
        <v>746</v>
      </c>
      <c r="D17" s="265" t="s">
        <v>74</v>
      </c>
      <c r="E17" s="265" t="s">
        <v>726</v>
      </c>
      <c r="F17" s="265" t="s">
        <v>747</v>
      </c>
      <c r="G17" s="265" t="s">
        <v>748</v>
      </c>
      <c r="H17" s="265" t="s">
        <v>732</v>
      </c>
      <c r="I17" s="265" t="s">
        <v>562</v>
      </c>
      <c r="J17" s="266" t="s">
        <v>730</v>
      </c>
      <c r="K17" s="548">
        <v>9</v>
      </c>
      <c r="L17" s="548">
        <v>0</v>
      </c>
      <c r="M17" s="548">
        <v>0</v>
      </c>
      <c r="N17" s="525" t="s">
        <v>6</v>
      </c>
      <c r="O17" s="525" t="s">
        <v>77</v>
      </c>
      <c r="P17" s="525" t="s">
        <v>77</v>
      </c>
      <c r="Q17" s="525" t="s">
        <v>77</v>
      </c>
      <c r="R17" s="525" t="s">
        <v>77</v>
      </c>
      <c r="S17" s="525" t="s">
        <v>77</v>
      </c>
      <c r="T17" s="525" t="s">
        <v>77</v>
      </c>
      <c r="U17" s="525" t="s">
        <v>6</v>
      </c>
      <c r="V17" s="525" t="s">
        <v>6</v>
      </c>
      <c r="W17" s="525" t="s">
        <v>1779</v>
      </c>
      <c r="X17" s="3"/>
      <c r="Y17" s="3"/>
    </row>
    <row r="18" spans="1:25" ht="63.75" x14ac:dyDescent="0.2">
      <c r="A18" s="265" t="s">
        <v>724</v>
      </c>
      <c r="B18" s="265" t="s">
        <v>50</v>
      </c>
      <c r="C18" s="265" t="s">
        <v>746</v>
      </c>
      <c r="D18" s="265" t="s">
        <v>74</v>
      </c>
      <c r="E18" s="265" t="s">
        <v>726</v>
      </c>
      <c r="F18" s="265" t="s">
        <v>747</v>
      </c>
      <c r="G18" s="265" t="s">
        <v>748</v>
      </c>
      <c r="H18" s="265" t="s">
        <v>733</v>
      </c>
      <c r="I18" s="265" t="s">
        <v>562</v>
      </c>
      <c r="J18" s="266" t="s">
        <v>749</v>
      </c>
      <c r="K18" s="548">
        <v>9</v>
      </c>
      <c r="L18" s="548">
        <v>0</v>
      </c>
      <c r="M18" s="548">
        <v>0</v>
      </c>
      <c r="N18" s="525" t="s">
        <v>6</v>
      </c>
      <c r="O18" s="525" t="s">
        <v>77</v>
      </c>
      <c r="P18" s="525" t="s">
        <v>77</v>
      </c>
      <c r="Q18" s="525" t="s">
        <v>77</v>
      </c>
      <c r="R18" s="525" t="s">
        <v>77</v>
      </c>
      <c r="S18" s="525" t="s">
        <v>77</v>
      </c>
      <c r="T18" s="525" t="s">
        <v>77</v>
      </c>
      <c r="U18" s="525" t="s">
        <v>6</v>
      </c>
      <c r="V18" s="525" t="s">
        <v>6</v>
      </c>
      <c r="W18" s="525" t="s">
        <v>1779</v>
      </c>
      <c r="X18" s="3"/>
      <c r="Y18" s="3"/>
    </row>
    <row r="19" spans="1:25" ht="63.75" x14ac:dyDescent="0.2">
      <c r="A19" s="265" t="s">
        <v>724</v>
      </c>
      <c r="B19" s="265" t="s">
        <v>50</v>
      </c>
      <c r="C19" s="265" t="s">
        <v>746</v>
      </c>
      <c r="D19" s="265" t="s">
        <v>74</v>
      </c>
      <c r="E19" s="265" t="s">
        <v>726</v>
      </c>
      <c r="F19" s="265" t="s">
        <v>747</v>
      </c>
      <c r="G19" s="265" t="s">
        <v>748</v>
      </c>
      <c r="H19" s="265" t="s">
        <v>734</v>
      </c>
      <c r="I19" s="265" t="s">
        <v>562</v>
      </c>
      <c r="J19" s="266" t="s">
        <v>730</v>
      </c>
      <c r="K19" s="548">
        <v>9</v>
      </c>
      <c r="L19" s="548">
        <v>0</v>
      </c>
      <c r="M19" s="548">
        <v>0</v>
      </c>
      <c r="N19" s="525" t="s">
        <v>6</v>
      </c>
      <c r="O19" s="525" t="s">
        <v>77</v>
      </c>
      <c r="P19" s="525" t="s">
        <v>77</v>
      </c>
      <c r="Q19" s="525" t="s">
        <v>77</v>
      </c>
      <c r="R19" s="525" t="s">
        <v>77</v>
      </c>
      <c r="S19" s="525" t="s">
        <v>77</v>
      </c>
      <c r="T19" s="525" t="s">
        <v>77</v>
      </c>
      <c r="U19" s="525" t="s">
        <v>6</v>
      </c>
      <c r="V19" s="525" t="s">
        <v>6</v>
      </c>
      <c r="W19" s="525" t="s">
        <v>1779</v>
      </c>
      <c r="X19" s="3"/>
      <c r="Y19" s="3"/>
    </row>
    <row r="20" spans="1:25" ht="63.75" x14ac:dyDescent="0.2">
      <c r="A20" s="265" t="s">
        <v>724</v>
      </c>
      <c r="B20" s="265" t="s">
        <v>50</v>
      </c>
      <c r="C20" s="265" t="s">
        <v>746</v>
      </c>
      <c r="D20" s="265" t="s">
        <v>74</v>
      </c>
      <c r="E20" s="265" t="s">
        <v>726</v>
      </c>
      <c r="F20" s="265" t="s">
        <v>747</v>
      </c>
      <c r="G20" s="265" t="s">
        <v>748</v>
      </c>
      <c r="H20" s="265" t="s">
        <v>736</v>
      </c>
      <c r="I20" s="265" t="s">
        <v>562</v>
      </c>
      <c r="J20" s="266" t="s">
        <v>730</v>
      </c>
      <c r="K20" s="548">
        <v>9</v>
      </c>
      <c r="L20" s="548">
        <v>0</v>
      </c>
      <c r="M20" s="548">
        <v>0</v>
      </c>
      <c r="N20" s="525" t="s">
        <v>6</v>
      </c>
      <c r="O20" s="525" t="s">
        <v>77</v>
      </c>
      <c r="P20" s="525" t="s">
        <v>77</v>
      </c>
      <c r="Q20" s="525" t="s">
        <v>77</v>
      </c>
      <c r="R20" s="525" t="s">
        <v>77</v>
      </c>
      <c r="S20" s="525" t="s">
        <v>77</v>
      </c>
      <c r="T20" s="525" t="s">
        <v>77</v>
      </c>
      <c r="U20" s="525" t="s">
        <v>6</v>
      </c>
      <c r="V20" s="525" t="s">
        <v>6</v>
      </c>
      <c r="W20" s="525" t="s">
        <v>1779</v>
      </c>
      <c r="X20" s="3"/>
      <c r="Y20" s="3"/>
    </row>
    <row r="21" spans="1:25" x14ac:dyDescent="0.2">
      <c r="M21" s="29"/>
      <c r="N21" s="29"/>
      <c r="O21" s="29"/>
      <c r="P21" s="29"/>
      <c r="Q21" s="29"/>
      <c r="R21" s="29"/>
      <c r="S21" s="29"/>
      <c r="T21" s="29"/>
      <c r="U21" s="29"/>
    </row>
    <row r="22" spans="1:25" x14ac:dyDescent="0.2">
      <c r="M22" s="29"/>
      <c r="N22" s="29"/>
      <c r="O22" s="29"/>
      <c r="P22" s="29"/>
      <c r="Q22" s="29"/>
      <c r="R22" s="29"/>
      <c r="S22" s="29"/>
      <c r="T22" s="29"/>
      <c r="U22" s="29"/>
    </row>
    <row r="23" spans="1:25" x14ac:dyDescent="0.2">
      <c r="M23" s="29"/>
      <c r="N23" s="29"/>
      <c r="O23" s="29"/>
      <c r="P23" s="29"/>
      <c r="Q23" s="29"/>
      <c r="R23" s="29"/>
      <c r="S23" s="29"/>
      <c r="T23" s="29"/>
      <c r="U23" s="29"/>
    </row>
    <row r="24" spans="1:25" x14ac:dyDescent="0.2">
      <c r="M24" s="29"/>
      <c r="N24" s="29"/>
      <c r="O24" s="29"/>
      <c r="P24" s="29"/>
      <c r="Q24" s="29"/>
      <c r="R24" s="29"/>
      <c r="S24" s="29"/>
      <c r="T24" s="29"/>
      <c r="U24" s="29"/>
    </row>
    <row r="25" spans="1:25" x14ac:dyDescent="0.2">
      <c r="M25" s="29"/>
      <c r="N25" s="29"/>
      <c r="O25" s="29"/>
      <c r="P25" s="29"/>
      <c r="Q25" s="29"/>
      <c r="R25" s="29"/>
      <c r="S25" s="29"/>
      <c r="T25" s="29"/>
      <c r="U25" s="29"/>
    </row>
    <row r="26" spans="1:25" x14ac:dyDescent="0.2">
      <c r="M26" s="29"/>
      <c r="N26" s="29"/>
      <c r="O26" s="29"/>
      <c r="P26" s="29"/>
      <c r="Q26" s="29"/>
      <c r="R26" s="29"/>
      <c r="S26" s="29"/>
      <c r="T26" s="29"/>
      <c r="U26" s="29"/>
    </row>
    <row r="27" spans="1:25" x14ac:dyDescent="0.2">
      <c r="M27" s="29"/>
      <c r="N27" s="29"/>
      <c r="O27" s="29"/>
      <c r="P27" s="29"/>
      <c r="Q27" s="29"/>
      <c r="R27" s="29"/>
      <c r="S27" s="29"/>
      <c r="T27" s="29"/>
      <c r="U27" s="29"/>
    </row>
    <row r="28" spans="1:25" x14ac:dyDescent="0.2">
      <c r="M28" s="29"/>
      <c r="N28" s="29"/>
      <c r="O28" s="29"/>
      <c r="P28" s="29"/>
      <c r="Q28" s="29"/>
      <c r="R28" s="29"/>
      <c r="S28" s="29"/>
      <c r="T28" s="29"/>
      <c r="U28" s="29"/>
    </row>
    <row r="29" spans="1:25" x14ac:dyDescent="0.2">
      <c r="M29" s="29"/>
      <c r="N29" s="29"/>
      <c r="O29" s="29"/>
      <c r="P29" s="29"/>
      <c r="Q29" s="29"/>
      <c r="R29" s="29"/>
      <c r="S29" s="29"/>
      <c r="T29" s="29"/>
      <c r="U29" s="29"/>
    </row>
    <row r="30" spans="1:25" x14ac:dyDescent="0.2">
      <c r="M30" s="29"/>
      <c r="N30" s="29"/>
      <c r="O30" s="29"/>
      <c r="P30" s="29"/>
      <c r="Q30" s="29"/>
      <c r="R30" s="29"/>
      <c r="S30" s="29"/>
      <c r="T30" s="29"/>
      <c r="U30" s="29"/>
    </row>
    <row r="31" spans="1:25" x14ac:dyDescent="0.2">
      <c r="M31" s="29"/>
      <c r="N31" s="29"/>
      <c r="O31" s="29"/>
      <c r="P31" s="29"/>
      <c r="Q31" s="29"/>
    </row>
    <row r="32" spans="1:25" x14ac:dyDescent="0.2">
      <c r="M32" s="29"/>
      <c r="N32" s="29"/>
      <c r="O32" s="29"/>
      <c r="P32" s="29"/>
      <c r="Q32" s="29"/>
    </row>
    <row r="33" spans="13:17" x14ac:dyDescent="0.2">
      <c r="M33" s="29"/>
      <c r="N33" s="29"/>
      <c r="O33" s="29"/>
      <c r="P33" s="29"/>
      <c r="Q33" s="29"/>
    </row>
    <row r="34" spans="13:17" x14ac:dyDescent="0.2">
      <c r="M34" s="29"/>
      <c r="N34" s="29"/>
      <c r="O34" s="29"/>
      <c r="P34" s="29"/>
      <c r="Q34" s="29"/>
    </row>
    <row r="35" spans="13:17" x14ac:dyDescent="0.2">
      <c r="M35" s="29"/>
      <c r="N35" s="29"/>
      <c r="O35" s="29"/>
      <c r="P35" s="29"/>
      <c r="Q35" s="29"/>
    </row>
    <row r="36" spans="13:17" x14ac:dyDescent="0.2">
      <c r="M36" s="29"/>
      <c r="N36" s="29"/>
      <c r="O36" s="29"/>
      <c r="P36" s="29"/>
      <c r="Q36" s="29"/>
    </row>
    <row r="37" spans="13:17" x14ac:dyDescent="0.2">
      <c r="M37" s="29"/>
      <c r="N37" s="29"/>
      <c r="O37" s="29"/>
      <c r="P37" s="29"/>
      <c r="Q37" s="29"/>
    </row>
    <row r="38" spans="13:17" x14ac:dyDescent="0.2">
      <c r="M38" s="29"/>
      <c r="N38" s="29"/>
      <c r="O38" s="29"/>
      <c r="P38" s="29"/>
      <c r="Q38" s="29"/>
    </row>
    <row r="39" spans="13:17" x14ac:dyDescent="0.2">
      <c r="M39" s="29"/>
      <c r="N39" s="29"/>
      <c r="O39" s="29"/>
      <c r="P39" s="29"/>
      <c r="Q39" s="29"/>
    </row>
    <row r="40" spans="13:17" x14ac:dyDescent="0.2">
      <c r="M40" s="29"/>
      <c r="N40" s="29"/>
      <c r="O40" s="29"/>
      <c r="P40" s="29"/>
      <c r="Q40" s="29"/>
    </row>
    <row r="41" spans="13:17" x14ac:dyDescent="0.2">
      <c r="M41" s="29"/>
      <c r="N41" s="29"/>
      <c r="O41" s="29"/>
      <c r="P41" s="29"/>
      <c r="Q41" s="29"/>
    </row>
    <row r="42" spans="13:17" x14ac:dyDescent="0.2">
      <c r="M42" s="29"/>
      <c r="N42" s="29"/>
      <c r="O42" s="29"/>
      <c r="P42" s="29"/>
      <c r="Q42" s="29"/>
    </row>
    <row r="43" spans="13:17" x14ac:dyDescent="0.2">
      <c r="M43" s="29"/>
      <c r="N43" s="29"/>
      <c r="O43" s="29"/>
      <c r="P43" s="29"/>
      <c r="Q43" s="29"/>
    </row>
    <row r="44" spans="13:17" x14ac:dyDescent="0.2">
      <c r="M44" s="29"/>
      <c r="N44" s="29"/>
      <c r="O44" s="29"/>
      <c r="P44" s="29"/>
      <c r="Q44" s="29"/>
    </row>
    <row r="45" spans="13:17" x14ac:dyDescent="0.2">
      <c r="M45" s="29"/>
      <c r="N45" s="29"/>
      <c r="O45" s="29"/>
      <c r="P45" s="29"/>
      <c r="Q45" s="29"/>
    </row>
    <row r="46" spans="13:17" x14ac:dyDescent="0.2">
      <c r="M46" s="29"/>
      <c r="N46" s="29"/>
      <c r="O46" s="29"/>
      <c r="P46" s="29"/>
      <c r="Q46" s="29"/>
    </row>
    <row r="47" spans="13:17" x14ac:dyDescent="0.2">
      <c r="M47" s="29"/>
      <c r="N47" s="29"/>
      <c r="O47" s="29"/>
      <c r="P47" s="29"/>
      <c r="Q47" s="29"/>
    </row>
    <row r="48" spans="13:17" x14ac:dyDescent="0.2">
      <c r="M48" s="29"/>
      <c r="N48" s="29"/>
      <c r="O48" s="29"/>
      <c r="P48" s="29"/>
      <c r="Q48" s="29"/>
    </row>
    <row r="49" spans="13:17" x14ac:dyDescent="0.2">
      <c r="M49" s="29"/>
      <c r="N49" s="29"/>
      <c r="O49" s="29"/>
      <c r="P49" s="29"/>
      <c r="Q49" s="29"/>
    </row>
    <row r="50" spans="13:17" x14ac:dyDescent="0.2">
      <c r="M50" s="29"/>
      <c r="N50" s="29"/>
      <c r="O50" s="29"/>
      <c r="P50" s="29"/>
      <c r="Q50" s="29"/>
    </row>
    <row r="51" spans="13:17" x14ac:dyDescent="0.2">
      <c r="M51" s="29"/>
      <c r="N51" s="29"/>
      <c r="O51" s="29"/>
      <c r="P51" s="29"/>
      <c r="Q51" s="29"/>
    </row>
    <row r="52" spans="13:17" x14ac:dyDescent="0.2">
      <c r="M52" s="29"/>
      <c r="N52" s="29"/>
      <c r="O52" s="29"/>
      <c r="P52" s="29"/>
      <c r="Q52" s="29"/>
    </row>
    <row r="53" spans="13:17" x14ac:dyDescent="0.2">
      <c r="M53" s="29"/>
      <c r="N53" s="29"/>
      <c r="O53" s="29"/>
      <c r="P53" s="29"/>
      <c r="Q53" s="29"/>
    </row>
    <row r="54" spans="13:17" x14ac:dyDescent="0.2">
      <c r="M54" s="29"/>
      <c r="N54" s="29"/>
      <c r="O54" s="29"/>
      <c r="P54" s="29"/>
      <c r="Q54" s="29"/>
    </row>
    <row r="55" spans="13:17" x14ac:dyDescent="0.2">
      <c r="M55" s="29"/>
      <c r="N55" s="29"/>
      <c r="O55" s="29"/>
      <c r="P55" s="29"/>
      <c r="Q55" s="29"/>
    </row>
    <row r="56" spans="13:17" x14ac:dyDescent="0.2">
      <c r="M56" s="29"/>
      <c r="N56" s="29"/>
      <c r="O56" s="29"/>
      <c r="P56" s="29"/>
      <c r="Q56" s="29"/>
    </row>
    <row r="57" spans="13:17" x14ac:dyDescent="0.2">
      <c r="M57" s="29"/>
      <c r="N57" s="29"/>
      <c r="O57" s="29"/>
      <c r="P57" s="29"/>
      <c r="Q57" s="29"/>
    </row>
    <row r="58" spans="13:17" x14ac:dyDescent="0.2">
      <c r="M58" s="29"/>
      <c r="N58" s="29"/>
      <c r="O58" s="29"/>
      <c r="P58" s="29"/>
      <c r="Q58" s="29"/>
    </row>
    <row r="59" spans="13:17" x14ac:dyDescent="0.2">
      <c r="M59" s="29"/>
      <c r="N59" s="29"/>
      <c r="O59" s="29"/>
      <c r="P59" s="29"/>
      <c r="Q59" s="29"/>
    </row>
    <row r="60" spans="13:17" x14ac:dyDescent="0.2">
      <c r="M60" s="29"/>
      <c r="N60" s="29"/>
      <c r="O60" s="29"/>
      <c r="P60" s="29"/>
      <c r="Q60" s="29"/>
    </row>
    <row r="61" spans="13:17" x14ac:dyDescent="0.2">
      <c r="M61" s="29"/>
      <c r="N61" s="29"/>
      <c r="O61" s="29"/>
      <c r="P61" s="29"/>
      <c r="Q61" s="29"/>
    </row>
    <row r="62" spans="13:17" x14ac:dyDescent="0.2">
      <c r="M62" s="29"/>
      <c r="N62" s="29"/>
      <c r="O62" s="29"/>
      <c r="P62" s="29"/>
      <c r="Q62" s="29"/>
    </row>
    <row r="63" spans="13:17" x14ac:dyDescent="0.2">
      <c r="M63" s="29"/>
      <c r="N63" s="29"/>
      <c r="O63" s="29"/>
      <c r="P63" s="29"/>
      <c r="Q63" s="29"/>
    </row>
    <row r="64" spans="13:17" x14ac:dyDescent="0.2">
      <c r="M64" s="29"/>
      <c r="N64" s="29"/>
      <c r="O64" s="29"/>
      <c r="P64" s="29"/>
      <c r="Q64" s="29"/>
    </row>
    <row r="65" spans="13:17" x14ac:dyDescent="0.2">
      <c r="M65" s="29"/>
      <c r="N65" s="29"/>
      <c r="O65" s="29"/>
      <c r="P65" s="29"/>
      <c r="Q65" s="29"/>
    </row>
    <row r="66" spans="13:17" x14ac:dyDescent="0.2">
      <c r="M66" s="29"/>
      <c r="N66" s="29"/>
      <c r="O66" s="29"/>
      <c r="P66" s="29"/>
      <c r="Q66" s="29"/>
    </row>
    <row r="67" spans="13:17" x14ac:dyDescent="0.2">
      <c r="M67" s="29"/>
      <c r="N67" s="29"/>
      <c r="O67" s="29"/>
      <c r="P67" s="29"/>
      <c r="Q67" s="29"/>
    </row>
    <row r="68" spans="13:17" x14ac:dyDescent="0.2">
      <c r="M68" s="29"/>
      <c r="N68" s="29"/>
      <c r="O68" s="29"/>
      <c r="P68" s="29"/>
      <c r="Q68" s="29"/>
    </row>
    <row r="69" spans="13:17" x14ac:dyDescent="0.2">
      <c r="M69" s="29"/>
      <c r="N69" s="29"/>
      <c r="O69" s="29"/>
      <c r="P69" s="29"/>
      <c r="Q69" s="29"/>
    </row>
    <row r="70" spans="13:17" x14ac:dyDescent="0.2">
      <c r="M70" s="29"/>
      <c r="N70" s="29"/>
      <c r="O70" s="29"/>
      <c r="P70" s="29"/>
      <c r="Q70" s="29"/>
    </row>
    <row r="71" spans="13:17" x14ac:dyDescent="0.2">
      <c r="M71" s="29"/>
      <c r="N71" s="29"/>
      <c r="O71" s="29"/>
      <c r="P71" s="29"/>
      <c r="Q71" s="29"/>
    </row>
    <row r="72" spans="13:17" x14ac:dyDescent="0.2">
      <c r="M72" s="29"/>
      <c r="N72" s="29"/>
      <c r="O72" s="29"/>
      <c r="P72" s="29"/>
      <c r="Q72" s="29"/>
    </row>
    <row r="73" spans="13:17" x14ac:dyDescent="0.2">
      <c r="M73" s="29"/>
      <c r="N73" s="29"/>
      <c r="O73" s="29"/>
      <c r="P73" s="29"/>
      <c r="Q73" s="29"/>
    </row>
    <row r="74" spans="13:17" x14ac:dyDescent="0.2">
      <c r="M74" s="29"/>
      <c r="N74" s="29"/>
      <c r="O74" s="29"/>
      <c r="P74" s="29"/>
      <c r="Q74" s="29"/>
    </row>
    <row r="75" spans="13:17" x14ac:dyDescent="0.2">
      <c r="M75" s="29"/>
      <c r="N75" s="29"/>
      <c r="O75" s="29"/>
      <c r="P75" s="29"/>
      <c r="Q75" s="29"/>
    </row>
    <row r="76" spans="13:17" x14ac:dyDescent="0.2">
      <c r="M76" s="29"/>
      <c r="N76" s="29"/>
      <c r="O76" s="29"/>
      <c r="P76" s="29"/>
      <c r="Q76" s="29"/>
    </row>
    <row r="77" spans="13:17" x14ac:dyDescent="0.2">
      <c r="M77" s="29"/>
      <c r="N77" s="29"/>
      <c r="O77" s="29"/>
      <c r="P77" s="29"/>
      <c r="Q77" s="29"/>
    </row>
    <row r="78" spans="13:17" x14ac:dyDescent="0.2">
      <c r="M78" s="29"/>
      <c r="N78" s="29"/>
      <c r="O78" s="29"/>
      <c r="P78" s="29"/>
      <c r="Q78" s="29"/>
    </row>
    <row r="79" spans="13:17" x14ac:dyDescent="0.2">
      <c r="M79" s="29"/>
      <c r="N79" s="29"/>
      <c r="O79" s="29"/>
      <c r="P79" s="29"/>
      <c r="Q79" s="29"/>
    </row>
    <row r="80" spans="13:17" x14ac:dyDescent="0.2">
      <c r="M80" s="29"/>
      <c r="N80" s="29"/>
      <c r="O80" s="29"/>
      <c r="P80" s="29"/>
      <c r="Q80" s="29"/>
    </row>
    <row r="81" spans="13:17" x14ac:dyDescent="0.2">
      <c r="M81" s="29"/>
      <c r="N81" s="29"/>
      <c r="O81" s="29"/>
      <c r="P81" s="29"/>
      <c r="Q81" s="29"/>
    </row>
    <row r="82" spans="13:17" x14ac:dyDescent="0.2">
      <c r="M82" s="29"/>
      <c r="N82" s="29"/>
      <c r="O82" s="29"/>
      <c r="P82" s="29"/>
      <c r="Q82" s="29"/>
    </row>
    <row r="83" spans="13:17" x14ac:dyDescent="0.2">
      <c r="M83" s="29"/>
      <c r="N83" s="29"/>
      <c r="O83" s="29"/>
      <c r="P83" s="29"/>
      <c r="Q83" s="29"/>
    </row>
    <row r="84" spans="13:17" x14ac:dyDescent="0.2">
      <c r="M84" s="29"/>
      <c r="N84" s="29"/>
      <c r="O84" s="29"/>
      <c r="P84" s="29"/>
      <c r="Q84" s="29"/>
    </row>
    <row r="85" spans="13:17" x14ac:dyDescent="0.2">
      <c r="M85" s="29"/>
      <c r="N85" s="29"/>
      <c r="O85" s="29"/>
      <c r="P85" s="29"/>
      <c r="Q85" s="29"/>
    </row>
    <row r="86" spans="13:17" x14ac:dyDescent="0.2">
      <c r="M86" s="29"/>
      <c r="N86" s="29"/>
      <c r="O86" s="29"/>
      <c r="P86" s="29"/>
      <c r="Q86" s="29"/>
    </row>
    <row r="87" spans="13:17" x14ac:dyDescent="0.2">
      <c r="M87" s="29"/>
      <c r="N87" s="29"/>
      <c r="O87" s="29"/>
      <c r="P87" s="29"/>
      <c r="Q87" s="29"/>
    </row>
    <row r="88" spans="13:17" x14ac:dyDescent="0.2">
      <c r="M88" s="29"/>
      <c r="N88" s="29"/>
      <c r="O88" s="29"/>
      <c r="P88" s="29"/>
      <c r="Q88" s="29"/>
    </row>
    <row r="89" spans="13:17" x14ac:dyDescent="0.2">
      <c r="M89" s="29"/>
      <c r="N89" s="29"/>
      <c r="O89" s="29"/>
      <c r="P89" s="29"/>
      <c r="Q89" s="29"/>
    </row>
    <row r="90" spans="13:17" x14ac:dyDescent="0.2">
      <c r="M90" s="29"/>
      <c r="N90" s="29"/>
      <c r="O90" s="29"/>
      <c r="P90" s="29"/>
      <c r="Q90" s="29"/>
    </row>
    <row r="91" spans="13:17" x14ac:dyDescent="0.2">
      <c r="M91" s="29"/>
      <c r="N91" s="29"/>
      <c r="O91" s="29"/>
      <c r="P91" s="29"/>
      <c r="Q91" s="29"/>
    </row>
    <row r="92" spans="13:17" x14ac:dyDescent="0.2">
      <c r="M92" s="29"/>
      <c r="N92" s="29"/>
      <c r="O92" s="29"/>
      <c r="P92" s="29"/>
      <c r="Q92" s="29"/>
    </row>
    <row r="93" spans="13:17" x14ac:dyDescent="0.2">
      <c r="M93" s="29"/>
      <c r="N93" s="29"/>
      <c r="O93" s="29"/>
      <c r="P93" s="29"/>
      <c r="Q93" s="29"/>
    </row>
    <row r="94" spans="13:17" x14ac:dyDescent="0.2">
      <c r="M94" s="29"/>
      <c r="N94" s="29"/>
      <c r="O94" s="29"/>
      <c r="P94" s="29"/>
      <c r="Q94" s="29"/>
    </row>
    <row r="95" spans="13:17" x14ac:dyDescent="0.2">
      <c r="M95" s="29"/>
      <c r="N95" s="29"/>
      <c r="O95" s="29"/>
      <c r="P95" s="29"/>
      <c r="Q95" s="29"/>
    </row>
    <row r="96" spans="13:17" x14ac:dyDescent="0.2">
      <c r="M96" s="29"/>
      <c r="N96" s="29"/>
      <c r="O96" s="29"/>
      <c r="P96" s="29"/>
      <c r="Q96" s="29"/>
    </row>
    <row r="97" spans="13:17" x14ac:dyDescent="0.2">
      <c r="M97" s="29"/>
      <c r="N97" s="29"/>
      <c r="O97" s="29"/>
      <c r="P97" s="29"/>
      <c r="Q97" s="29"/>
    </row>
    <row r="98" spans="13:17" x14ac:dyDescent="0.2">
      <c r="M98" s="29"/>
      <c r="N98" s="29"/>
      <c r="O98" s="29"/>
      <c r="P98" s="29"/>
      <c r="Q98" s="29"/>
    </row>
    <row r="99" spans="13:17" x14ac:dyDescent="0.2">
      <c r="M99" s="29"/>
      <c r="N99" s="29"/>
      <c r="O99" s="29"/>
      <c r="P99" s="29"/>
      <c r="Q99" s="29"/>
    </row>
    <row r="100" spans="13:17" x14ac:dyDescent="0.2">
      <c r="M100" s="29"/>
      <c r="N100" s="29"/>
      <c r="O100" s="29"/>
      <c r="P100" s="29"/>
      <c r="Q100" s="29"/>
    </row>
    <row r="101" spans="13:17" x14ac:dyDescent="0.2">
      <c r="M101" s="29"/>
      <c r="N101" s="29"/>
      <c r="O101" s="29"/>
      <c r="P101" s="29"/>
      <c r="Q101" s="29"/>
    </row>
    <row r="102" spans="13:17" x14ac:dyDescent="0.2">
      <c r="M102" s="29"/>
      <c r="N102" s="29"/>
      <c r="O102" s="29"/>
      <c r="P102" s="29"/>
      <c r="Q102" s="29"/>
    </row>
    <row r="103" spans="13:17" x14ac:dyDescent="0.2">
      <c r="M103" s="29"/>
      <c r="N103" s="29"/>
      <c r="O103" s="29"/>
      <c r="P103" s="29"/>
      <c r="Q103" s="29"/>
    </row>
    <row r="104" spans="13:17" x14ac:dyDescent="0.2">
      <c r="M104" s="29"/>
      <c r="N104" s="29"/>
      <c r="O104" s="29"/>
      <c r="P104" s="29"/>
      <c r="Q104" s="29"/>
    </row>
    <row r="105" spans="13:17" x14ac:dyDescent="0.2">
      <c r="M105" s="29"/>
      <c r="N105" s="29"/>
      <c r="O105" s="29"/>
      <c r="P105" s="29"/>
      <c r="Q105" s="29"/>
    </row>
    <row r="106" spans="13:17" x14ac:dyDescent="0.2">
      <c r="M106" s="29"/>
      <c r="N106" s="29"/>
      <c r="O106" s="29"/>
      <c r="P106" s="29"/>
      <c r="Q106" s="29"/>
    </row>
    <row r="107" spans="13:17" x14ac:dyDescent="0.2">
      <c r="M107" s="29"/>
      <c r="N107" s="29"/>
      <c r="O107" s="29"/>
      <c r="P107" s="29"/>
      <c r="Q107" s="29"/>
    </row>
    <row r="108" spans="13:17" x14ac:dyDescent="0.2">
      <c r="M108" s="29"/>
      <c r="N108" s="29"/>
      <c r="O108" s="29"/>
      <c r="P108" s="29"/>
      <c r="Q108" s="29"/>
    </row>
    <row r="109" spans="13:17" x14ac:dyDescent="0.2">
      <c r="M109" s="29"/>
      <c r="N109" s="29"/>
      <c r="O109" s="29"/>
      <c r="P109" s="29"/>
      <c r="Q109" s="29"/>
    </row>
    <row r="110" spans="13:17" x14ac:dyDescent="0.2">
      <c r="M110" s="29"/>
      <c r="N110" s="29"/>
      <c r="O110" s="29"/>
      <c r="P110" s="29"/>
      <c r="Q110" s="29"/>
    </row>
    <row r="111" spans="13:17" x14ac:dyDescent="0.2">
      <c r="M111" s="29"/>
      <c r="N111" s="29"/>
      <c r="O111" s="29"/>
      <c r="P111" s="29"/>
      <c r="Q111" s="29"/>
    </row>
    <row r="112" spans="13:17" x14ac:dyDescent="0.2">
      <c r="M112" s="29"/>
      <c r="N112" s="29"/>
      <c r="O112" s="29"/>
      <c r="P112" s="29"/>
      <c r="Q112" s="29"/>
    </row>
    <row r="113" spans="13:17" x14ac:dyDescent="0.2">
      <c r="M113" s="29"/>
      <c r="N113" s="29"/>
      <c r="O113" s="29"/>
      <c r="P113" s="29"/>
      <c r="Q113" s="29"/>
    </row>
    <row r="114" spans="13:17" x14ac:dyDescent="0.2">
      <c r="M114" s="29"/>
      <c r="N114" s="29"/>
      <c r="O114" s="29"/>
      <c r="P114" s="29"/>
      <c r="Q114" s="29"/>
    </row>
    <row r="115" spans="13:17" x14ac:dyDescent="0.2">
      <c r="M115" s="29"/>
      <c r="N115" s="29"/>
      <c r="O115" s="29"/>
      <c r="P115" s="29"/>
      <c r="Q115" s="29"/>
    </row>
    <row r="116" spans="13:17" x14ac:dyDescent="0.2">
      <c r="M116" s="29"/>
      <c r="N116" s="29"/>
      <c r="O116" s="29"/>
      <c r="P116" s="29"/>
      <c r="Q116" s="29"/>
    </row>
    <row r="117" spans="13:17" x14ac:dyDescent="0.2">
      <c r="M117" s="29"/>
      <c r="N117" s="29"/>
      <c r="O117" s="29"/>
      <c r="P117" s="29"/>
      <c r="Q117" s="29"/>
    </row>
    <row r="118" spans="13:17" x14ac:dyDescent="0.2">
      <c r="M118" s="29"/>
      <c r="N118" s="29"/>
      <c r="O118" s="29"/>
      <c r="P118" s="29"/>
      <c r="Q118" s="29"/>
    </row>
    <row r="119" spans="13:17" x14ac:dyDescent="0.2">
      <c r="M119" s="29"/>
      <c r="N119" s="29"/>
      <c r="O119" s="29"/>
      <c r="P119" s="29"/>
      <c r="Q119" s="29"/>
    </row>
    <row r="120" spans="13:17" x14ac:dyDescent="0.2">
      <c r="M120" s="29"/>
      <c r="N120" s="29"/>
      <c r="O120" s="29"/>
      <c r="P120" s="29"/>
      <c r="Q120" s="29"/>
    </row>
    <row r="121" spans="13:17" x14ac:dyDescent="0.2">
      <c r="M121" s="29"/>
      <c r="N121" s="29"/>
      <c r="O121" s="29"/>
      <c r="P121" s="29"/>
      <c r="Q121" s="29"/>
    </row>
    <row r="122" spans="13:17" x14ac:dyDescent="0.2">
      <c r="M122" s="29"/>
      <c r="N122" s="29"/>
      <c r="O122" s="29"/>
      <c r="P122" s="29"/>
      <c r="Q122" s="29"/>
    </row>
    <row r="123" spans="13:17" x14ac:dyDescent="0.2">
      <c r="M123" s="29"/>
      <c r="N123" s="29"/>
      <c r="O123" s="29"/>
      <c r="P123" s="29"/>
      <c r="Q123" s="29"/>
    </row>
    <row r="124" spans="13:17" x14ac:dyDescent="0.2">
      <c r="M124" s="29"/>
      <c r="N124" s="29"/>
      <c r="O124" s="29"/>
      <c r="P124" s="29"/>
      <c r="Q124" s="29"/>
    </row>
    <row r="125" spans="13:17" x14ac:dyDescent="0.2">
      <c r="M125" s="29"/>
      <c r="N125" s="29"/>
      <c r="O125" s="29"/>
      <c r="P125" s="29"/>
      <c r="Q125" s="29"/>
    </row>
    <row r="126" spans="13:17" x14ac:dyDescent="0.2">
      <c r="M126" s="29"/>
      <c r="N126" s="29"/>
      <c r="O126" s="29"/>
      <c r="P126" s="29"/>
      <c r="Q126" s="29"/>
    </row>
    <row r="127" spans="13:17" x14ac:dyDescent="0.2">
      <c r="M127" s="29"/>
      <c r="N127" s="29"/>
      <c r="O127" s="29"/>
      <c r="P127" s="29"/>
      <c r="Q127" s="29"/>
    </row>
    <row r="128" spans="13:17" x14ac:dyDescent="0.2">
      <c r="M128" s="29"/>
      <c r="N128" s="29"/>
      <c r="O128" s="29"/>
      <c r="P128" s="29"/>
      <c r="Q128" s="29"/>
    </row>
    <row r="129" spans="13:17" x14ac:dyDescent="0.2">
      <c r="M129" s="29"/>
      <c r="N129" s="29"/>
      <c r="O129" s="29"/>
      <c r="P129" s="29"/>
      <c r="Q129" s="29"/>
    </row>
    <row r="130" spans="13:17" x14ac:dyDescent="0.2">
      <c r="M130" s="29"/>
      <c r="N130" s="29"/>
      <c r="O130" s="29"/>
      <c r="P130" s="29"/>
      <c r="Q130" s="29"/>
    </row>
    <row r="131" spans="13:17" x14ac:dyDescent="0.2">
      <c r="M131" s="29"/>
      <c r="N131" s="29"/>
      <c r="O131" s="29"/>
      <c r="P131" s="29"/>
      <c r="Q131" s="29"/>
    </row>
    <row r="132" spans="13:17" x14ac:dyDescent="0.2">
      <c r="M132" s="29"/>
      <c r="N132" s="29"/>
      <c r="O132" s="29"/>
      <c r="P132" s="29"/>
      <c r="Q132" s="29"/>
    </row>
    <row r="133" spans="13:17" x14ac:dyDescent="0.2">
      <c r="M133" s="29"/>
      <c r="N133" s="29"/>
      <c r="O133" s="29"/>
      <c r="P133" s="29"/>
      <c r="Q133" s="29"/>
    </row>
    <row r="134" spans="13:17" x14ac:dyDescent="0.2">
      <c r="M134" s="29"/>
      <c r="N134" s="29"/>
      <c r="O134" s="29"/>
      <c r="P134" s="29"/>
      <c r="Q134" s="29"/>
    </row>
    <row r="135" spans="13:17" x14ac:dyDescent="0.2">
      <c r="M135" s="29"/>
      <c r="N135" s="29"/>
      <c r="O135" s="29"/>
      <c r="P135" s="29"/>
      <c r="Q135" s="29"/>
    </row>
    <row r="136" spans="13:17" x14ac:dyDescent="0.2">
      <c r="M136" s="29"/>
      <c r="N136" s="29"/>
      <c r="O136" s="29"/>
      <c r="P136" s="29"/>
      <c r="Q136" s="29"/>
    </row>
    <row r="137" spans="13:17" x14ac:dyDescent="0.2">
      <c r="M137" s="29"/>
      <c r="N137" s="29"/>
      <c r="O137" s="29"/>
      <c r="P137" s="29"/>
      <c r="Q137" s="29"/>
    </row>
    <row r="138" spans="13:17" x14ac:dyDescent="0.2">
      <c r="M138" s="29"/>
      <c r="N138" s="29"/>
      <c r="O138" s="29"/>
      <c r="P138" s="29"/>
      <c r="Q138" s="29"/>
    </row>
    <row r="139" spans="13:17" x14ac:dyDescent="0.2">
      <c r="M139" s="29"/>
      <c r="N139" s="29"/>
      <c r="O139" s="29"/>
      <c r="P139" s="29"/>
      <c r="Q139" s="29"/>
    </row>
    <row r="140" spans="13:17" x14ac:dyDescent="0.2">
      <c r="M140" s="29"/>
      <c r="N140" s="29"/>
      <c r="O140" s="29"/>
      <c r="P140" s="29"/>
      <c r="Q140" s="29"/>
    </row>
    <row r="141" spans="13:17" x14ac:dyDescent="0.2">
      <c r="M141" s="29"/>
      <c r="N141" s="29"/>
      <c r="O141" s="29"/>
      <c r="P141" s="29"/>
      <c r="Q141" s="29"/>
    </row>
    <row r="142" spans="13:17" x14ac:dyDescent="0.2">
      <c r="M142" s="29"/>
      <c r="N142" s="29"/>
      <c r="O142" s="29"/>
      <c r="P142" s="29"/>
      <c r="Q142" s="29"/>
    </row>
    <row r="143" spans="13:17" x14ac:dyDescent="0.2">
      <c r="M143" s="29"/>
      <c r="N143" s="29"/>
      <c r="O143" s="29"/>
      <c r="P143" s="29"/>
      <c r="Q143" s="29"/>
    </row>
    <row r="144" spans="13:17" x14ac:dyDescent="0.2">
      <c r="M144" s="29"/>
      <c r="N144" s="29"/>
      <c r="O144" s="29"/>
      <c r="P144" s="29"/>
      <c r="Q144" s="29"/>
    </row>
    <row r="145" spans="13:17" x14ac:dyDescent="0.2">
      <c r="M145" s="29"/>
      <c r="N145" s="29"/>
      <c r="O145" s="29"/>
      <c r="P145" s="29"/>
      <c r="Q145" s="29"/>
    </row>
    <row r="146" spans="13:17" x14ac:dyDescent="0.2">
      <c r="M146" s="29"/>
      <c r="N146" s="29"/>
      <c r="O146" s="29"/>
      <c r="P146" s="29"/>
      <c r="Q146" s="29"/>
    </row>
    <row r="147" spans="13:17" x14ac:dyDescent="0.2">
      <c r="M147" s="29"/>
      <c r="N147" s="29"/>
      <c r="O147" s="29"/>
      <c r="P147" s="29"/>
      <c r="Q147" s="29"/>
    </row>
    <row r="148" spans="13:17" x14ac:dyDescent="0.2">
      <c r="M148" s="29"/>
      <c r="N148" s="29"/>
      <c r="O148" s="29"/>
      <c r="P148" s="29"/>
      <c r="Q148" s="29"/>
    </row>
    <row r="149" spans="13:17" x14ac:dyDescent="0.2">
      <c r="M149" s="29"/>
      <c r="N149" s="29"/>
      <c r="O149" s="29"/>
      <c r="P149" s="29"/>
      <c r="Q149" s="29"/>
    </row>
    <row r="150" spans="13:17" x14ac:dyDescent="0.2">
      <c r="M150" s="29"/>
      <c r="N150" s="29"/>
      <c r="O150" s="29"/>
      <c r="P150" s="29"/>
      <c r="Q150" s="29"/>
    </row>
    <row r="151" spans="13:17" x14ac:dyDescent="0.2">
      <c r="M151" s="29"/>
      <c r="N151" s="29"/>
      <c r="O151" s="29"/>
      <c r="P151" s="29"/>
      <c r="Q151" s="29"/>
    </row>
    <row r="152" spans="13:17" x14ac:dyDescent="0.2">
      <c r="M152" s="29"/>
      <c r="N152" s="29"/>
      <c r="O152" s="29"/>
      <c r="P152" s="29"/>
      <c r="Q152" s="29"/>
    </row>
    <row r="153" spans="13:17" x14ac:dyDescent="0.2">
      <c r="M153" s="29"/>
      <c r="N153" s="29"/>
      <c r="O153" s="29"/>
      <c r="P153" s="29"/>
      <c r="Q153" s="29"/>
    </row>
    <row r="154" spans="13:17" x14ac:dyDescent="0.2">
      <c r="M154" s="29"/>
      <c r="N154" s="29"/>
      <c r="O154" s="29"/>
      <c r="P154" s="29"/>
      <c r="Q154" s="29"/>
    </row>
    <row r="155" spans="13:17" x14ac:dyDescent="0.2">
      <c r="M155" s="29"/>
      <c r="N155" s="29"/>
      <c r="O155" s="29"/>
      <c r="P155" s="29"/>
      <c r="Q155" s="29"/>
    </row>
    <row r="156" spans="13:17" x14ac:dyDescent="0.2">
      <c r="M156" s="29"/>
      <c r="N156" s="29"/>
      <c r="O156" s="29"/>
      <c r="P156" s="29"/>
      <c r="Q156" s="29"/>
    </row>
    <row r="157" spans="13:17" x14ac:dyDescent="0.2">
      <c r="M157" s="29"/>
      <c r="N157" s="29"/>
      <c r="O157" s="29"/>
      <c r="P157" s="29"/>
      <c r="Q157" s="29"/>
    </row>
    <row r="158" spans="13:17" x14ac:dyDescent="0.2">
      <c r="M158" s="29"/>
      <c r="N158" s="29"/>
      <c r="O158" s="29"/>
      <c r="P158" s="29"/>
      <c r="Q158" s="29"/>
    </row>
    <row r="159" spans="13:17" x14ac:dyDescent="0.2">
      <c r="M159" s="29"/>
      <c r="N159" s="29"/>
      <c r="O159" s="29"/>
      <c r="P159" s="29"/>
      <c r="Q159" s="29"/>
    </row>
    <row r="160" spans="13:17" x14ac:dyDescent="0.2">
      <c r="M160" s="29"/>
      <c r="N160" s="29"/>
      <c r="O160" s="29"/>
      <c r="P160" s="29"/>
      <c r="Q160" s="29"/>
    </row>
    <row r="161" spans="13:17" x14ac:dyDescent="0.2">
      <c r="M161" s="29"/>
      <c r="N161" s="29"/>
      <c r="O161" s="29"/>
      <c r="P161" s="29"/>
      <c r="Q161" s="29"/>
    </row>
    <row r="162" spans="13:17" x14ac:dyDescent="0.2">
      <c r="M162" s="29"/>
      <c r="N162" s="29"/>
      <c r="O162" s="29"/>
      <c r="P162" s="29"/>
      <c r="Q162" s="29"/>
    </row>
    <row r="163" spans="13:17" x14ac:dyDescent="0.2">
      <c r="M163" s="29"/>
      <c r="N163" s="29"/>
      <c r="O163" s="29"/>
      <c r="P163" s="29"/>
      <c r="Q163" s="29"/>
    </row>
    <row r="164" spans="13:17" x14ac:dyDescent="0.2">
      <c r="M164" s="29"/>
      <c r="N164" s="29"/>
      <c r="O164" s="29"/>
      <c r="P164" s="29"/>
      <c r="Q164" s="29"/>
    </row>
    <row r="165" spans="13:17" x14ac:dyDescent="0.2">
      <c r="M165" s="29"/>
      <c r="N165" s="29"/>
      <c r="O165" s="29"/>
      <c r="P165" s="29"/>
      <c r="Q165" s="29"/>
    </row>
    <row r="166" spans="13:17" x14ac:dyDescent="0.2">
      <c r="M166" s="29"/>
      <c r="N166" s="29"/>
      <c r="O166" s="29"/>
      <c r="P166" s="29"/>
      <c r="Q166" s="29"/>
    </row>
    <row r="167" spans="13:17" x14ac:dyDescent="0.2">
      <c r="M167" s="29"/>
      <c r="N167" s="29"/>
      <c r="O167" s="29"/>
      <c r="P167" s="29"/>
      <c r="Q167" s="29"/>
    </row>
    <row r="168" spans="13:17" x14ac:dyDescent="0.2">
      <c r="M168" s="29"/>
      <c r="N168" s="29"/>
      <c r="O168" s="29"/>
      <c r="P168" s="29"/>
      <c r="Q168" s="29"/>
    </row>
    <row r="169" spans="13:17" x14ac:dyDescent="0.2">
      <c r="M169" s="29"/>
      <c r="N169" s="29"/>
      <c r="O169" s="29"/>
      <c r="P169" s="29"/>
      <c r="Q169" s="29"/>
    </row>
    <row r="170" spans="13:17" x14ac:dyDescent="0.2">
      <c r="M170" s="29"/>
      <c r="N170" s="29"/>
      <c r="O170" s="29"/>
      <c r="P170" s="29"/>
      <c r="Q170" s="29"/>
    </row>
    <row r="171" spans="13:17" x14ac:dyDescent="0.2">
      <c r="M171" s="29"/>
      <c r="N171" s="29"/>
      <c r="O171" s="29"/>
      <c r="P171" s="29"/>
      <c r="Q171" s="29"/>
    </row>
    <row r="172" spans="13:17" x14ac:dyDescent="0.2">
      <c r="M172" s="29"/>
      <c r="N172" s="29"/>
      <c r="O172" s="29"/>
      <c r="P172" s="29"/>
      <c r="Q172" s="29"/>
    </row>
    <row r="173" spans="13:17" x14ac:dyDescent="0.2">
      <c r="M173" s="29"/>
      <c r="N173" s="29"/>
      <c r="O173" s="29"/>
      <c r="P173" s="29"/>
      <c r="Q173" s="29"/>
    </row>
    <row r="174" spans="13:17" x14ac:dyDescent="0.2">
      <c r="M174" s="29"/>
      <c r="N174" s="29"/>
      <c r="O174" s="29"/>
      <c r="P174" s="29"/>
      <c r="Q174" s="29"/>
    </row>
    <row r="175" spans="13:17" x14ac:dyDescent="0.2">
      <c r="M175" s="29"/>
      <c r="N175" s="29"/>
      <c r="O175" s="29"/>
      <c r="P175" s="29"/>
      <c r="Q175" s="29"/>
    </row>
    <row r="176" spans="13:17" x14ac:dyDescent="0.2">
      <c r="M176" s="29"/>
      <c r="N176" s="29"/>
      <c r="O176" s="29"/>
      <c r="P176" s="29"/>
      <c r="Q176" s="29"/>
    </row>
    <row r="177" spans="13:17" x14ac:dyDescent="0.2">
      <c r="M177" s="29"/>
      <c r="N177" s="29"/>
      <c r="O177" s="29"/>
      <c r="P177" s="29"/>
      <c r="Q177" s="29"/>
    </row>
    <row r="178" spans="13:17" x14ac:dyDescent="0.2">
      <c r="M178" s="29"/>
      <c r="N178" s="29"/>
      <c r="O178" s="29"/>
      <c r="P178" s="29"/>
      <c r="Q178" s="29"/>
    </row>
    <row r="179" spans="13:17" x14ac:dyDescent="0.2">
      <c r="M179" s="29"/>
      <c r="N179" s="29"/>
      <c r="O179" s="29"/>
      <c r="P179" s="29"/>
      <c r="Q179" s="29"/>
    </row>
    <row r="180" spans="13:17" x14ac:dyDescent="0.2">
      <c r="M180" s="29"/>
      <c r="N180" s="29"/>
      <c r="O180" s="29"/>
      <c r="P180" s="29"/>
      <c r="Q180" s="29"/>
    </row>
    <row r="181" spans="13:17" x14ac:dyDescent="0.2">
      <c r="M181" s="29"/>
      <c r="N181" s="29"/>
      <c r="O181" s="29"/>
      <c r="P181" s="29"/>
      <c r="Q181" s="29"/>
    </row>
    <row r="182" spans="13:17" x14ac:dyDescent="0.2">
      <c r="M182" s="29"/>
      <c r="N182" s="29"/>
      <c r="O182" s="29"/>
      <c r="P182" s="29"/>
      <c r="Q182" s="29"/>
    </row>
    <row r="183" spans="13:17" x14ac:dyDescent="0.2">
      <c r="M183" s="29"/>
      <c r="N183" s="29"/>
      <c r="O183" s="29"/>
      <c r="P183" s="29"/>
      <c r="Q183" s="29"/>
    </row>
    <row r="184" spans="13:17" x14ac:dyDescent="0.2">
      <c r="M184" s="29"/>
      <c r="N184" s="29"/>
      <c r="O184" s="29"/>
      <c r="P184" s="29"/>
      <c r="Q184" s="29"/>
    </row>
    <row r="185" spans="13:17" x14ac:dyDescent="0.2">
      <c r="M185" s="29"/>
      <c r="N185" s="29"/>
      <c r="O185" s="29"/>
      <c r="P185" s="29"/>
      <c r="Q185" s="29"/>
    </row>
    <row r="186" spans="13:17" x14ac:dyDescent="0.2">
      <c r="M186" s="29"/>
      <c r="N186" s="29"/>
      <c r="O186" s="29"/>
      <c r="P186" s="29"/>
      <c r="Q186" s="29"/>
    </row>
    <row r="187" spans="13:17" x14ac:dyDescent="0.2">
      <c r="M187" s="29"/>
      <c r="N187" s="29"/>
      <c r="O187" s="29"/>
      <c r="P187" s="29"/>
      <c r="Q187" s="29"/>
    </row>
    <row r="188" spans="13:17" x14ac:dyDescent="0.2">
      <c r="M188" s="29"/>
      <c r="N188" s="29"/>
      <c r="O188" s="29"/>
      <c r="P188" s="29"/>
      <c r="Q188" s="29"/>
    </row>
    <row r="189" spans="13:17" x14ac:dyDescent="0.2">
      <c r="M189" s="29"/>
      <c r="N189" s="29"/>
      <c r="O189" s="29"/>
      <c r="P189" s="29"/>
      <c r="Q189" s="29"/>
    </row>
    <row r="190" spans="13:17" x14ac:dyDescent="0.2">
      <c r="M190" s="29"/>
      <c r="N190" s="29"/>
      <c r="O190" s="29"/>
      <c r="P190" s="29"/>
      <c r="Q190" s="29"/>
    </row>
    <row r="191" spans="13:17" x14ac:dyDescent="0.2">
      <c r="M191" s="29"/>
      <c r="N191" s="29"/>
      <c r="O191" s="29"/>
      <c r="P191" s="29"/>
      <c r="Q191" s="29"/>
    </row>
    <row r="192" spans="13:17" x14ac:dyDescent="0.2">
      <c r="M192" s="29"/>
      <c r="N192" s="29"/>
      <c r="O192" s="29"/>
      <c r="P192" s="29"/>
      <c r="Q192" s="29"/>
    </row>
    <row r="193" spans="13:17" x14ac:dyDescent="0.2">
      <c r="M193" s="29"/>
      <c r="N193" s="29"/>
      <c r="O193" s="29"/>
      <c r="P193" s="29"/>
      <c r="Q193" s="29"/>
    </row>
    <row r="194" spans="13:17" x14ac:dyDescent="0.2">
      <c r="M194" s="29"/>
      <c r="N194" s="29"/>
      <c r="O194" s="29"/>
      <c r="P194" s="29"/>
      <c r="Q194" s="29"/>
    </row>
    <row r="195" spans="13:17" x14ac:dyDescent="0.2">
      <c r="M195" s="29"/>
      <c r="N195" s="29"/>
      <c r="O195" s="29"/>
      <c r="P195" s="29"/>
      <c r="Q195" s="29"/>
    </row>
    <row r="196" spans="13:17" x14ac:dyDescent="0.2">
      <c r="M196" s="29"/>
      <c r="N196" s="29"/>
      <c r="O196" s="29"/>
      <c r="P196" s="29"/>
      <c r="Q196" s="29"/>
    </row>
    <row r="197" spans="13:17" x14ac:dyDescent="0.2">
      <c r="M197" s="29"/>
      <c r="N197" s="29"/>
      <c r="O197" s="29"/>
      <c r="P197" s="29"/>
      <c r="Q197" s="29"/>
    </row>
    <row r="198" spans="13:17" x14ac:dyDescent="0.2">
      <c r="M198" s="29"/>
      <c r="N198" s="29"/>
      <c r="O198" s="29"/>
      <c r="P198" s="29"/>
      <c r="Q198" s="29"/>
    </row>
    <row r="199" spans="13:17" x14ac:dyDescent="0.2">
      <c r="M199" s="29"/>
      <c r="N199" s="29"/>
      <c r="O199" s="29"/>
      <c r="P199" s="29"/>
      <c r="Q199" s="29"/>
    </row>
    <row r="200" spans="13:17" x14ac:dyDescent="0.2">
      <c r="M200" s="29"/>
      <c r="N200" s="29"/>
      <c r="O200" s="29"/>
      <c r="P200" s="29"/>
      <c r="Q200" s="29"/>
    </row>
    <row r="201" spans="13:17" x14ac:dyDescent="0.2">
      <c r="M201" s="29"/>
      <c r="N201" s="29"/>
      <c r="O201" s="29"/>
      <c r="P201" s="29"/>
      <c r="Q201" s="29"/>
    </row>
    <row r="202" spans="13:17" x14ac:dyDescent="0.2">
      <c r="M202" s="29"/>
      <c r="N202" s="29"/>
      <c r="O202" s="29"/>
      <c r="P202" s="29"/>
      <c r="Q202" s="29"/>
    </row>
    <row r="203" spans="13:17" x14ac:dyDescent="0.2">
      <c r="M203" s="29"/>
      <c r="N203" s="29"/>
      <c r="O203" s="29"/>
      <c r="P203" s="29"/>
      <c r="Q203" s="29"/>
    </row>
    <row r="204" spans="13:17" x14ac:dyDescent="0.2">
      <c r="M204" s="29"/>
      <c r="N204" s="29"/>
      <c r="O204" s="29"/>
      <c r="P204" s="29"/>
      <c r="Q204" s="29"/>
    </row>
    <row r="205" spans="13:17" x14ac:dyDescent="0.2">
      <c r="M205" s="29"/>
      <c r="N205" s="29"/>
      <c r="O205" s="29"/>
      <c r="P205" s="29"/>
      <c r="Q205" s="29"/>
    </row>
    <row r="206" spans="13:17" x14ac:dyDescent="0.2">
      <c r="M206" s="29"/>
      <c r="N206" s="29"/>
      <c r="O206" s="29"/>
      <c r="P206" s="29"/>
      <c r="Q206" s="29"/>
    </row>
    <row r="207" spans="13:17" x14ac:dyDescent="0.2">
      <c r="M207" s="29"/>
      <c r="N207" s="29"/>
      <c r="O207" s="29"/>
      <c r="P207" s="29"/>
      <c r="Q207" s="29"/>
    </row>
    <row r="208" spans="13:17" x14ac:dyDescent="0.2">
      <c r="M208" s="29"/>
      <c r="N208" s="29"/>
      <c r="O208" s="29"/>
      <c r="P208" s="29"/>
      <c r="Q208" s="29"/>
    </row>
    <row r="209" spans="13:17" x14ac:dyDescent="0.2">
      <c r="M209" s="29"/>
      <c r="N209" s="29"/>
      <c r="O209" s="29"/>
      <c r="P209" s="29"/>
      <c r="Q209" s="29"/>
    </row>
    <row r="210" spans="13:17" x14ac:dyDescent="0.2">
      <c r="M210" s="29"/>
      <c r="N210" s="29"/>
      <c r="O210" s="29"/>
      <c r="P210" s="29"/>
      <c r="Q210" s="29"/>
    </row>
    <row r="211" spans="13:17" x14ac:dyDescent="0.2">
      <c r="M211" s="29"/>
      <c r="N211" s="29"/>
      <c r="O211" s="29"/>
      <c r="P211" s="29"/>
      <c r="Q211" s="29"/>
    </row>
    <row r="212" spans="13:17" x14ac:dyDescent="0.2">
      <c r="M212" s="29"/>
      <c r="N212" s="29"/>
      <c r="O212" s="29"/>
      <c r="P212" s="29"/>
      <c r="Q212" s="29"/>
    </row>
    <row r="213" spans="13:17" x14ac:dyDescent="0.2">
      <c r="M213" s="29"/>
      <c r="N213" s="29"/>
      <c r="O213" s="29"/>
      <c r="P213" s="29"/>
      <c r="Q213" s="29"/>
    </row>
    <row r="214" spans="13:17" x14ac:dyDescent="0.2">
      <c r="M214" s="29"/>
      <c r="N214" s="29"/>
      <c r="O214" s="29"/>
      <c r="P214" s="29"/>
      <c r="Q214" s="29"/>
    </row>
    <row r="215" spans="13:17" x14ac:dyDescent="0.2">
      <c r="M215" s="29"/>
      <c r="N215" s="29"/>
      <c r="O215" s="29"/>
      <c r="P215" s="29"/>
      <c r="Q215" s="29"/>
    </row>
    <row r="216" spans="13:17" x14ac:dyDescent="0.2">
      <c r="M216" s="29"/>
      <c r="N216" s="29"/>
      <c r="O216" s="29"/>
      <c r="P216" s="29"/>
      <c r="Q216" s="29"/>
    </row>
    <row r="217" spans="13:17" x14ac:dyDescent="0.2">
      <c r="M217" s="29"/>
      <c r="N217" s="29"/>
      <c r="O217" s="29"/>
      <c r="P217" s="29"/>
      <c r="Q217" s="29"/>
    </row>
    <row r="218" spans="13:17" x14ac:dyDescent="0.2">
      <c r="M218" s="29"/>
      <c r="N218" s="29"/>
      <c r="O218" s="29"/>
      <c r="P218" s="29"/>
      <c r="Q218" s="29"/>
    </row>
    <row r="219" spans="13:17" x14ac:dyDescent="0.2">
      <c r="M219" s="29"/>
      <c r="N219" s="29"/>
      <c r="O219" s="29"/>
      <c r="P219" s="29"/>
      <c r="Q219" s="29"/>
    </row>
    <row r="220" spans="13:17" x14ac:dyDescent="0.2">
      <c r="M220" s="29"/>
      <c r="N220" s="29"/>
      <c r="O220" s="29"/>
      <c r="P220" s="29"/>
      <c r="Q220" s="29"/>
    </row>
    <row r="221" spans="13:17" x14ac:dyDescent="0.2">
      <c r="M221" s="29"/>
      <c r="N221" s="29"/>
      <c r="O221" s="29"/>
      <c r="P221" s="29"/>
      <c r="Q221" s="29"/>
    </row>
    <row r="222" spans="13:17" x14ac:dyDescent="0.2">
      <c r="M222" s="29"/>
      <c r="N222" s="29"/>
      <c r="O222" s="29"/>
      <c r="P222" s="29"/>
      <c r="Q222" s="29"/>
    </row>
    <row r="223" spans="13:17" x14ac:dyDescent="0.2">
      <c r="M223" s="29"/>
      <c r="N223" s="29"/>
      <c r="O223" s="29"/>
      <c r="P223" s="29"/>
      <c r="Q223" s="29"/>
    </row>
    <row r="224" spans="13:17" x14ac:dyDescent="0.2">
      <c r="M224" s="29"/>
      <c r="N224" s="29"/>
      <c r="O224" s="29"/>
      <c r="P224" s="29"/>
      <c r="Q224" s="29"/>
    </row>
    <row r="225" spans="13:17" x14ac:dyDescent="0.2">
      <c r="M225" s="29"/>
      <c r="N225" s="29"/>
      <c r="O225" s="29"/>
      <c r="P225" s="29"/>
      <c r="Q225" s="29"/>
    </row>
    <row r="226" spans="13:17" x14ac:dyDescent="0.2">
      <c r="M226" s="29"/>
      <c r="N226" s="29"/>
      <c r="O226" s="29"/>
      <c r="P226" s="29"/>
      <c r="Q226" s="29"/>
    </row>
    <row r="227" spans="13:17" x14ac:dyDescent="0.2">
      <c r="M227" s="29"/>
      <c r="N227" s="29"/>
      <c r="O227" s="29"/>
      <c r="P227" s="29"/>
      <c r="Q227" s="29"/>
    </row>
    <row r="228" spans="13:17" x14ac:dyDescent="0.2">
      <c r="M228" s="29"/>
      <c r="N228" s="29"/>
      <c r="O228" s="29"/>
      <c r="P228" s="29"/>
      <c r="Q228" s="29"/>
    </row>
    <row r="229" spans="13:17" x14ac:dyDescent="0.2">
      <c r="M229" s="29"/>
      <c r="N229" s="29"/>
      <c r="O229" s="29"/>
      <c r="P229" s="29"/>
      <c r="Q229" s="29"/>
    </row>
    <row r="230" spans="13:17" x14ac:dyDescent="0.2">
      <c r="M230" s="29"/>
      <c r="N230" s="29"/>
      <c r="O230" s="29"/>
      <c r="P230" s="29"/>
      <c r="Q230" s="29"/>
    </row>
    <row r="231" spans="13:17" x14ac:dyDescent="0.2">
      <c r="M231" s="29"/>
      <c r="N231" s="29"/>
      <c r="O231" s="29"/>
      <c r="P231" s="29"/>
      <c r="Q231" s="29"/>
    </row>
    <row r="232" spans="13:17" x14ac:dyDescent="0.2">
      <c r="M232" s="29"/>
      <c r="N232" s="29"/>
      <c r="O232" s="29"/>
      <c r="P232" s="29"/>
      <c r="Q232" s="29"/>
    </row>
    <row r="233" spans="13:17" x14ac:dyDescent="0.2">
      <c r="M233" s="29"/>
      <c r="N233" s="29"/>
      <c r="O233" s="29"/>
      <c r="P233" s="29"/>
      <c r="Q233" s="29"/>
    </row>
    <row r="234" spans="13:17" x14ac:dyDescent="0.2">
      <c r="M234" s="29"/>
      <c r="N234" s="29"/>
      <c r="O234" s="29"/>
      <c r="P234" s="29"/>
      <c r="Q234" s="29"/>
    </row>
    <row r="235" spans="13:17" x14ac:dyDescent="0.2">
      <c r="M235" s="29"/>
      <c r="N235" s="29"/>
      <c r="O235" s="29"/>
      <c r="P235" s="29"/>
      <c r="Q235" s="29"/>
    </row>
    <row r="236" spans="13:17" x14ac:dyDescent="0.2">
      <c r="M236" s="29"/>
      <c r="N236" s="29"/>
      <c r="O236" s="29"/>
      <c r="P236" s="29"/>
      <c r="Q236" s="29"/>
    </row>
    <row r="237" spans="13:17" x14ac:dyDescent="0.2">
      <c r="M237" s="29"/>
      <c r="N237" s="29"/>
      <c r="O237" s="29"/>
      <c r="P237" s="29"/>
      <c r="Q237" s="29"/>
    </row>
    <row r="238" spans="13:17" x14ac:dyDescent="0.2">
      <c r="M238" s="29"/>
      <c r="N238" s="29"/>
      <c r="O238" s="29"/>
      <c r="P238" s="29"/>
      <c r="Q238" s="29"/>
    </row>
    <row r="239" spans="13:17" x14ac:dyDescent="0.2">
      <c r="M239" s="29"/>
      <c r="N239" s="29"/>
      <c r="O239" s="29"/>
      <c r="P239" s="29"/>
      <c r="Q239" s="29"/>
    </row>
    <row r="240" spans="13:17" x14ac:dyDescent="0.2">
      <c r="M240" s="29"/>
      <c r="N240" s="29"/>
      <c r="O240" s="29"/>
      <c r="P240" s="29"/>
      <c r="Q240" s="29"/>
    </row>
    <row r="241" spans="13:17" x14ac:dyDescent="0.2">
      <c r="M241" s="29"/>
      <c r="N241" s="29"/>
      <c r="O241" s="29"/>
      <c r="P241" s="29"/>
      <c r="Q241" s="29"/>
    </row>
    <row r="242" spans="13:17" x14ac:dyDescent="0.2">
      <c r="M242" s="29"/>
      <c r="N242" s="29"/>
      <c r="O242" s="29"/>
      <c r="P242" s="29"/>
      <c r="Q242" s="29"/>
    </row>
    <row r="243" spans="13:17" x14ac:dyDescent="0.2">
      <c r="M243" s="29"/>
      <c r="N243" s="29"/>
      <c r="O243" s="29"/>
      <c r="P243" s="29"/>
      <c r="Q243" s="29"/>
    </row>
    <row r="244" spans="13:17" x14ac:dyDescent="0.2">
      <c r="M244" s="29"/>
      <c r="N244" s="29"/>
      <c r="O244" s="29"/>
      <c r="P244" s="29"/>
      <c r="Q244" s="29"/>
    </row>
    <row r="245" spans="13:17" x14ac:dyDescent="0.2">
      <c r="M245" s="29"/>
      <c r="N245" s="29"/>
      <c r="O245" s="29"/>
      <c r="P245" s="29"/>
      <c r="Q245" s="29"/>
    </row>
    <row r="246" spans="13:17" x14ac:dyDescent="0.2">
      <c r="M246" s="29"/>
      <c r="N246" s="29"/>
      <c r="O246" s="29"/>
      <c r="P246" s="29"/>
      <c r="Q246" s="29"/>
    </row>
    <row r="247" spans="13:17" x14ac:dyDescent="0.2">
      <c r="M247" s="29"/>
      <c r="N247" s="29"/>
      <c r="O247" s="29"/>
      <c r="P247" s="29"/>
      <c r="Q247" s="29"/>
    </row>
    <row r="248" spans="13:17" x14ac:dyDescent="0.2">
      <c r="M248" s="29"/>
      <c r="N248" s="29"/>
      <c r="O248" s="29"/>
      <c r="P248" s="29"/>
      <c r="Q248" s="29"/>
    </row>
    <row r="249" spans="13:17" x14ac:dyDescent="0.2">
      <c r="M249" s="29"/>
      <c r="N249" s="29"/>
      <c r="O249" s="29"/>
      <c r="P249" s="29"/>
      <c r="Q249" s="29"/>
    </row>
    <row r="250" spans="13:17" x14ac:dyDescent="0.2">
      <c r="M250" s="29"/>
      <c r="N250" s="29"/>
      <c r="O250" s="29"/>
      <c r="P250" s="29"/>
      <c r="Q250" s="29"/>
    </row>
    <row r="251" spans="13:17" x14ac:dyDescent="0.2">
      <c r="M251" s="29"/>
      <c r="N251" s="29"/>
      <c r="O251" s="29"/>
      <c r="P251" s="29"/>
      <c r="Q251" s="29"/>
    </row>
    <row r="252" spans="13:17" x14ac:dyDescent="0.2">
      <c r="M252" s="29"/>
      <c r="N252" s="29"/>
      <c r="O252" s="29"/>
      <c r="P252" s="29"/>
      <c r="Q252" s="29"/>
    </row>
    <row r="253" spans="13:17" x14ac:dyDescent="0.2">
      <c r="M253" s="29"/>
      <c r="N253" s="29"/>
      <c r="O253" s="29"/>
      <c r="P253" s="29"/>
      <c r="Q253" s="29"/>
    </row>
    <row r="254" spans="13:17" x14ac:dyDescent="0.2">
      <c r="M254" s="29"/>
      <c r="N254" s="29"/>
      <c r="O254" s="29"/>
      <c r="P254" s="29"/>
      <c r="Q254" s="29"/>
    </row>
    <row r="255" spans="13:17" x14ac:dyDescent="0.2">
      <c r="M255" s="29"/>
      <c r="N255" s="29"/>
      <c r="O255" s="29"/>
      <c r="P255" s="29"/>
      <c r="Q255" s="29"/>
    </row>
    <row r="256" spans="13:17" x14ac:dyDescent="0.2">
      <c r="M256" s="29"/>
      <c r="N256" s="29"/>
      <c r="O256" s="29"/>
      <c r="P256" s="29"/>
      <c r="Q256" s="29"/>
    </row>
    <row r="257" spans="13:17" x14ac:dyDescent="0.2">
      <c r="M257" s="29"/>
      <c r="N257" s="29"/>
      <c r="O257" s="29"/>
      <c r="P257" s="29"/>
      <c r="Q257" s="29"/>
    </row>
    <row r="258" spans="13:17" x14ac:dyDescent="0.2">
      <c r="M258" s="29"/>
      <c r="N258" s="29"/>
      <c r="O258" s="29"/>
      <c r="P258" s="29"/>
      <c r="Q258" s="29"/>
    </row>
    <row r="259" spans="13:17" x14ac:dyDescent="0.2">
      <c r="M259" s="29"/>
      <c r="N259" s="29"/>
      <c r="O259" s="29"/>
      <c r="P259" s="29"/>
      <c r="Q259" s="29"/>
    </row>
    <row r="260" spans="13:17" x14ac:dyDescent="0.2">
      <c r="M260" s="29"/>
      <c r="N260" s="29"/>
      <c r="O260" s="29"/>
      <c r="P260" s="29"/>
      <c r="Q260" s="29"/>
    </row>
    <row r="261" spans="13:17" x14ac:dyDescent="0.2">
      <c r="M261" s="29"/>
      <c r="N261" s="29"/>
      <c r="O261" s="29"/>
      <c r="P261" s="29"/>
      <c r="Q261" s="29"/>
    </row>
    <row r="262" spans="13:17" x14ac:dyDescent="0.2">
      <c r="M262" s="29"/>
      <c r="N262" s="29"/>
      <c r="O262" s="29"/>
      <c r="P262" s="29"/>
      <c r="Q262" s="29"/>
    </row>
    <row r="263" spans="13:17" x14ac:dyDescent="0.2">
      <c r="M263" s="29"/>
      <c r="N263" s="29"/>
      <c r="O263" s="29"/>
      <c r="P263" s="29"/>
      <c r="Q263" s="29"/>
    </row>
    <row r="264" spans="13:17" x14ac:dyDescent="0.2">
      <c r="M264" s="29"/>
      <c r="N264" s="29"/>
      <c r="O264" s="29"/>
      <c r="P264" s="29"/>
      <c r="Q264" s="29"/>
    </row>
    <row r="265" spans="13:17" x14ac:dyDescent="0.2">
      <c r="M265" s="29"/>
      <c r="N265" s="29"/>
      <c r="O265" s="29"/>
      <c r="P265" s="29"/>
      <c r="Q265" s="29"/>
    </row>
    <row r="266" spans="13:17" x14ac:dyDescent="0.2">
      <c r="M266" s="29"/>
      <c r="N266" s="29"/>
      <c r="O266" s="29"/>
      <c r="P266" s="29"/>
      <c r="Q266" s="29"/>
    </row>
    <row r="267" spans="13:17" x14ac:dyDescent="0.2">
      <c r="M267" s="29"/>
      <c r="N267" s="29"/>
      <c r="O267" s="29"/>
      <c r="P267" s="29"/>
      <c r="Q267" s="29"/>
    </row>
    <row r="268" spans="13:17" x14ac:dyDescent="0.2">
      <c r="M268" s="29"/>
      <c r="N268" s="29"/>
      <c r="O268" s="29"/>
      <c r="P268" s="29"/>
      <c r="Q268" s="29"/>
    </row>
    <row r="269" spans="13:17" x14ac:dyDescent="0.2">
      <c r="M269" s="29"/>
      <c r="N269" s="29"/>
      <c r="O269" s="29"/>
      <c r="P269" s="29"/>
      <c r="Q269" s="29"/>
    </row>
    <row r="270" spans="13:17" x14ac:dyDescent="0.2">
      <c r="M270" s="29"/>
      <c r="N270" s="29"/>
      <c r="O270" s="29"/>
      <c r="P270" s="29"/>
      <c r="Q270" s="29"/>
    </row>
    <row r="271" spans="13:17" x14ac:dyDescent="0.2">
      <c r="M271" s="29"/>
      <c r="N271" s="29"/>
      <c r="O271" s="29"/>
      <c r="P271" s="29"/>
      <c r="Q271" s="29"/>
    </row>
    <row r="272" spans="13:17" x14ac:dyDescent="0.2">
      <c r="M272" s="29"/>
      <c r="N272" s="29"/>
      <c r="O272" s="29"/>
      <c r="P272" s="29"/>
      <c r="Q272" s="29"/>
    </row>
    <row r="273" spans="13:17" x14ac:dyDescent="0.2">
      <c r="M273" s="29"/>
      <c r="N273" s="29"/>
      <c r="O273" s="29"/>
      <c r="P273" s="29"/>
      <c r="Q273" s="29"/>
    </row>
    <row r="274" spans="13:17" x14ac:dyDescent="0.2">
      <c r="M274" s="29"/>
      <c r="N274" s="29"/>
      <c r="O274" s="29"/>
      <c r="P274" s="29"/>
      <c r="Q274" s="29"/>
    </row>
    <row r="275" spans="13:17" x14ac:dyDescent="0.2">
      <c r="M275" s="29"/>
      <c r="N275" s="29"/>
      <c r="O275" s="29"/>
      <c r="P275" s="29"/>
      <c r="Q275" s="29"/>
    </row>
    <row r="276" spans="13:17" x14ac:dyDescent="0.2">
      <c r="M276" s="29"/>
      <c r="N276" s="29"/>
      <c r="O276" s="29"/>
      <c r="P276" s="29"/>
      <c r="Q276" s="29"/>
    </row>
    <row r="277" spans="13:17" x14ac:dyDescent="0.2">
      <c r="M277" s="29"/>
      <c r="N277" s="29"/>
      <c r="O277" s="29"/>
      <c r="P277" s="29"/>
      <c r="Q277" s="29"/>
    </row>
    <row r="278" spans="13:17" x14ac:dyDescent="0.2">
      <c r="M278" s="29"/>
      <c r="N278" s="29"/>
      <c r="O278" s="29"/>
      <c r="P278" s="29"/>
      <c r="Q278" s="29"/>
    </row>
    <row r="279" spans="13:17" x14ac:dyDescent="0.2">
      <c r="M279" s="29"/>
      <c r="N279" s="29"/>
      <c r="O279" s="29"/>
      <c r="P279" s="29"/>
      <c r="Q279" s="29"/>
    </row>
    <row r="280" spans="13:17" x14ac:dyDescent="0.2">
      <c r="M280" s="29"/>
      <c r="N280" s="29"/>
      <c r="O280" s="29"/>
      <c r="P280" s="29"/>
      <c r="Q280" s="29"/>
    </row>
    <row r="281" spans="13:17" x14ac:dyDescent="0.2">
      <c r="M281" s="29"/>
      <c r="N281" s="29"/>
      <c r="O281" s="29"/>
      <c r="P281" s="29"/>
      <c r="Q281" s="29"/>
    </row>
    <row r="282" spans="13:17" x14ac:dyDescent="0.2">
      <c r="M282" s="29"/>
      <c r="N282" s="29"/>
      <c r="O282" s="29"/>
      <c r="P282" s="29"/>
      <c r="Q282" s="29"/>
    </row>
    <row r="283" spans="13:17" x14ac:dyDescent="0.2">
      <c r="M283" s="29"/>
      <c r="N283" s="29"/>
      <c r="O283" s="29"/>
      <c r="P283" s="29"/>
      <c r="Q283" s="29"/>
    </row>
    <row r="284" spans="13:17" x14ac:dyDescent="0.2">
      <c r="M284" s="29"/>
      <c r="N284" s="29"/>
      <c r="O284" s="29"/>
      <c r="P284" s="29"/>
      <c r="Q284" s="29"/>
    </row>
    <row r="285" spans="13:17" x14ac:dyDescent="0.2">
      <c r="M285" s="29"/>
      <c r="N285" s="29"/>
      <c r="O285" s="29"/>
      <c r="P285" s="29"/>
      <c r="Q285" s="29"/>
    </row>
    <row r="286" spans="13:17" x14ac:dyDescent="0.2">
      <c r="M286" s="29"/>
      <c r="N286" s="29"/>
      <c r="O286" s="29"/>
      <c r="P286" s="29"/>
      <c r="Q286" s="29"/>
    </row>
    <row r="287" spans="13:17" x14ac:dyDescent="0.2">
      <c r="M287" s="29"/>
      <c r="N287" s="29"/>
      <c r="O287" s="29"/>
      <c r="P287" s="29"/>
      <c r="Q287" s="29"/>
    </row>
    <row r="288" spans="13:17" x14ac:dyDescent="0.2">
      <c r="M288" s="29"/>
      <c r="N288" s="29"/>
      <c r="O288" s="29"/>
      <c r="P288" s="29"/>
      <c r="Q288" s="29"/>
    </row>
    <row r="289" spans="13:17" x14ac:dyDescent="0.2">
      <c r="M289" s="29"/>
      <c r="N289" s="29"/>
      <c r="O289" s="29"/>
      <c r="P289" s="29"/>
      <c r="Q289" s="29"/>
    </row>
    <row r="290" spans="13:17" x14ac:dyDescent="0.2">
      <c r="M290" s="29"/>
      <c r="N290" s="29"/>
      <c r="O290" s="29"/>
      <c r="P290" s="29"/>
      <c r="Q290" s="29"/>
    </row>
    <row r="291" spans="13:17" x14ac:dyDescent="0.2">
      <c r="M291" s="29"/>
      <c r="N291" s="29"/>
      <c r="O291" s="29"/>
      <c r="P291" s="29"/>
      <c r="Q291" s="29"/>
    </row>
    <row r="292" spans="13:17" x14ac:dyDescent="0.2">
      <c r="M292" s="29"/>
      <c r="N292" s="29"/>
      <c r="O292" s="29"/>
      <c r="P292" s="29"/>
      <c r="Q292" s="29"/>
    </row>
    <row r="293" spans="13:17" x14ac:dyDescent="0.2">
      <c r="M293" s="29"/>
      <c r="N293" s="29"/>
      <c r="O293" s="29"/>
      <c r="P293" s="29"/>
      <c r="Q293" s="29"/>
    </row>
    <row r="294" spans="13:17" x14ac:dyDescent="0.2">
      <c r="M294" s="29"/>
      <c r="N294" s="29"/>
      <c r="O294" s="29"/>
      <c r="P294" s="29"/>
      <c r="Q294" s="29"/>
    </row>
    <row r="295" spans="13:17" x14ac:dyDescent="0.2">
      <c r="M295" s="29"/>
      <c r="N295" s="29"/>
      <c r="O295" s="29"/>
      <c r="P295" s="29"/>
      <c r="Q295" s="29"/>
    </row>
    <row r="296" spans="13:17" x14ac:dyDescent="0.2">
      <c r="M296" s="29"/>
      <c r="N296" s="29"/>
      <c r="O296" s="29"/>
      <c r="P296" s="29"/>
      <c r="Q296" s="29"/>
    </row>
    <row r="297" spans="13:17" x14ac:dyDescent="0.2">
      <c r="M297" s="29"/>
      <c r="N297" s="29"/>
      <c r="O297" s="29"/>
      <c r="P297" s="29"/>
      <c r="Q297" s="29"/>
    </row>
    <row r="298" spans="13:17" x14ac:dyDescent="0.2">
      <c r="M298" s="29"/>
      <c r="N298" s="29"/>
      <c r="O298" s="29"/>
      <c r="P298" s="29"/>
      <c r="Q298" s="29"/>
    </row>
    <row r="299" spans="13:17" x14ac:dyDescent="0.2">
      <c r="M299" s="29"/>
      <c r="N299" s="29"/>
      <c r="O299" s="29"/>
      <c r="P299" s="29"/>
      <c r="Q299" s="29"/>
    </row>
    <row r="300" spans="13:17" x14ac:dyDescent="0.2">
      <c r="M300" s="29"/>
      <c r="N300" s="29"/>
      <c r="O300" s="29"/>
      <c r="P300" s="29"/>
      <c r="Q300" s="29"/>
    </row>
    <row r="301" spans="13:17" x14ac:dyDescent="0.2">
      <c r="M301" s="29"/>
      <c r="N301" s="29"/>
      <c r="O301" s="29"/>
      <c r="P301" s="29"/>
      <c r="Q301" s="29"/>
    </row>
    <row r="302" spans="13:17" x14ac:dyDescent="0.2">
      <c r="M302" s="29"/>
      <c r="N302" s="29"/>
      <c r="O302" s="29"/>
      <c r="P302" s="29"/>
      <c r="Q302" s="29"/>
    </row>
    <row r="303" spans="13:17" x14ac:dyDescent="0.2">
      <c r="M303" s="29"/>
      <c r="N303" s="29"/>
      <c r="O303" s="29"/>
      <c r="P303" s="29"/>
      <c r="Q303" s="29"/>
    </row>
    <row r="304" spans="13:17" x14ac:dyDescent="0.2">
      <c r="M304" s="29"/>
      <c r="N304" s="29"/>
      <c r="O304" s="29"/>
      <c r="P304" s="29"/>
      <c r="Q304" s="29"/>
    </row>
    <row r="305" spans="13:17" x14ac:dyDescent="0.2">
      <c r="M305" s="29"/>
      <c r="N305" s="29"/>
      <c r="O305" s="29"/>
      <c r="P305" s="29"/>
      <c r="Q305" s="29"/>
    </row>
    <row r="306" spans="13:17" x14ac:dyDescent="0.2">
      <c r="M306" s="29"/>
      <c r="N306" s="29"/>
      <c r="O306" s="29"/>
      <c r="P306" s="29"/>
      <c r="Q306" s="29"/>
    </row>
    <row r="307" spans="13:17" x14ac:dyDescent="0.2">
      <c r="M307" s="29"/>
      <c r="N307" s="29"/>
      <c r="O307" s="29"/>
      <c r="P307" s="29"/>
      <c r="Q307" s="29"/>
    </row>
    <row r="308" spans="13:17" x14ac:dyDescent="0.2">
      <c r="M308" s="29"/>
      <c r="N308" s="29"/>
      <c r="O308" s="29"/>
      <c r="P308" s="29"/>
      <c r="Q308" s="29"/>
    </row>
    <row r="309" spans="13:17" x14ac:dyDescent="0.2">
      <c r="M309" s="29"/>
      <c r="N309" s="29"/>
      <c r="O309" s="29"/>
      <c r="P309" s="29"/>
      <c r="Q309" s="29"/>
    </row>
    <row r="310" spans="13:17" x14ac:dyDescent="0.2">
      <c r="M310" s="29"/>
      <c r="N310" s="29"/>
      <c r="O310" s="29"/>
      <c r="P310" s="29"/>
      <c r="Q310" s="29"/>
    </row>
    <row r="311" spans="13:17" x14ac:dyDescent="0.2">
      <c r="M311" s="29"/>
      <c r="N311" s="29"/>
      <c r="O311" s="29"/>
      <c r="P311" s="29"/>
      <c r="Q311" s="29"/>
    </row>
    <row r="312" spans="13:17" x14ac:dyDescent="0.2">
      <c r="M312" s="29"/>
      <c r="N312" s="29"/>
      <c r="O312" s="29"/>
      <c r="P312" s="29"/>
      <c r="Q312" s="29"/>
    </row>
    <row r="313" spans="13:17" x14ac:dyDescent="0.2">
      <c r="M313" s="29"/>
      <c r="N313" s="29"/>
      <c r="O313" s="29"/>
      <c r="P313" s="29"/>
      <c r="Q313" s="29"/>
    </row>
    <row r="314" spans="13:17" x14ac:dyDescent="0.2">
      <c r="M314" s="29"/>
      <c r="N314" s="29"/>
      <c r="O314" s="29"/>
      <c r="P314" s="29"/>
      <c r="Q314" s="29"/>
    </row>
    <row r="315" spans="13:17" x14ac:dyDescent="0.2">
      <c r="M315" s="29"/>
      <c r="N315" s="29"/>
      <c r="O315" s="29"/>
      <c r="P315" s="29"/>
      <c r="Q315" s="29"/>
    </row>
    <row r="316" spans="13:17" x14ac:dyDescent="0.2">
      <c r="M316" s="29"/>
      <c r="N316" s="29"/>
      <c r="O316" s="29"/>
      <c r="P316" s="29"/>
      <c r="Q316" s="29"/>
    </row>
    <row r="317" spans="13:17" x14ac:dyDescent="0.2">
      <c r="M317" s="29"/>
      <c r="N317" s="29"/>
      <c r="O317" s="29"/>
      <c r="P317" s="29"/>
      <c r="Q317" s="29"/>
    </row>
    <row r="318" spans="13:17" x14ac:dyDescent="0.2">
      <c r="M318" s="29"/>
      <c r="N318" s="29"/>
      <c r="O318" s="29"/>
      <c r="P318" s="29"/>
      <c r="Q318" s="29"/>
    </row>
    <row r="319" spans="13:17" x14ac:dyDescent="0.2">
      <c r="M319" s="29"/>
      <c r="N319" s="29"/>
      <c r="O319" s="29"/>
      <c r="P319" s="29"/>
      <c r="Q319" s="29"/>
    </row>
    <row r="320" spans="13:17" x14ac:dyDescent="0.2">
      <c r="M320" s="29"/>
      <c r="N320" s="29"/>
      <c r="O320" s="29"/>
      <c r="P320" s="29"/>
      <c r="Q320" s="29"/>
    </row>
    <row r="321" spans="13:17" x14ac:dyDescent="0.2">
      <c r="M321" s="29"/>
      <c r="N321" s="29"/>
      <c r="O321" s="29"/>
      <c r="P321" s="29"/>
      <c r="Q321" s="29"/>
    </row>
    <row r="322" spans="13:17" x14ac:dyDescent="0.2">
      <c r="M322" s="29"/>
      <c r="N322" s="29"/>
      <c r="O322" s="29"/>
      <c r="P322" s="29"/>
      <c r="Q322" s="29"/>
    </row>
    <row r="323" spans="13:17" x14ac:dyDescent="0.2">
      <c r="M323" s="29"/>
      <c r="N323" s="29"/>
      <c r="O323" s="29"/>
      <c r="P323" s="29"/>
      <c r="Q323" s="29"/>
    </row>
    <row r="324" spans="13:17" x14ac:dyDescent="0.2">
      <c r="M324" s="29"/>
      <c r="N324" s="29"/>
      <c r="O324" s="29"/>
      <c r="P324" s="29"/>
      <c r="Q324" s="29"/>
    </row>
    <row r="325" spans="13:17" x14ac:dyDescent="0.2">
      <c r="M325" s="29"/>
      <c r="N325" s="29"/>
      <c r="O325" s="29"/>
      <c r="P325" s="29"/>
      <c r="Q325" s="29"/>
    </row>
    <row r="326" spans="13:17" x14ac:dyDescent="0.2">
      <c r="M326" s="29"/>
      <c r="N326" s="29"/>
      <c r="O326" s="29"/>
      <c r="P326" s="29"/>
      <c r="Q326" s="29"/>
    </row>
    <row r="327" spans="13:17" x14ac:dyDescent="0.2">
      <c r="M327" s="29"/>
      <c r="N327" s="29"/>
      <c r="O327" s="29"/>
      <c r="P327" s="29"/>
      <c r="Q327" s="29"/>
    </row>
    <row r="328" spans="13:17" x14ac:dyDescent="0.2">
      <c r="M328" s="29"/>
      <c r="N328" s="29"/>
      <c r="O328" s="29"/>
      <c r="P328" s="29"/>
      <c r="Q328" s="29"/>
    </row>
    <row r="329" spans="13:17" x14ac:dyDescent="0.2">
      <c r="M329" s="29"/>
      <c r="N329" s="29"/>
      <c r="O329" s="29"/>
      <c r="P329" s="29"/>
      <c r="Q329" s="29"/>
    </row>
    <row r="330" spans="13:17" x14ac:dyDescent="0.2">
      <c r="M330" s="29"/>
      <c r="N330" s="29"/>
      <c r="O330" s="29"/>
      <c r="P330" s="29"/>
      <c r="Q330" s="29"/>
    </row>
    <row r="331" spans="13:17" x14ac:dyDescent="0.2">
      <c r="M331" s="29"/>
      <c r="N331" s="29"/>
      <c r="O331" s="29"/>
      <c r="P331" s="29"/>
      <c r="Q331" s="29"/>
    </row>
    <row r="332" spans="13:17" x14ac:dyDescent="0.2">
      <c r="M332" s="29"/>
      <c r="N332" s="29"/>
      <c r="O332" s="29"/>
      <c r="P332" s="29"/>
      <c r="Q332" s="29"/>
    </row>
    <row r="333" spans="13:17" x14ac:dyDescent="0.2">
      <c r="M333" s="29"/>
      <c r="N333" s="29"/>
      <c r="O333" s="29"/>
      <c r="P333" s="29"/>
      <c r="Q333" s="29"/>
    </row>
    <row r="334" spans="13:17" x14ac:dyDescent="0.2">
      <c r="M334" s="29"/>
      <c r="N334" s="29"/>
      <c r="O334" s="29"/>
      <c r="P334" s="29"/>
      <c r="Q334" s="29"/>
    </row>
    <row r="335" spans="13:17" x14ac:dyDescent="0.2">
      <c r="M335" s="29"/>
      <c r="N335" s="29"/>
      <c r="O335" s="29"/>
      <c r="P335" s="29"/>
      <c r="Q335" s="29"/>
    </row>
    <row r="336" spans="13:17" x14ac:dyDescent="0.2">
      <c r="M336" s="29"/>
      <c r="N336" s="29"/>
      <c r="O336" s="29"/>
      <c r="P336" s="29"/>
      <c r="Q336" s="29"/>
    </row>
    <row r="337" spans="13:17" x14ac:dyDescent="0.2">
      <c r="M337" s="29"/>
      <c r="N337" s="29"/>
      <c r="O337" s="29"/>
      <c r="P337" s="29"/>
      <c r="Q337" s="29"/>
    </row>
    <row r="338" spans="13:17" x14ac:dyDescent="0.2">
      <c r="M338" s="29"/>
      <c r="N338" s="29"/>
      <c r="O338" s="29"/>
      <c r="P338" s="29"/>
      <c r="Q338" s="29"/>
    </row>
    <row r="339" spans="13:17" x14ac:dyDescent="0.2">
      <c r="M339" s="29"/>
      <c r="N339" s="29"/>
      <c r="O339" s="29"/>
      <c r="P339" s="29"/>
      <c r="Q339" s="29"/>
    </row>
    <row r="340" spans="13:17" x14ac:dyDescent="0.2">
      <c r="M340" s="29"/>
      <c r="N340" s="29"/>
      <c r="O340" s="29"/>
      <c r="P340" s="29"/>
      <c r="Q340" s="29"/>
    </row>
    <row r="341" spans="13:17" x14ac:dyDescent="0.2">
      <c r="M341" s="29"/>
      <c r="N341" s="29"/>
      <c r="O341" s="29"/>
      <c r="P341" s="29"/>
      <c r="Q341" s="29"/>
    </row>
    <row r="342" spans="13:17" x14ac:dyDescent="0.2">
      <c r="M342" s="29"/>
      <c r="N342" s="29"/>
      <c r="O342" s="29"/>
      <c r="P342" s="29"/>
      <c r="Q342" s="29"/>
    </row>
    <row r="343" spans="13:17" x14ac:dyDescent="0.2">
      <c r="M343" s="29"/>
      <c r="N343" s="29"/>
      <c r="O343" s="29"/>
      <c r="P343" s="29"/>
      <c r="Q343" s="29"/>
    </row>
    <row r="344" spans="13:17" x14ac:dyDescent="0.2">
      <c r="M344" s="29"/>
      <c r="N344" s="29"/>
      <c r="O344" s="29"/>
      <c r="P344" s="29"/>
      <c r="Q344" s="29"/>
    </row>
    <row r="345" spans="13:17" x14ac:dyDescent="0.2">
      <c r="M345" s="29"/>
      <c r="N345" s="29"/>
      <c r="O345" s="29"/>
      <c r="P345" s="29"/>
      <c r="Q345" s="29"/>
    </row>
    <row r="346" spans="13:17" x14ac:dyDescent="0.2">
      <c r="M346" s="29"/>
      <c r="N346" s="29"/>
      <c r="O346" s="29"/>
      <c r="P346" s="29"/>
      <c r="Q346" s="29"/>
    </row>
    <row r="347" spans="13:17" x14ac:dyDescent="0.2">
      <c r="M347" s="29"/>
      <c r="N347" s="29"/>
      <c r="O347" s="29"/>
      <c r="P347" s="29"/>
      <c r="Q347" s="29"/>
    </row>
    <row r="348" spans="13:17" x14ac:dyDescent="0.2">
      <c r="M348" s="29"/>
      <c r="N348" s="29"/>
      <c r="O348" s="29"/>
      <c r="P348" s="29"/>
      <c r="Q348" s="29"/>
    </row>
    <row r="349" spans="13:17" x14ac:dyDescent="0.2">
      <c r="M349" s="29"/>
      <c r="N349" s="29"/>
      <c r="O349" s="29"/>
      <c r="P349" s="29"/>
      <c r="Q349" s="29"/>
    </row>
    <row r="350" spans="13:17" x14ac:dyDescent="0.2">
      <c r="M350" s="29"/>
      <c r="N350" s="29"/>
      <c r="O350" s="29"/>
      <c r="P350" s="29"/>
      <c r="Q350" s="29"/>
    </row>
    <row r="351" spans="13:17" x14ac:dyDescent="0.2">
      <c r="M351" s="29"/>
      <c r="N351" s="29"/>
      <c r="O351" s="29"/>
      <c r="P351" s="29"/>
      <c r="Q351" s="29"/>
    </row>
    <row r="352" spans="13:17" x14ac:dyDescent="0.2">
      <c r="M352" s="29"/>
      <c r="N352" s="29"/>
      <c r="O352" s="29"/>
      <c r="P352" s="29"/>
      <c r="Q352" s="29"/>
    </row>
    <row r="353" spans="13:17" x14ac:dyDescent="0.2">
      <c r="M353" s="29"/>
      <c r="N353" s="29"/>
      <c r="O353" s="29"/>
      <c r="P353" s="29"/>
      <c r="Q353" s="29"/>
    </row>
    <row r="354" spans="13:17" x14ac:dyDescent="0.2">
      <c r="M354" s="29"/>
      <c r="N354" s="29"/>
      <c r="O354" s="29"/>
      <c r="P354" s="29"/>
      <c r="Q354" s="29"/>
    </row>
    <row r="355" spans="13:17" x14ac:dyDescent="0.2">
      <c r="M355" s="29"/>
      <c r="N355" s="29"/>
      <c r="O355" s="29"/>
      <c r="P355" s="29"/>
      <c r="Q355" s="29"/>
    </row>
    <row r="356" spans="13:17" x14ac:dyDescent="0.2">
      <c r="M356" s="29"/>
      <c r="N356" s="29"/>
      <c r="O356" s="29"/>
      <c r="P356" s="29"/>
      <c r="Q356" s="29"/>
    </row>
    <row r="357" spans="13:17" x14ac:dyDescent="0.2">
      <c r="M357" s="29"/>
      <c r="N357" s="29"/>
      <c r="O357" s="29"/>
      <c r="P357" s="29"/>
      <c r="Q357" s="29"/>
    </row>
    <row r="358" spans="13:17" x14ac:dyDescent="0.2">
      <c r="M358" s="29"/>
      <c r="N358" s="29"/>
      <c r="O358" s="29"/>
      <c r="P358" s="29"/>
      <c r="Q358" s="29"/>
    </row>
    <row r="359" spans="13:17" x14ac:dyDescent="0.2">
      <c r="M359" s="29"/>
      <c r="N359" s="29"/>
      <c r="O359" s="29"/>
      <c r="P359" s="29"/>
      <c r="Q359" s="29"/>
    </row>
    <row r="360" spans="13:17" x14ac:dyDescent="0.2">
      <c r="M360" s="29"/>
      <c r="N360" s="29"/>
      <c r="O360" s="29"/>
      <c r="P360" s="29"/>
      <c r="Q360" s="29"/>
    </row>
    <row r="361" spans="13:17" x14ac:dyDescent="0.2">
      <c r="M361" s="29"/>
      <c r="N361" s="29"/>
      <c r="O361" s="29"/>
      <c r="P361" s="29"/>
      <c r="Q361" s="29"/>
    </row>
    <row r="362" spans="13:17" x14ac:dyDescent="0.2">
      <c r="M362" s="29"/>
      <c r="N362" s="29"/>
      <c r="O362" s="29"/>
      <c r="P362" s="29"/>
      <c r="Q362" s="29"/>
    </row>
    <row r="363" spans="13:17" x14ac:dyDescent="0.2">
      <c r="M363" s="29"/>
      <c r="N363" s="29"/>
      <c r="O363" s="29"/>
      <c r="P363" s="29"/>
      <c r="Q363" s="29"/>
    </row>
    <row r="364" spans="13:17" x14ac:dyDescent="0.2">
      <c r="M364" s="29"/>
      <c r="N364" s="29"/>
      <c r="O364" s="29"/>
      <c r="P364" s="29"/>
      <c r="Q364" s="29"/>
    </row>
    <row r="365" spans="13:17" x14ac:dyDescent="0.2">
      <c r="M365" s="29"/>
      <c r="N365" s="29"/>
      <c r="O365" s="29"/>
      <c r="P365" s="29"/>
      <c r="Q365" s="29"/>
    </row>
    <row r="366" spans="13:17" x14ac:dyDescent="0.2">
      <c r="M366" s="29"/>
      <c r="N366" s="29"/>
      <c r="O366" s="29"/>
      <c r="P366" s="29"/>
      <c r="Q366" s="29"/>
    </row>
    <row r="367" spans="13:17" x14ac:dyDescent="0.2">
      <c r="M367" s="29"/>
      <c r="N367" s="29"/>
      <c r="O367" s="29"/>
      <c r="P367" s="29"/>
      <c r="Q367" s="29"/>
    </row>
    <row r="368" spans="13:17" x14ac:dyDescent="0.2">
      <c r="M368" s="29"/>
      <c r="N368" s="29"/>
      <c r="O368" s="29"/>
      <c r="P368" s="29"/>
      <c r="Q368" s="29"/>
    </row>
    <row r="369" spans="13:17" x14ac:dyDescent="0.2">
      <c r="M369" s="29"/>
      <c r="N369" s="29"/>
      <c r="O369" s="29"/>
      <c r="P369" s="29"/>
      <c r="Q369" s="29"/>
    </row>
    <row r="370" spans="13:17" x14ac:dyDescent="0.2">
      <c r="M370" s="29"/>
      <c r="N370" s="29"/>
      <c r="O370" s="29"/>
      <c r="P370" s="29"/>
      <c r="Q370" s="29"/>
    </row>
    <row r="371" spans="13:17" x14ac:dyDescent="0.2">
      <c r="M371" s="29"/>
      <c r="N371" s="29"/>
      <c r="O371" s="29"/>
      <c r="P371" s="29"/>
      <c r="Q371" s="29"/>
    </row>
    <row r="372" spans="13:17" x14ac:dyDescent="0.2">
      <c r="M372" s="29"/>
      <c r="N372" s="29"/>
      <c r="O372" s="29"/>
      <c r="P372" s="29"/>
      <c r="Q372" s="29"/>
    </row>
    <row r="373" spans="13:17" x14ac:dyDescent="0.2">
      <c r="M373" s="29"/>
      <c r="N373" s="29"/>
      <c r="O373" s="29"/>
      <c r="P373" s="29"/>
      <c r="Q373" s="29"/>
    </row>
    <row r="374" spans="13:17" x14ac:dyDescent="0.2">
      <c r="M374" s="29"/>
      <c r="N374" s="29"/>
      <c r="O374" s="29"/>
      <c r="P374" s="29"/>
      <c r="Q374" s="29"/>
    </row>
    <row r="375" spans="13:17" x14ac:dyDescent="0.2">
      <c r="M375" s="29"/>
      <c r="N375" s="29"/>
      <c r="O375" s="29"/>
      <c r="P375" s="29"/>
      <c r="Q375" s="29"/>
    </row>
    <row r="376" spans="13:17" x14ac:dyDescent="0.2">
      <c r="M376" s="29"/>
      <c r="N376" s="29"/>
      <c r="O376" s="29"/>
      <c r="P376" s="29"/>
      <c r="Q376" s="29"/>
    </row>
    <row r="377" spans="13:17" x14ac:dyDescent="0.2">
      <c r="M377" s="29"/>
      <c r="N377" s="29"/>
      <c r="O377" s="29"/>
      <c r="P377" s="29"/>
      <c r="Q377" s="29"/>
    </row>
    <row r="378" spans="13:17" x14ac:dyDescent="0.2">
      <c r="M378" s="29"/>
      <c r="N378" s="29"/>
      <c r="O378" s="29"/>
      <c r="P378" s="29"/>
      <c r="Q378" s="29"/>
    </row>
    <row r="379" spans="13:17" x14ac:dyDescent="0.2">
      <c r="M379" s="29"/>
      <c r="N379" s="29"/>
      <c r="O379" s="29"/>
      <c r="P379" s="29"/>
      <c r="Q379" s="29"/>
    </row>
    <row r="380" spans="13:17" x14ac:dyDescent="0.2">
      <c r="M380" s="29"/>
      <c r="N380" s="29"/>
      <c r="O380" s="29"/>
      <c r="P380" s="29"/>
      <c r="Q380" s="29"/>
    </row>
    <row r="381" spans="13:17" x14ac:dyDescent="0.2">
      <c r="M381" s="29"/>
      <c r="N381" s="29"/>
      <c r="O381" s="29"/>
      <c r="P381" s="29"/>
      <c r="Q381" s="29"/>
    </row>
    <row r="382" spans="13:17" x14ac:dyDescent="0.2">
      <c r="M382" s="29"/>
      <c r="N382" s="29"/>
      <c r="O382" s="29"/>
      <c r="P382" s="29"/>
      <c r="Q382" s="29"/>
    </row>
    <row r="383" spans="13:17" x14ac:dyDescent="0.2">
      <c r="M383" s="29"/>
      <c r="N383" s="29"/>
      <c r="O383" s="29"/>
      <c r="P383" s="29"/>
      <c r="Q383" s="29"/>
    </row>
    <row r="384" spans="13:17" x14ac:dyDescent="0.2">
      <c r="M384" s="29"/>
      <c r="N384" s="29"/>
      <c r="O384" s="29"/>
      <c r="P384" s="29"/>
      <c r="Q384" s="29"/>
    </row>
    <row r="385" spans="13:17" x14ac:dyDescent="0.2">
      <c r="M385" s="29"/>
      <c r="N385" s="29"/>
      <c r="O385" s="29"/>
      <c r="P385" s="29"/>
      <c r="Q385" s="29"/>
    </row>
    <row r="386" spans="13:17" x14ac:dyDescent="0.2">
      <c r="M386" s="29"/>
      <c r="N386" s="29"/>
      <c r="O386" s="29"/>
      <c r="P386" s="29"/>
      <c r="Q386" s="29"/>
    </row>
    <row r="387" spans="13:17" x14ac:dyDescent="0.2">
      <c r="M387" s="29"/>
      <c r="N387" s="29"/>
      <c r="O387" s="29"/>
      <c r="P387" s="29"/>
      <c r="Q387" s="29"/>
    </row>
    <row r="388" spans="13:17" x14ac:dyDescent="0.2">
      <c r="M388" s="29"/>
      <c r="N388" s="29"/>
      <c r="O388" s="29"/>
      <c r="P388" s="29"/>
      <c r="Q388" s="29"/>
    </row>
    <row r="389" spans="13:17" x14ac:dyDescent="0.2">
      <c r="M389" s="29"/>
      <c r="N389" s="29"/>
      <c r="O389" s="29"/>
      <c r="P389" s="29"/>
      <c r="Q389" s="29"/>
    </row>
    <row r="390" spans="13:17" x14ac:dyDescent="0.2">
      <c r="M390" s="29"/>
      <c r="N390" s="29"/>
      <c r="O390" s="29"/>
      <c r="P390" s="29"/>
      <c r="Q390" s="29"/>
    </row>
    <row r="391" spans="13:17" x14ac:dyDescent="0.2">
      <c r="M391" s="29"/>
      <c r="N391" s="29"/>
      <c r="O391" s="29"/>
      <c r="P391" s="29"/>
      <c r="Q391" s="29"/>
    </row>
    <row r="392" spans="13:17" x14ac:dyDescent="0.2">
      <c r="M392" s="29"/>
      <c r="N392" s="29"/>
      <c r="O392" s="29"/>
      <c r="P392" s="29"/>
      <c r="Q392" s="29"/>
    </row>
    <row r="393" spans="13:17" x14ac:dyDescent="0.2">
      <c r="M393" s="29"/>
      <c r="N393" s="29"/>
      <c r="O393" s="29"/>
      <c r="P393" s="29"/>
      <c r="Q393" s="29"/>
    </row>
    <row r="394" spans="13:17" x14ac:dyDescent="0.2">
      <c r="M394" s="29"/>
      <c r="N394" s="29"/>
      <c r="O394" s="29"/>
      <c r="P394" s="29"/>
      <c r="Q394" s="29"/>
    </row>
    <row r="395" spans="13:17" x14ac:dyDescent="0.2">
      <c r="M395" s="29"/>
      <c r="N395" s="29"/>
      <c r="O395" s="29"/>
      <c r="P395" s="29"/>
      <c r="Q395" s="29"/>
    </row>
    <row r="396" spans="13:17" x14ac:dyDescent="0.2">
      <c r="M396" s="29"/>
      <c r="N396" s="29"/>
      <c r="O396" s="29"/>
      <c r="P396" s="29"/>
      <c r="Q396" s="29"/>
    </row>
    <row r="397" spans="13:17" x14ac:dyDescent="0.2">
      <c r="M397" s="29"/>
      <c r="N397" s="29"/>
      <c r="O397" s="29"/>
      <c r="P397" s="29"/>
      <c r="Q397" s="29"/>
    </row>
    <row r="398" spans="13:17" x14ac:dyDescent="0.2">
      <c r="M398" s="29"/>
      <c r="N398" s="29"/>
      <c r="O398" s="29"/>
      <c r="P398" s="29"/>
      <c r="Q398" s="29"/>
    </row>
    <row r="399" spans="13:17" x14ac:dyDescent="0.2">
      <c r="M399" s="29"/>
      <c r="N399" s="29"/>
      <c r="O399" s="29"/>
      <c r="P399" s="29"/>
      <c r="Q399" s="29"/>
    </row>
    <row r="400" spans="13:17" x14ac:dyDescent="0.2">
      <c r="M400" s="29"/>
      <c r="N400" s="29"/>
      <c r="O400" s="29"/>
      <c r="P400" s="29"/>
      <c r="Q400" s="29"/>
    </row>
    <row r="401" spans="13:17" x14ac:dyDescent="0.2">
      <c r="M401" s="29"/>
      <c r="N401" s="29"/>
      <c r="O401" s="29"/>
      <c r="P401" s="29"/>
      <c r="Q401" s="29"/>
    </row>
    <row r="402" spans="13:17" x14ac:dyDescent="0.2">
      <c r="M402" s="29"/>
      <c r="N402" s="29"/>
      <c r="O402" s="29"/>
      <c r="P402" s="29"/>
      <c r="Q402" s="29"/>
    </row>
    <row r="403" spans="13:17" x14ac:dyDescent="0.2">
      <c r="M403" s="29"/>
      <c r="N403" s="29"/>
      <c r="O403" s="29"/>
      <c r="P403" s="29"/>
      <c r="Q403" s="29"/>
    </row>
    <row r="404" spans="13:17" x14ac:dyDescent="0.2">
      <c r="M404" s="29"/>
      <c r="N404" s="29"/>
      <c r="O404" s="29"/>
      <c r="P404" s="29"/>
      <c r="Q404" s="29"/>
    </row>
    <row r="405" spans="13:17" x14ac:dyDescent="0.2">
      <c r="M405" s="29"/>
      <c r="N405" s="29"/>
      <c r="O405" s="29"/>
      <c r="P405" s="29"/>
      <c r="Q405" s="29"/>
    </row>
    <row r="406" spans="13:17" x14ac:dyDescent="0.2">
      <c r="M406" s="29"/>
      <c r="N406" s="29"/>
      <c r="O406" s="29"/>
      <c r="P406" s="29"/>
      <c r="Q406" s="29"/>
    </row>
    <row r="407" spans="13:17" x14ac:dyDescent="0.2">
      <c r="M407" s="29"/>
      <c r="N407" s="29"/>
      <c r="O407" s="29"/>
      <c r="P407" s="29"/>
      <c r="Q407" s="29"/>
    </row>
    <row r="408" spans="13:17" x14ac:dyDescent="0.2">
      <c r="M408" s="29"/>
      <c r="N408" s="29"/>
      <c r="O408" s="29"/>
      <c r="P408" s="29"/>
      <c r="Q408" s="29"/>
    </row>
    <row r="409" spans="13:17" x14ac:dyDescent="0.2">
      <c r="M409" s="29"/>
      <c r="N409" s="29"/>
      <c r="O409" s="29"/>
      <c r="P409" s="29"/>
      <c r="Q409" s="29"/>
    </row>
    <row r="410" spans="13:17" x14ac:dyDescent="0.2">
      <c r="M410" s="29"/>
      <c r="N410" s="29"/>
      <c r="O410" s="29"/>
      <c r="P410" s="29"/>
      <c r="Q410" s="29"/>
    </row>
    <row r="411" spans="13:17" x14ac:dyDescent="0.2">
      <c r="M411" s="29"/>
      <c r="N411" s="29"/>
      <c r="O411" s="29"/>
      <c r="P411" s="29"/>
      <c r="Q411" s="29"/>
    </row>
    <row r="412" spans="13:17" x14ac:dyDescent="0.2">
      <c r="M412" s="29"/>
      <c r="N412" s="29"/>
      <c r="O412" s="29"/>
      <c r="P412" s="29"/>
      <c r="Q412" s="29"/>
    </row>
    <row r="413" spans="13:17" x14ac:dyDescent="0.2">
      <c r="M413" s="29"/>
      <c r="N413" s="29"/>
      <c r="O413" s="29"/>
      <c r="P413" s="29"/>
      <c r="Q413" s="29"/>
    </row>
    <row r="414" spans="13:17" x14ac:dyDescent="0.2">
      <c r="M414" s="29"/>
      <c r="N414" s="29"/>
      <c r="O414" s="29"/>
      <c r="P414" s="29"/>
      <c r="Q414" s="29"/>
    </row>
    <row r="415" spans="13:17" x14ac:dyDescent="0.2">
      <c r="M415" s="29"/>
      <c r="N415" s="29"/>
      <c r="O415" s="29"/>
      <c r="P415" s="29"/>
      <c r="Q415" s="29"/>
    </row>
    <row r="416" spans="13:17" x14ac:dyDescent="0.2">
      <c r="M416" s="29"/>
      <c r="N416" s="29"/>
      <c r="O416" s="29"/>
      <c r="P416" s="29"/>
      <c r="Q416" s="29"/>
    </row>
    <row r="417" spans="13:17" x14ac:dyDescent="0.2">
      <c r="M417" s="29"/>
      <c r="N417" s="29"/>
      <c r="O417" s="29"/>
      <c r="P417" s="29"/>
      <c r="Q417" s="29"/>
    </row>
    <row r="418" spans="13:17" x14ac:dyDescent="0.2">
      <c r="M418" s="29"/>
      <c r="N418" s="29"/>
      <c r="O418" s="29"/>
      <c r="P418" s="29"/>
      <c r="Q418" s="29"/>
    </row>
    <row r="419" spans="13:17" x14ac:dyDescent="0.2">
      <c r="M419" s="29"/>
      <c r="N419" s="29"/>
      <c r="O419" s="29"/>
      <c r="P419" s="29"/>
      <c r="Q419" s="29"/>
    </row>
    <row r="420" spans="13:17" x14ac:dyDescent="0.2">
      <c r="M420" s="29"/>
      <c r="N420" s="29"/>
      <c r="O420" s="29"/>
      <c r="P420" s="29"/>
      <c r="Q420" s="29"/>
    </row>
    <row r="421" spans="13:17" x14ac:dyDescent="0.2">
      <c r="M421" s="29"/>
      <c r="N421" s="29"/>
      <c r="O421" s="29"/>
      <c r="P421" s="29"/>
      <c r="Q421" s="29"/>
    </row>
    <row r="422" spans="13:17" x14ac:dyDescent="0.2">
      <c r="M422" s="29"/>
      <c r="N422" s="29"/>
      <c r="O422" s="29"/>
      <c r="P422" s="29"/>
      <c r="Q422" s="29"/>
    </row>
    <row r="423" spans="13:17" x14ac:dyDescent="0.2">
      <c r="M423" s="29"/>
      <c r="N423" s="29"/>
      <c r="O423" s="29"/>
      <c r="P423" s="29"/>
      <c r="Q423" s="29"/>
    </row>
    <row r="424" spans="13:17" x14ac:dyDescent="0.2">
      <c r="M424" s="29"/>
      <c r="N424" s="29"/>
      <c r="O424" s="29"/>
      <c r="P424" s="29"/>
      <c r="Q424" s="29"/>
    </row>
    <row r="425" spans="13:17" x14ac:dyDescent="0.2">
      <c r="M425" s="29"/>
      <c r="N425" s="29"/>
      <c r="O425" s="29"/>
      <c r="P425" s="29"/>
      <c r="Q425" s="29"/>
    </row>
    <row r="426" spans="13:17" x14ac:dyDescent="0.2">
      <c r="M426" s="29"/>
      <c r="N426" s="29"/>
      <c r="O426" s="29"/>
      <c r="P426" s="29"/>
      <c r="Q426" s="29"/>
    </row>
    <row r="427" spans="13:17" x14ac:dyDescent="0.2">
      <c r="M427" s="29"/>
      <c r="N427" s="29"/>
      <c r="O427" s="29"/>
      <c r="P427" s="29"/>
      <c r="Q427" s="29"/>
    </row>
    <row r="428" spans="13:17" x14ac:dyDescent="0.2">
      <c r="M428" s="29"/>
      <c r="N428" s="29"/>
      <c r="O428" s="29"/>
      <c r="P428" s="29"/>
      <c r="Q428" s="29"/>
    </row>
    <row r="429" spans="13:17" x14ac:dyDescent="0.2">
      <c r="M429" s="29"/>
      <c r="N429" s="29"/>
      <c r="O429" s="29"/>
      <c r="P429" s="29"/>
      <c r="Q429" s="29"/>
    </row>
    <row r="430" spans="13:17" x14ac:dyDescent="0.2">
      <c r="M430" s="29"/>
      <c r="N430" s="29"/>
      <c r="O430" s="29"/>
      <c r="P430" s="29"/>
      <c r="Q430" s="29"/>
    </row>
    <row r="431" spans="13:17" x14ac:dyDescent="0.2">
      <c r="M431" s="29"/>
      <c r="N431" s="29"/>
      <c r="O431" s="29"/>
      <c r="P431" s="29"/>
      <c r="Q431" s="29"/>
    </row>
    <row r="432" spans="13:17" x14ac:dyDescent="0.2">
      <c r="M432" s="29"/>
      <c r="N432" s="29"/>
      <c r="O432" s="29"/>
      <c r="P432" s="29"/>
      <c r="Q432" s="29"/>
    </row>
    <row r="433" spans="13:17" x14ac:dyDescent="0.2">
      <c r="M433" s="29"/>
      <c r="N433" s="29"/>
      <c r="O433" s="29"/>
      <c r="P433" s="29"/>
      <c r="Q433" s="29"/>
    </row>
    <row r="434" spans="13:17" x14ac:dyDescent="0.2">
      <c r="M434" s="29"/>
      <c r="N434" s="29"/>
      <c r="O434" s="29"/>
      <c r="P434" s="29"/>
      <c r="Q434" s="29"/>
    </row>
    <row r="435" spans="13:17" x14ac:dyDescent="0.2">
      <c r="M435" s="29"/>
      <c r="N435" s="29"/>
      <c r="O435" s="29"/>
      <c r="P435" s="29"/>
      <c r="Q435" s="29"/>
    </row>
    <row r="436" spans="13:17" x14ac:dyDescent="0.2">
      <c r="M436" s="29"/>
      <c r="N436" s="29"/>
      <c r="O436" s="29"/>
      <c r="P436" s="29"/>
      <c r="Q436" s="29"/>
    </row>
    <row r="437" spans="13:17" x14ac:dyDescent="0.2">
      <c r="M437" s="29"/>
      <c r="N437" s="29"/>
      <c r="O437" s="29"/>
      <c r="P437" s="29"/>
      <c r="Q437" s="29"/>
    </row>
    <row r="438" spans="13:17" x14ac:dyDescent="0.2">
      <c r="M438" s="29"/>
      <c r="N438" s="29"/>
      <c r="O438" s="29"/>
      <c r="P438" s="29"/>
      <c r="Q438" s="29"/>
    </row>
    <row r="439" spans="13:17" x14ac:dyDescent="0.2">
      <c r="M439" s="29"/>
      <c r="N439" s="29"/>
      <c r="O439" s="29"/>
      <c r="P439" s="29"/>
      <c r="Q439" s="29"/>
    </row>
    <row r="440" spans="13:17" x14ac:dyDescent="0.2">
      <c r="M440" s="29"/>
      <c r="N440" s="29"/>
      <c r="O440" s="29"/>
      <c r="P440" s="29"/>
      <c r="Q440" s="29"/>
    </row>
    <row r="441" spans="13:17" x14ac:dyDescent="0.2">
      <c r="M441" s="29"/>
      <c r="N441" s="29"/>
      <c r="O441" s="29"/>
      <c r="P441" s="29"/>
      <c r="Q441" s="29"/>
    </row>
    <row r="442" spans="13:17" x14ac:dyDescent="0.2">
      <c r="M442" s="29"/>
      <c r="N442" s="29"/>
      <c r="O442" s="29"/>
      <c r="P442" s="29"/>
      <c r="Q442" s="29"/>
    </row>
    <row r="443" spans="13:17" x14ac:dyDescent="0.2">
      <c r="M443" s="29"/>
      <c r="N443" s="29"/>
      <c r="O443" s="29"/>
      <c r="P443" s="29"/>
      <c r="Q443" s="29"/>
    </row>
    <row r="444" spans="13:17" x14ac:dyDescent="0.2">
      <c r="M444" s="29"/>
      <c r="N444" s="29"/>
      <c r="O444" s="29"/>
      <c r="P444" s="29"/>
      <c r="Q444" s="29"/>
    </row>
    <row r="445" spans="13:17" x14ac:dyDescent="0.2">
      <c r="M445" s="29"/>
      <c r="N445" s="29"/>
      <c r="O445" s="29"/>
      <c r="P445" s="29"/>
      <c r="Q445" s="29"/>
    </row>
    <row r="446" spans="13:17" x14ac:dyDescent="0.2">
      <c r="M446" s="29"/>
      <c r="N446" s="29"/>
      <c r="O446" s="29"/>
      <c r="P446" s="29"/>
      <c r="Q446" s="29"/>
    </row>
    <row r="447" spans="13:17" x14ac:dyDescent="0.2">
      <c r="M447" s="29"/>
      <c r="N447" s="29"/>
      <c r="O447" s="29"/>
      <c r="P447" s="29"/>
      <c r="Q447" s="29"/>
    </row>
    <row r="448" spans="13:17" x14ac:dyDescent="0.2">
      <c r="M448" s="29"/>
      <c r="N448" s="29"/>
      <c r="O448" s="29"/>
      <c r="P448" s="29"/>
      <c r="Q448" s="29"/>
    </row>
    <row r="449" spans="13:17" x14ac:dyDescent="0.2">
      <c r="M449" s="29"/>
      <c r="N449" s="29"/>
      <c r="O449" s="29"/>
      <c r="P449" s="29"/>
      <c r="Q449" s="29"/>
    </row>
    <row r="450" spans="13:17" x14ac:dyDescent="0.2">
      <c r="M450" s="29"/>
      <c r="N450" s="29"/>
      <c r="O450" s="29"/>
      <c r="P450" s="29"/>
      <c r="Q450" s="29"/>
    </row>
    <row r="451" spans="13:17" x14ac:dyDescent="0.2">
      <c r="M451" s="29"/>
      <c r="N451" s="29"/>
      <c r="O451" s="29"/>
      <c r="P451" s="29"/>
      <c r="Q451" s="29"/>
    </row>
    <row r="452" spans="13:17" x14ac:dyDescent="0.2">
      <c r="M452" s="29"/>
      <c r="N452" s="29"/>
      <c r="O452" s="29"/>
      <c r="P452" s="29"/>
      <c r="Q452" s="29"/>
    </row>
    <row r="453" spans="13:17" x14ac:dyDescent="0.2">
      <c r="M453" s="29"/>
      <c r="N453" s="29"/>
      <c r="O453" s="29"/>
      <c r="P453" s="29"/>
      <c r="Q453" s="29"/>
    </row>
    <row r="454" spans="13:17" x14ac:dyDescent="0.2">
      <c r="M454" s="29"/>
      <c r="N454" s="29"/>
      <c r="O454" s="29"/>
      <c r="P454" s="29"/>
      <c r="Q454" s="29"/>
    </row>
    <row r="455" spans="13:17" x14ac:dyDescent="0.2">
      <c r="M455" s="29"/>
      <c r="N455" s="29"/>
      <c r="O455" s="29"/>
      <c r="P455" s="29"/>
      <c r="Q455" s="29"/>
    </row>
    <row r="456" spans="13:17" x14ac:dyDescent="0.2">
      <c r="M456" s="29"/>
      <c r="N456" s="29"/>
      <c r="O456" s="29"/>
      <c r="P456" s="29"/>
      <c r="Q456" s="29"/>
    </row>
    <row r="457" spans="13:17" x14ac:dyDescent="0.2">
      <c r="M457" s="29"/>
      <c r="N457" s="29"/>
      <c r="O457" s="29"/>
      <c r="P457" s="29"/>
      <c r="Q457" s="29"/>
    </row>
    <row r="458" spans="13:17" x14ac:dyDescent="0.2">
      <c r="M458" s="29"/>
      <c r="N458" s="29"/>
      <c r="O458" s="29"/>
      <c r="P458" s="29"/>
      <c r="Q458" s="29"/>
    </row>
    <row r="459" spans="13:17" x14ac:dyDescent="0.2">
      <c r="M459" s="29"/>
      <c r="N459" s="29"/>
      <c r="O459" s="29"/>
      <c r="P459" s="29"/>
      <c r="Q459" s="29"/>
    </row>
    <row r="460" spans="13:17" x14ac:dyDescent="0.2">
      <c r="M460" s="29"/>
      <c r="N460" s="29"/>
      <c r="O460" s="29"/>
      <c r="P460" s="29"/>
      <c r="Q460" s="29"/>
    </row>
    <row r="461" spans="13:17" x14ac:dyDescent="0.2">
      <c r="M461" s="29"/>
      <c r="N461" s="29"/>
      <c r="O461" s="29"/>
      <c r="P461" s="29"/>
      <c r="Q461" s="29"/>
    </row>
    <row r="462" spans="13:17" x14ac:dyDescent="0.2">
      <c r="M462" s="29"/>
      <c r="N462" s="29"/>
      <c r="O462" s="29"/>
      <c r="P462" s="29"/>
      <c r="Q462" s="29"/>
    </row>
    <row r="463" spans="13:17" x14ac:dyDescent="0.2">
      <c r="M463" s="29"/>
      <c r="N463" s="29"/>
      <c r="O463" s="29"/>
      <c r="P463" s="29"/>
      <c r="Q463" s="29"/>
    </row>
  </sheetData>
  <mergeCells count="24">
    <mergeCell ref="P5:P6"/>
    <mergeCell ref="Q5:Q6"/>
    <mergeCell ref="W5:W6"/>
    <mergeCell ref="R5:R6"/>
    <mergeCell ref="S5:S6"/>
    <mergeCell ref="T5:T6"/>
    <mergeCell ref="U5:U6"/>
    <mergeCell ref="V5:V6"/>
    <mergeCell ref="P4:T4"/>
    <mergeCell ref="A5:A6"/>
    <mergeCell ref="B5:B6"/>
    <mergeCell ref="C5:C6"/>
    <mergeCell ref="D5:D6"/>
    <mergeCell ref="E5:E6"/>
    <mergeCell ref="F5:F6"/>
    <mergeCell ref="G5:G6"/>
    <mergeCell ref="H5:H6"/>
    <mergeCell ref="I5:I6"/>
    <mergeCell ref="J5:J6"/>
    <mergeCell ref="K5:K6"/>
    <mergeCell ref="L5:L6"/>
    <mergeCell ref="M5:M6"/>
    <mergeCell ref="N5:N6"/>
    <mergeCell ref="O5:O6"/>
  </mergeCells>
  <pageMargins left="0.11811023622047245" right="0.11811023622047245" top="0.35433070866141736" bottom="0.55118110236220474" header="0.31496062992125984" footer="0.31496062992125984"/>
  <pageSetup paperSize="9" scale="35" fitToHeight="0" orientation="landscape" r:id="rId1"/>
  <headerFooter alignWithMargins="0">
    <oddFooter>&amp;R&amp;P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M463"/>
  <sheetViews>
    <sheetView topLeftCell="P1" zoomScale="70" zoomScaleNormal="70" workbookViewId="0">
      <pane ySplit="4" topLeftCell="A5" activePane="bottomLeft" state="frozen"/>
      <selection pane="bottomLeft" activeCell="U10" sqref="U10"/>
    </sheetView>
  </sheetViews>
  <sheetFormatPr defaultColWidth="8.85546875" defaultRowHeight="12.75" x14ac:dyDescent="0.2"/>
  <cols>
    <col min="1" max="1" width="5.5703125" style="1" customWidth="1"/>
    <col min="2" max="2" width="23" style="1" customWidth="1"/>
    <col min="3" max="3" width="12.85546875" style="1" bestFit="1" customWidth="1"/>
    <col min="4" max="4" width="12.85546875" style="1" customWidth="1"/>
    <col min="5" max="5" width="15.28515625" style="1" customWidth="1"/>
    <col min="6" max="6" width="9.42578125" style="1" customWidth="1"/>
    <col min="7" max="7" width="16.85546875" style="1" customWidth="1"/>
    <col min="8" max="8" width="39.140625" style="1" customWidth="1"/>
    <col min="9" max="9" width="11" style="1" customWidth="1"/>
    <col min="10" max="10" width="15.7109375" style="1" customWidth="1"/>
    <col min="11" max="11" width="11.7109375" style="1" customWidth="1"/>
    <col min="12" max="12" width="23" style="1" customWidth="1"/>
    <col min="13" max="13" width="10.140625" style="1" customWidth="1"/>
    <col min="14" max="14" width="6.28515625" style="1" customWidth="1"/>
    <col min="15" max="15" width="22.140625" style="1" customWidth="1"/>
    <col min="16" max="16" width="16.140625" style="1" customWidth="1"/>
    <col min="17" max="17" width="52.42578125" style="1" customWidth="1"/>
    <col min="18" max="19" width="14.5703125" style="1" customWidth="1"/>
    <col min="20" max="21" width="12" style="1" customWidth="1"/>
    <col min="22" max="22" width="13.5703125" style="1" customWidth="1"/>
    <col min="23" max="23" width="14.5703125" style="1" customWidth="1"/>
    <col min="24" max="24" width="15" style="1" customWidth="1"/>
    <col min="25" max="25" width="32.85546875" style="1" customWidth="1"/>
    <col min="26" max="26" width="26.42578125" style="1" customWidth="1"/>
    <col min="27" max="27" width="37.85546875" style="493" customWidth="1"/>
    <col min="28" max="28" width="8.85546875" style="1"/>
    <col min="29" max="29" width="13" style="1" customWidth="1"/>
    <col min="30" max="32" width="8.85546875" style="1"/>
    <col min="33" max="33" width="10" style="1" bestFit="1" customWidth="1"/>
    <col min="34" max="16384" width="8.85546875" style="1"/>
  </cols>
  <sheetData>
    <row r="1" spans="1:39" ht="13.5" thickBot="1" x14ac:dyDescent="0.25">
      <c r="A1" s="7" t="s">
        <v>177</v>
      </c>
      <c r="B1" s="2"/>
      <c r="C1" s="2"/>
      <c r="D1" s="2"/>
      <c r="E1" s="2"/>
      <c r="F1" s="2"/>
      <c r="G1" s="2"/>
      <c r="H1" s="2"/>
      <c r="I1" s="2"/>
      <c r="AC1" s="2"/>
      <c r="AD1" s="8"/>
      <c r="AE1" s="8"/>
      <c r="AF1" s="9"/>
      <c r="AG1" s="8"/>
      <c r="AH1" s="8"/>
      <c r="AI1" s="8"/>
      <c r="AJ1" s="2"/>
      <c r="AK1" s="2"/>
      <c r="AL1" s="26"/>
      <c r="AM1" s="26"/>
    </row>
    <row r="2" spans="1:39" x14ac:dyDescent="0.2">
      <c r="A2" s="44"/>
      <c r="B2" s="81"/>
      <c r="C2" s="81"/>
      <c r="D2" s="81"/>
      <c r="E2" s="81"/>
      <c r="F2" s="81"/>
      <c r="G2" s="81"/>
      <c r="H2" s="773"/>
      <c r="I2" s="773"/>
      <c r="J2" s="773"/>
      <c r="K2" s="773"/>
      <c r="L2" s="773"/>
      <c r="M2" s="773"/>
      <c r="N2" s="773"/>
      <c r="O2" s="773"/>
      <c r="P2" s="773"/>
      <c r="Q2" s="773"/>
      <c r="R2" s="773"/>
      <c r="S2" s="773"/>
      <c r="T2" s="773"/>
      <c r="U2" s="774"/>
      <c r="V2" s="775"/>
      <c r="W2" s="775"/>
      <c r="X2" s="149"/>
      <c r="Y2" s="149"/>
      <c r="Z2" s="164" t="s">
        <v>56</v>
      </c>
      <c r="AA2" s="678" t="s">
        <v>50</v>
      </c>
      <c r="AD2" s="8"/>
      <c r="AE2" s="8"/>
      <c r="AF2" s="9"/>
      <c r="AG2" s="8"/>
      <c r="AH2" s="8"/>
      <c r="AI2" s="8"/>
      <c r="AJ2" s="3"/>
      <c r="AK2" s="2"/>
      <c r="AL2" s="26"/>
      <c r="AM2" s="7"/>
    </row>
    <row r="3" spans="1:39" ht="13.5" thickBot="1" x14ac:dyDescent="0.25">
      <c r="A3" s="83"/>
      <c r="B3" s="84"/>
      <c r="C3" s="84"/>
      <c r="D3" s="84"/>
      <c r="E3" s="84"/>
      <c r="F3" s="84"/>
      <c r="G3" s="84"/>
      <c r="H3" s="84"/>
      <c r="I3" s="84"/>
      <c r="J3" s="84"/>
      <c r="K3" s="84"/>
      <c r="L3" s="84"/>
      <c r="M3" s="84"/>
      <c r="N3" s="84"/>
      <c r="O3" s="84"/>
      <c r="P3" s="84"/>
      <c r="Q3" s="84"/>
      <c r="R3" s="776"/>
      <c r="S3" s="776"/>
      <c r="T3" s="776"/>
      <c r="U3" s="149"/>
      <c r="V3" s="81"/>
      <c r="W3" s="81"/>
      <c r="X3" s="81"/>
      <c r="Y3" s="81"/>
      <c r="Z3" s="165" t="s">
        <v>55</v>
      </c>
      <c r="AA3" s="494">
        <v>2019</v>
      </c>
      <c r="AD3" s="132"/>
      <c r="AE3" s="132"/>
      <c r="AF3" s="132"/>
      <c r="AG3" s="132"/>
      <c r="AH3" s="132"/>
      <c r="AI3" s="132"/>
      <c r="AJ3" s="132"/>
      <c r="AK3" s="132"/>
      <c r="AL3" s="132"/>
      <c r="AM3" s="132"/>
    </row>
    <row r="4" spans="1:39" ht="102.95" customHeight="1" thickBot="1" x14ac:dyDescent="0.25">
      <c r="A4" s="133" t="s">
        <v>0</v>
      </c>
      <c r="B4" s="134" t="s">
        <v>178</v>
      </c>
      <c r="C4" s="134" t="s">
        <v>179</v>
      </c>
      <c r="D4" s="134" t="s">
        <v>180</v>
      </c>
      <c r="E4" s="134" t="s">
        <v>65</v>
      </c>
      <c r="F4" s="135" t="s">
        <v>181</v>
      </c>
      <c r="G4" s="99" t="s">
        <v>237</v>
      </c>
      <c r="H4" s="136" t="s">
        <v>243</v>
      </c>
      <c r="I4" s="134" t="s">
        <v>238</v>
      </c>
      <c r="J4" s="137" t="s">
        <v>9</v>
      </c>
      <c r="K4" s="138" t="s">
        <v>182</v>
      </c>
      <c r="L4" s="134" t="s">
        <v>244</v>
      </c>
      <c r="M4" s="134" t="s">
        <v>183</v>
      </c>
      <c r="N4" s="134" t="s">
        <v>184</v>
      </c>
      <c r="O4" s="134" t="s">
        <v>185</v>
      </c>
      <c r="P4" s="134" t="s">
        <v>245</v>
      </c>
      <c r="Q4" s="139" t="s">
        <v>4</v>
      </c>
      <c r="R4" s="487" t="s">
        <v>186</v>
      </c>
      <c r="S4" s="487" t="s">
        <v>266</v>
      </c>
      <c r="T4" s="487" t="s">
        <v>187</v>
      </c>
      <c r="U4" s="488" t="s">
        <v>188</v>
      </c>
      <c r="V4" s="487" t="s">
        <v>267</v>
      </c>
      <c r="W4" s="487" t="s">
        <v>268</v>
      </c>
      <c r="X4" s="489" t="s">
        <v>269</v>
      </c>
      <c r="Y4" s="490" t="s">
        <v>246</v>
      </c>
      <c r="Z4" s="490" t="s">
        <v>247</v>
      </c>
      <c r="AA4" s="491" t="s">
        <v>154</v>
      </c>
      <c r="AB4" s="140"/>
      <c r="AC4" s="141"/>
      <c r="AD4" s="142"/>
      <c r="AE4" s="142"/>
      <c r="AF4" s="140"/>
      <c r="AG4" s="140"/>
      <c r="AH4" s="140"/>
      <c r="AI4" s="140"/>
      <c r="AJ4" s="140"/>
      <c r="AK4" s="140"/>
    </row>
    <row r="5" spans="1:39" s="4" customFormat="1" ht="39.75" x14ac:dyDescent="0.3">
      <c r="A5" s="286" t="s">
        <v>752</v>
      </c>
      <c r="B5" s="287" t="s">
        <v>753</v>
      </c>
      <c r="C5" s="287" t="s">
        <v>754</v>
      </c>
      <c r="D5" s="287" t="s">
        <v>6</v>
      </c>
      <c r="E5" s="287" t="s">
        <v>77</v>
      </c>
      <c r="F5" s="287" t="s">
        <v>6</v>
      </c>
      <c r="G5" s="287" t="s">
        <v>195</v>
      </c>
      <c r="H5" s="287" t="s">
        <v>755</v>
      </c>
      <c r="I5" s="286" t="s">
        <v>756</v>
      </c>
      <c r="J5" s="286" t="s">
        <v>757</v>
      </c>
      <c r="K5" s="286"/>
      <c r="L5" s="286" t="s">
        <v>758</v>
      </c>
      <c r="M5" s="198"/>
      <c r="N5" s="198"/>
      <c r="O5" s="198"/>
      <c r="P5" s="198"/>
      <c r="Q5" s="288" t="s">
        <v>759</v>
      </c>
      <c r="R5" s="486" t="s">
        <v>1750</v>
      </c>
      <c r="S5" s="486" t="s">
        <v>6</v>
      </c>
      <c r="T5" s="486" t="s">
        <v>7</v>
      </c>
      <c r="U5" s="486" t="s">
        <v>7</v>
      </c>
      <c r="V5" s="485" t="s">
        <v>7</v>
      </c>
      <c r="W5" s="486" t="s">
        <v>7</v>
      </c>
      <c r="X5" s="486" t="s">
        <v>7</v>
      </c>
      <c r="Y5" s="686" t="str">
        <f>IF(OR(T5&lt;=(K5*0.9),T5&gt;=(K5*1.5)),"X","")</f>
        <v>X</v>
      </c>
      <c r="Z5" s="686" t="str">
        <f>IF(OR(U5&lt;=(M5*0.9),U5&gt;=(M5*1.5)),"X","")</f>
        <v>X</v>
      </c>
      <c r="AA5" s="495" t="s">
        <v>1751</v>
      </c>
      <c r="AC5" s="680"/>
      <c r="AD5" s="142"/>
      <c r="AE5" s="142"/>
      <c r="AF5" s="140"/>
      <c r="AH5" s="140"/>
      <c r="AI5" s="140"/>
      <c r="AJ5" s="140"/>
      <c r="AK5" s="140"/>
    </row>
    <row r="6" spans="1:39" s="4" customFormat="1" ht="36.75" customHeight="1" x14ac:dyDescent="0.3">
      <c r="A6" s="199" t="s">
        <v>277</v>
      </c>
      <c r="B6" s="287" t="s">
        <v>760</v>
      </c>
      <c r="C6" s="287" t="s">
        <v>761</v>
      </c>
      <c r="D6" s="287" t="s">
        <v>6</v>
      </c>
      <c r="E6" s="287" t="s">
        <v>77</v>
      </c>
      <c r="F6" s="287" t="s">
        <v>6</v>
      </c>
      <c r="G6" s="287" t="s">
        <v>195</v>
      </c>
      <c r="H6" s="287" t="s">
        <v>762</v>
      </c>
      <c r="I6" s="287" t="s">
        <v>763</v>
      </c>
      <c r="J6" s="287" t="s">
        <v>757</v>
      </c>
      <c r="K6" s="760">
        <v>47</v>
      </c>
      <c r="L6" s="287" t="s">
        <v>764</v>
      </c>
      <c r="M6" s="287">
        <v>170</v>
      </c>
      <c r="N6" s="760" t="s">
        <v>765</v>
      </c>
      <c r="O6" s="760" t="s">
        <v>766</v>
      </c>
      <c r="P6" s="760" t="s">
        <v>767</v>
      </c>
      <c r="Q6" s="770"/>
      <c r="R6" s="298" t="s">
        <v>1753</v>
      </c>
      <c r="S6" s="298" t="s">
        <v>7</v>
      </c>
      <c r="T6" s="298">
        <v>46</v>
      </c>
      <c r="U6" s="298">
        <v>162</v>
      </c>
      <c r="V6" s="297" t="s">
        <v>6</v>
      </c>
      <c r="W6" s="298" t="s">
        <v>6</v>
      </c>
      <c r="X6" s="298" t="s">
        <v>6</v>
      </c>
      <c r="Y6" s="686" t="str">
        <f t="shared" ref="Y6:Y14" si="0">IF(OR(T6&lt;=(K6*0.9),T6&gt;=(K6*1.5)),"X","")</f>
        <v/>
      </c>
      <c r="Z6" s="686" t="str">
        <f t="shared" ref="Z6:Z32" si="1">IF(OR(U6&lt;=(M6*0.9),U6&gt;=(M6*1.5)),"X","")</f>
        <v/>
      </c>
      <c r="AA6" s="496" t="s">
        <v>1752</v>
      </c>
      <c r="AB6" s="140" t="str">
        <f>IF(OR( T6&gt;(K6/90), T6&lt;(K6*1.5), T6&lt;(K6/90), T6&gt;(K6*1.5)),"", "X")</f>
        <v/>
      </c>
      <c r="AD6" s="142"/>
      <c r="AE6" s="142"/>
      <c r="AF6" s="140"/>
      <c r="AG6" s="685"/>
      <c r="AH6" s="140"/>
      <c r="AI6" s="140"/>
      <c r="AJ6" s="140"/>
      <c r="AK6" s="140"/>
    </row>
    <row r="7" spans="1:39" s="4" customFormat="1" ht="38.25" x14ac:dyDescent="0.3">
      <c r="A7" s="199" t="s">
        <v>277</v>
      </c>
      <c r="B7" s="287" t="s">
        <v>760</v>
      </c>
      <c r="C7" s="287" t="s">
        <v>761</v>
      </c>
      <c r="D7" s="287" t="s">
        <v>6</v>
      </c>
      <c r="E7" s="287" t="s">
        <v>77</v>
      </c>
      <c r="F7" s="287" t="s">
        <v>6</v>
      </c>
      <c r="G7" s="287" t="s">
        <v>195</v>
      </c>
      <c r="H7" s="287" t="s">
        <v>762</v>
      </c>
      <c r="I7" s="287" t="s">
        <v>763</v>
      </c>
      <c r="J7" s="287" t="s">
        <v>757</v>
      </c>
      <c r="K7" s="761"/>
      <c r="L7" s="287" t="s">
        <v>768</v>
      </c>
      <c r="M7" s="287">
        <v>170</v>
      </c>
      <c r="N7" s="761"/>
      <c r="O7" s="761"/>
      <c r="P7" s="761"/>
      <c r="Q7" s="771"/>
      <c r="R7" s="298" t="s">
        <v>1753</v>
      </c>
      <c r="S7" s="298" t="s">
        <v>7</v>
      </c>
      <c r="T7" s="298">
        <v>46</v>
      </c>
      <c r="U7" s="298">
        <v>162</v>
      </c>
      <c r="V7" s="297" t="s">
        <v>6</v>
      </c>
      <c r="W7" s="298" t="s">
        <v>6</v>
      </c>
      <c r="X7" s="298" t="s">
        <v>6</v>
      </c>
      <c r="Y7" s="686" t="str">
        <f>IF(OR(T7&lt;=(K6*0.9),T7&gt;=(K6*1.5)),"X","")</f>
        <v/>
      </c>
      <c r="Z7" s="686" t="str">
        <f t="shared" si="1"/>
        <v/>
      </c>
      <c r="AA7" s="496" t="s">
        <v>1752</v>
      </c>
      <c r="AB7" s="140" t="str">
        <f t="shared" ref="AB7:AB27" si="2">IF(OR( T7&gt;(K7/90), T7&lt;(K7*1.5), T7&lt;(K7/90), T7&gt;(K7*1.5)),"", "X")</f>
        <v/>
      </c>
      <c r="AC7" s="141"/>
      <c r="AD7" s="142"/>
      <c r="AE7" s="142"/>
      <c r="AF7" s="140"/>
      <c r="AG7" s="685"/>
      <c r="AH7" s="142"/>
      <c r="AI7" s="140"/>
      <c r="AJ7" s="140"/>
      <c r="AK7" s="140"/>
    </row>
    <row r="8" spans="1:39" ht="34.5" customHeight="1" x14ac:dyDescent="0.3">
      <c r="A8" s="199" t="s">
        <v>277</v>
      </c>
      <c r="B8" s="287" t="s">
        <v>760</v>
      </c>
      <c r="C8" s="287" t="s">
        <v>761</v>
      </c>
      <c r="D8" s="287" t="s">
        <v>6</v>
      </c>
      <c r="E8" s="287" t="s">
        <v>77</v>
      </c>
      <c r="F8" s="287" t="s">
        <v>6</v>
      </c>
      <c r="G8" s="287" t="s">
        <v>195</v>
      </c>
      <c r="H8" s="287" t="s">
        <v>762</v>
      </c>
      <c r="I8" s="287" t="s">
        <v>763</v>
      </c>
      <c r="J8" s="287" t="s">
        <v>757</v>
      </c>
      <c r="K8" s="761"/>
      <c r="L8" s="287" t="s">
        <v>769</v>
      </c>
      <c r="M8" s="287">
        <v>170</v>
      </c>
      <c r="N8" s="762"/>
      <c r="O8" s="762"/>
      <c r="P8" s="762"/>
      <c r="Q8" s="772"/>
      <c r="R8" s="297" t="s">
        <v>1753</v>
      </c>
      <c r="S8" s="297" t="s">
        <v>7</v>
      </c>
      <c r="T8" s="297">
        <v>46</v>
      </c>
      <c r="U8" s="297">
        <v>162</v>
      </c>
      <c r="V8" s="297" t="s">
        <v>6</v>
      </c>
      <c r="W8" s="297" t="s">
        <v>6</v>
      </c>
      <c r="X8" s="297" t="s">
        <v>6</v>
      </c>
      <c r="Y8" s="686" t="str">
        <f>IF(OR(T8&lt;=(K6*0.9),T8&gt;=(K6*1.5)),"X","")</f>
        <v/>
      </c>
      <c r="Z8" s="686" t="str">
        <f t="shared" si="1"/>
        <v/>
      </c>
      <c r="AA8" s="492" t="s">
        <v>1752</v>
      </c>
      <c r="AB8" s="140" t="str">
        <f t="shared" si="2"/>
        <v/>
      </c>
      <c r="AG8" s="685"/>
      <c r="AH8" s="142"/>
      <c r="AI8" s="140"/>
    </row>
    <row r="9" spans="1:39" ht="25.5" x14ac:dyDescent="0.3">
      <c r="A9" s="199" t="s">
        <v>277</v>
      </c>
      <c r="B9" s="287" t="s">
        <v>770</v>
      </c>
      <c r="C9" s="287"/>
      <c r="D9" s="287" t="s">
        <v>6</v>
      </c>
      <c r="E9" s="287" t="s">
        <v>77</v>
      </c>
      <c r="F9" s="287" t="s">
        <v>6</v>
      </c>
      <c r="G9" s="188" t="s">
        <v>195</v>
      </c>
      <c r="H9" s="287" t="s">
        <v>771</v>
      </c>
      <c r="I9" s="287" t="s">
        <v>772</v>
      </c>
      <c r="J9" s="287" t="s">
        <v>757</v>
      </c>
      <c r="K9" s="287">
        <v>20</v>
      </c>
      <c r="L9" s="287" t="s">
        <v>773</v>
      </c>
      <c r="M9" s="287">
        <v>2000</v>
      </c>
      <c r="N9" s="760" t="s">
        <v>774</v>
      </c>
      <c r="O9" s="287" t="s">
        <v>775</v>
      </c>
      <c r="P9" s="287" t="s">
        <v>776</v>
      </c>
      <c r="Q9" s="760" t="s">
        <v>777</v>
      </c>
      <c r="R9" s="297" t="s">
        <v>1753</v>
      </c>
      <c r="S9" s="297" t="s">
        <v>7</v>
      </c>
      <c r="T9" s="297">
        <v>20</v>
      </c>
      <c r="U9" s="297">
        <v>2282</v>
      </c>
      <c r="V9" s="297" t="s">
        <v>6</v>
      </c>
      <c r="W9" s="297" t="s">
        <v>6</v>
      </c>
      <c r="X9" s="297" t="s">
        <v>6</v>
      </c>
      <c r="Y9" s="686" t="str">
        <f>IF(OR(T9&lt;=(K9*0.9),T9&gt;=(K9*1.5)),"X","")</f>
        <v/>
      </c>
      <c r="Z9" s="686" t="str">
        <f t="shared" si="1"/>
        <v/>
      </c>
      <c r="AA9" s="492" t="s">
        <v>7</v>
      </c>
      <c r="AB9" s="140" t="str">
        <f t="shared" si="2"/>
        <v/>
      </c>
      <c r="AG9" s="685"/>
      <c r="AH9" s="140"/>
      <c r="AI9" s="140"/>
    </row>
    <row r="10" spans="1:39" ht="76.5" x14ac:dyDescent="0.3">
      <c r="A10" s="199" t="s">
        <v>277</v>
      </c>
      <c r="B10" s="287" t="s">
        <v>770</v>
      </c>
      <c r="C10" s="287"/>
      <c r="D10" s="287" t="s">
        <v>6</v>
      </c>
      <c r="E10" s="287" t="s">
        <v>77</v>
      </c>
      <c r="F10" s="287" t="s">
        <v>6</v>
      </c>
      <c r="G10" s="188" t="s">
        <v>195</v>
      </c>
      <c r="H10" s="287" t="s">
        <v>771</v>
      </c>
      <c r="I10" s="287" t="s">
        <v>772</v>
      </c>
      <c r="J10" s="287" t="s">
        <v>757</v>
      </c>
      <c r="K10" s="287"/>
      <c r="L10" s="287" t="s">
        <v>764</v>
      </c>
      <c r="M10" s="287">
        <v>12</v>
      </c>
      <c r="N10" s="761"/>
      <c r="O10" s="287"/>
      <c r="P10" s="287"/>
      <c r="Q10" s="761"/>
      <c r="R10" s="297" t="s">
        <v>1753</v>
      </c>
      <c r="S10" s="297" t="s">
        <v>7</v>
      </c>
      <c r="T10" s="297">
        <v>20</v>
      </c>
      <c r="U10" s="297">
        <v>7</v>
      </c>
      <c r="V10" s="297" t="s">
        <v>6</v>
      </c>
      <c r="W10" s="297" t="s">
        <v>6</v>
      </c>
      <c r="X10" s="297" t="s">
        <v>6</v>
      </c>
      <c r="Y10" s="686" t="str">
        <f>IF(OR(T10&lt;=(K9*0.9),T10&gt;=(K9*1.5)),"X","")</f>
        <v/>
      </c>
      <c r="Z10" s="686" t="str">
        <f t="shared" si="1"/>
        <v>X</v>
      </c>
      <c r="AA10" s="492" t="s">
        <v>1871</v>
      </c>
      <c r="AB10" s="140" t="str">
        <f t="shared" si="2"/>
        <v/>
      </c>
      <c r="AG10" s="685"/>
      <c r="AH10" s="140"/>
      <c r="AI10" s="140"/>
    </row>
    <row r="11" spans="1:39" ht="25.5" x14ac:dyDescent="0.3">
      <c r="A11" s="199" t="s">
        <v>277</v>
      </c>
      <c r="B11" s="287" t="s">
        <v>770</v>
      </c>
      <c r="C11" s="287"/>
      <c r="D11" s="287" t="s">
        <v>6</v>
      </c>
      <c r="E11" s="287" t="s">
        <v>77</v>
      </c>
      <c r="F11" s="287" t="s">
        <v>6</v>
      </c>
      <c r="G11" s="188" t="s">
        <v>195</v>
      </c>
      <c r="H11" s="287" t="s">
        <v>771</v>
      </c>
      <c r="I11" s="287" t="s">
        <v>772</v>
      </c>
      <c r="J11" s="287" t="s">
        <v>757</v>
      </c>
      <c r="K11" s="287"/>
      <c r="L11" s="287" t="s">
        <v>768</v>
      </c>
      <c r="M11" s="287">
        <v>25</v>
      </c>
      <c r="N11" s="762"/>
      <c r="O11" s="287"/>
      <c r="P11" s="287"/>
      <c r="Q11" s="762"/>
      <c r="R11" s="297" t="s">
        <v>1753</v>
      </c>
      <c r="S11" s="297" t="s">
        <v>7</v>
      </c>
      <c r="T11" s="297">
        <v>20</v>
      </c>
      <c r="U11" s="297">
        <v>25</v>
      </c>
      <c r="V11" s="297" t="s">
        <v>6</v>
      </c>
      <c r="W11" s="297" t="s">
        <v>6</v>
      </c>
      <c r="X11" s="297" t="s">
        <v>6</v>
      </c>
      <c r="Y11" s="686" t="str">
        <f>IF(OR(T11&lt;=(K9*0.9),T11&gt;=(K9*1.5)),"X","")</f>
        <v/>
      </c>
      <c r="Z11" s="686" t="str">
        <f t="shared" si="1"/>
        <v/>
      </c>
      <c r="AA11" s="492" t="s">
        <v>7</v>
      </c>
      <c r="AB11" s="140" t="str">
        <f t="shared" si="2"/>
        <v/>
      </c>
      <c r="AG11" s="685"/>
      <c r="AH11" s="140"/>
      <c r="AI11" s="140"/>
    </row>
    <row r="12" spans="1:39" ht="49.5" customHeight="1" x14ac:dyDescent="0.3">
      <c r="A12" s="199" t="s">
        <v>752</v>
      </c>
      <c r="B12" s="287" t="s">
        <v>778</v>
      </c>
      <c r="C12" s="287" t="s">
        <v>779</v>
      </c>
      <c r="D12" s="287" t="s">
        <v>6</v>
      </c>
      <c r="E12" s="287" t="s">
        <v>77</v>
      </c>
      <c r="F12" s="287" t="s">
        <v>6</v>
      </c>
      <c r="G12" s="287" t="s">
        <v>195</v>
      </c>
      <c r="H12" s="287" t="s">
        <v>780</v>
      </c>
      <c r="I12" s="287" t="s">
        <v>781</v>
      </c>
      <c r="J12" s="287" t="s">
        <v>782</v>
      </c>
      <c r="K12" s="760">
        <v>40</v>
      </c>
      <c r="L12" s="287" t="s">
        <v>783</v>
      </c>
      <c r="M12" s="287">
        <v>240</v>
      </c>
      <c r="N12" s="760" t="s">
        <v>784</v>
      </c>
      <c r="O12" s="760" t="s">
        <v>785</v>
      </c>
      <c r="P12" s="760" t="s">
        <v>786</v>
      </c>
      <c r="Q12" s="760" t="s">
        <v>787</v>
      </c>
      <c r="R12" s="497" t="s">
        <v>77</v>
      </c>
      <c r="S12" s="497" t="s">
        <v>7</v>
      </c>
      <c r="T12" s="497">
        <v>20</v>
      </c>
      <c r="U12" s="497">
        <v>253</v>
      </c>
      <c r="V12" s="497" t="s">
        <v>6</v>
      </c>
      <c r="W12" s="497" t="s">
        <v>6</v>
      </c>
      <c r="X12" s="497" t="s">
        <v>6</v>
      </c>
      <c r="Y12" s="686" t="str">
        <f t="shared" si="0"/>
        <v>X</v>
      </c>
      <c r="Z12" s="686" t="str">
        <f t="shared" si="1"/>
        <v/>
      </c>
      <c r="AA12" s="492" t="s">
        <v>1938</v>
      </c>
      <c r="AB12" s="140" t="str">
        <f t="shared" si="2"/>
        <v/>
      </c>
      <c r="AG12" s="685"/>
      <c r="AH12" s="142"/>
      <c r="AI12" s="140"/>
    </row>
    <row r="13" spans="1:39" ht="114.75" x14ac:dyDescent="0.3">
      <c r="A13" s="199" t="s">
        <v>277</v>
      </c>
      <c r="B13" s="287" t="s">
        <v>788</v>
      </c>
      <c r="C13" s="287" t="s">
        <v>779</v>
      </c>
      <c r="D13" s="287" t="s">
        <v>6</v>
      </c>
      <c r="E13" s="287" t="s">
        <v>77</v>
      </c>
      <c r="F13" s="287" t="s">
        <v>6</v>
      </c>
      <c r="G13" s="287" t="s">
        <v>195</v>
      </c>
      <c r="H13" s="287" t="s">
        <v>780</v>
      </c>
      <c r="I13" s="287" t="s">
        <v>781</v>
      </c>
      <c r="J13" s="287" t="s">
        <v>782</v>
      </c>
      <c r="K13" s="762"/>
      <c r="L13" s="287" t="s">
        <v>789</v>
      </c>
      <c r="M13" s="287">
        <v>10</v>
      </c>
      <c r="N13" s="762"/>
      <c r="O13" s="762"/>
      <c r="P13" s="762"/>
      <c r="Q13" s="762"/>
      <c r="R13" s="497" t="s">
        <v>1753</v>
      </c>
      <c r="S13" s="497" t="s">
        <v>7</v>
      </c>
      <c r="T13" s="497">
        <v>20</v>
      </c>
      <c r="U13" s="497">
        <v>7</v>
      </c>
      <c r="V13" s="497" t="s">
        <v>6</v>
      </c>
      <c r="W13" s="497" t="s">
        <v>6</v>
      </c>
      <c r="X13" s="497" t="s">
        <v>6</v>
      </c>
      <c r="Y13" s="686" t="str">
        <f t="shared" si="0"/>
        <v>X</v>
      </c>
      <c r="Z13" s="686" t="str">
        <f t="shared" si="1"/>
        <v>X</v>
      </c>
      <c r="AA13" s="492" t="s">
        <v>1939</v>
      </c>
      <c r="AB13" s="140" t="str">
        <f t="shared" si="2"/>
        <v/>
      </c>
      <c r="AG13" s="685"/>
      <c r="AH13" s="142"/>
      <c r="AI13" s="142"/>
    </row>
    <row r="14" spans="1:39" ht="38.25" x14ac:dyDescent="0.3">
      <c r="A14" s="199" t="s">
        <v>277</v>
      </c>
      <c r="B14" s="287" t="s">
        <v>790</v>
      </c>
      <c r="C14" s="287"/>
      <c r="D14" s="287" t="s">
        <v>6</v>
      </c>
      <c r="E14" s="287" t="s">
        <v>77</v>
      </c>
      <c r="F14" s="287" t="s">
        <v>6</v>
      </c>
      <c r="G14" s="287" t="s">
        <v>195</v>
      </c>
      <c r="H14" s="287" t="s">
        <v>791</v>
      </c>
      <c r="I14" s="289" t="s">
        <v>792</v>
      </c>
      <c r="J14" s="188" t="s">
        <v>757</v>
      </c>
      <c r="K14" s="760">
        <v>40</v>
      </c>
      <c r="L14" s="188" t="s">
        <v>773</v>
      </c>
      <c r="M14" s="188">
        <v>5000</v>
      </c>
      <c r="N14" s="760" t="s">
        <v>793</v>
      </c>
      <c r="O14" s="287" t="s">
        <v>775</v>
      </c>
      <c r="P14" s="287" t="s">
        <v>794</v>
      </c>
      <c r="Q14" s="760" t="s">
        <v>795</v>
      </c>
      <c r="R14" s="297" t="s">
        <v>1753</v>
      </c>
      <c r="S14" s="297" t="s">
        <v>7</v>
      </c>
      <c r="T14" s="297">
        <v>40</v>
      </c>
      <c r="U14" s="297">
        <v>5956</v>
      </c>
      <c r="V14" s="297" t="s">
        <v>6</v>
      </c>
      <c r="W14" s="297" t="s">
        <v>6</v>
      </c>
      <c r="X14" s="297" t="s">
        <v>6</v>
      </c>
      <c r="Y14" s="686" t="str">
        <f t="shared" si="0"/>
        <v/>
      </c>
      <c r="Z14" s="686" t="str">
        <f t="shared" si="1"/>
        <v/>
      </c>
      <c r="AA14" s="492" t="s">
        <v>7</v>
      </c>
      <c r="AB14" s="140" t="str">
        <f t="shared" si="2"/>
        <v/>
      </c>
      <c r="AG14" s="685"/>
    </row>
    <row r="15" spans="1:39" ht="76.5" x14ac:dyDescent="0.3">
      <c r="A15" s="199"/>
      <c r="B15" s="287" t="s">
        <v>790</v>
      </c>
      <c r="C15" s="287"/>
      <c r="D15" s="287" t="s">
        <v>6</v>
      </c>
      <c r="E15" s="287" t="s">
        <v>77</v>
      </c>
      <c r="F15" s="287" t="s">
        <v>6</v>
      </c>
      <c r="G15" s="287" t="s">
        <v>195</v>
      </c>
      <c r="H15" s="287" t="s">
        <v>791</v>
      </c>
      <c r="I15" s="289" t="s">
        <v>792</v>
      </c>
      <c r="J15" s="188" t="s">
        <v>757</v>
      </c>
      <c r="K15" s="761"/>
      <c r="L15" s="188" t="s">
        <v>764</v>
      </c>
      <c r="M15" s="188">
        <v>30</v>
      </c>
      <c r="N15" s="761"/>
      <c r="O15" s="287"/>
      <c r="P15" s="287"/>
      <c r="Q15" s="761"/>
      <c r="R15" s="297" t="s">
        <v>1753</v>
      </c>
      <c r="S15" s="297" t="s">
        <v>7</v>
      </c>
      <c r="T15" s="297">
        <v>40</v>
      </c>
      <c r="U15" s="297">
        <v>45</v>
      </c>
      <c r="V15" s="297" t="s">
        <v>6</v>
      </c>
      <c r="W15" s="297" t="s">
        <v>6</v>
      </c>
      <c r="X15" s="297" t="s">
        <v>6</v>
      </c>
      <c r="Y15" s="686" t="str">
        <f>IF(OR(T15&lt;=(K14*0.9),T15&gt;=(K14*1.5)),"X","")</f>
        <v/>
      </c>
      <c r="Z15" s="686" t="str">
        <f t="shared" si="1"/>
        <v>X</v>
      </c>
      <c r="AA15" s="492" t="s">
        <v>1871</v>
      </c>
      <c r="AB15" s="140" t="str">
        <f t="shared" si="2"/>
        <v/>
      </c>
      <c r="AG15" s="685"/>
    </row>
    <row r="16" spans="1:39" ht="38.25" x14ac:dyDescent="0.3">
      <c r="A16" s="199"/>
      <c r="B16" s="287" t="s">
        <v>790</v>
      </c>
      <c r="C16" s="287"/>
      <c r="D16" s="287" t="s">
        <v>6</v>
      </c>
      <c r="E16" s="287" t="s">
        <v>77</v>
      </c>
      <c r="F16" s="287" t="s">
        <v>6</v>
      </c>
      <c r="G16" s="287" t="s">
        <v>195</v>
      </c>
      <c r="H16" s="287" t="s">
        <v>791</v>
      </c>
      <c r="I16" s="289" t="s">
        <v>792</v>
      </c>
      <c r="J16" s="188" t="s">
        <v>757</v>
      </c>
      <c r="K16" s="762"/>
      <c r="L16" s="188" t="s">
        <v>768</v>
      </c>
      <c r="M16" s="188">
        <v>60</v>
      </c>
      <c r="N16" s="762"/>
      <c r="O16" s="287"/>
      <c r="P16" s="287"/>
      <c r="Q16" s="762"/>
      <c r="R16" s="297" t="s">
        <v>1753</v>
      </c>
      <c r="S16" s="297" t="s">
        <v>7</v>
      </c>
      <c r="T16" s="297">
        <v>40</v>
      </c>
      <c r="U16" s="297">
        <v>87</v>
      </c>
      <c r="V16" s="297" t="s">
        <v>6</v>
      </c>
      <c r="W16" s="297" t="s">
        <v>6</v>
      </c>
      <c r="X16" s="297" t="s">
        <v>6</v>
      </c>
      <c r="Y16" s="686" t="str">
        <f>IF(OR(T16&lt;=(K14*0.9),T16&gt;=(K14*1.5)),"X","")</f>
        <v/>
      </c>
      <c r="Z16" s="686" t="str">
        <f t="shared" si="1"/>
        <v/>
      </c>
      <c r="AA16" s="492" t="s">
        <v>7</v>
      </c>
      <c r="AB16" s="140" t="str">
        <f t="shared" si="2"/>
        <v/>
      </c>
      <c r="AG16" s="685"/>
    </row>
    <row r="17" spans="1:33" ht="38.25" x14ac:dyDescent="0.3">
      <c r="A17" s="199" t="s">
        <v>277</v>
      </c>
      <c r="B17" s="287" t="s">
        <v>790</v>
      </c>
      <c r="C17" s="287"/>
      <c r="D17" s="287" t="s">
        <v>6</v>
      </c>
      <c r="E17" s="287" t="s">
        <v>77</v>
      </c>
      <c r="F17" s="287" t="s">
        <v>6</v>
      </c>
      <c r="G17" s="287" t="s">
        <v>195</v>
      </c>
      <c r="H17" s="287" t="s">
        <v>791</v>
      </c>
      <c r="I17" s="289" t="s">
        <v>792</v>
      </c>
      <c r="J17" s="188" t="s">
        <v>757</v>
      </c>
      <c r="K17" s="760">
        <v>20</v>
      </c>
      <c r="L17" s="188" t="s">
        <v>773</v>
      </c>
      <c r="M17" s="188">
        <v>2500</v>
      </c>
      <c r="N17" s="760" t="s">
        <v>796</v>
      </c>
      <c r="O17" s="287" t="s">
        <v>775</v>
      </c>
      <c r="P17" s="287" t="s">
        <v>794</v>
      </c>
      <c r="Q17" s="760" t="s">
        <v>797</v>
      </c>
      <c r="R17" s="297" t="s">
        <v>1753</v>
      </c>
      <c r="S17" s="297" t="s">
        <v>7</v>
      </c>
      <c r="T17" s="297">
        <v>20</v>
      </c>
      <c r="U17" s="297">
        <v>3011</v>
      </c>
      <c r="V17" s="297" t="s">
        <v>6</v>
      </c>
      <c r="W17" s="297" t="s">
        <v>6</v>
      </c>
      <c r="X17" s="297" t="s">
        <v>6</v>
      </c>
      <c r="Y17" s="686" t="str">
        <f>IF(OR(T17&lt;=(K17*0.9),T17&gt;=(K17*1.5)),"X","")</f>
        <v/>
      </c>
      <c r="Z17" s="686" t="str">
        <f t="shared" si="1"/>
        <v/>
      </c>
      <c r="AA17" s="492" t="s">
        <v>7</v>
      </c>
      <c r="AB17" s="140" t="str">
        <f t="shared" si="2"/>
        <v/>
      </c>
      <c r="AG17" s="685"/>
    </row>
    <row r="18" spans="1:33" ht="38.25" x14ac:dyDescent="0.3">
      <c r="A18" s="199" t="s">
        <v>277</v>
      </c>
      <c r="B18" s="287" t="s">
        <v>790</v>
      </c>
      <c r="C18" s="287"/>
      <c r="D18" s="287" t="s">
        <v>6</v>
      </c>
      <c r="E18" s="287" t="s">
        <v>77</v>
      </c>
      <c r="F18" s="287" t="s">
        <v>6</v>
      </c>
      <c r="G18" s="287" t="s">
        <v>195</v>
      </c>
      <c r="H18" s="287" t="s">
        <v>791</v>
      </c>
      <c r="I18" s="289" t="s">
        <v>792</v>
      </c>
      <c r="J18" s="188" t="s">
        <v>757</v>
      </c>
      <c r="K18" s="761"/>
      <c r="L18" s="188" t="s">
        <v>764</v>
      </c>
      <c r="M18" s="188">
        <v>20</v>
      </c>
      <c r="N18" s="761"/>
      <c r="O18" s="287"/>
      <c r="P18" s="287"/>
      <c r="Q18" s="761"/>
      <c r="R18" s="297" t="s">
        <v>1753</v>
      </c>
      <c r="S18" s="297" t="s">
        <v>7</v>
      </c>
      <c r="T18" s="297">
        <v>20</v>
      </c>
      <c r="U18" s="297">
        <v>21</v>
      </c>
      <c r="V18" s="297" t="s">
        <v>6</v>
      </c>
      <c r="W18" s="297" t="s">
        <v>6</v>
      </c>
      <c r="X18" s="297" t="s">
        <v>6</v>
      </c>
      <c r="Y18" s="686" t="str">
        <f>IF(OR(T18&lt;=(K17*0.9),T18&gt;=(K17*1.5)),"X","")</f>
        <v/>
      </c>
      <c r="Z18" s="686" t="str">
        <f t="shared" si="1"/>
        <v/>
      </c>
      <c r="AA18" s="492" t="s">
        <v>7</v>
      </c>
      <c r="AB18" s="140" t="str">
        <f t="shared" si="2"/>
        <v/>
      </c>
      <c r="AG18" s="685"/>
    </row>
    <row r="19" spans="1:33" ht="38.25" x14ac:dyDescent="0.3">
      <c r="A19" s="199" t="s">
        <v>277</v>
      </c>
      <c r="B19" s="287" t="s">
        <v>790</v>
      </c>
      <c r="C19" s="287"/>
      <c r="D19" s="287" t="s">
        <v>6</v>
      </c>
      <c r="E19" s="287" t="s">
        <v>77</v>
      </c>
      <c r="F19" s="287" t="s">
        <v>6</v>
      </c>
      <c r="G19" s="287" t="s">
        <v>195</v>
      </c>
      <c r="H19" s="287" t="s">
        <v>791</v>
      </c>
      <c r="I19" s="289" t="s">
        <v>792</v>
      </c>
      <c r="J19" s="188" t="s">
        <v>757</v>
      </c>
      <c r="K19" s="762"/>
      <c r="L19" s="188" t="s">
        <v>768</v>
      </c>
      <c r="M19" s="188">
        <v>25</v>
      </c>
      <c r="N19" s="762"/>
      <c r="O19" s="287"/>
      <c r="P19" s="287"/>
      <c r="Q19" s="762"/>
      <c r="R19" s="297" t="s">
        <v>1753</v>
      </c>
      <c r="S19" s="297" t="s">
        <v>7</v>
      </c>
      <c r="T19" s="297">
        <v>20</v>
      </c>
      <c r="U19" s="297">
        <v>36</v>
      </c>
      <c r="V19" s="297" t="s">
        <v>6</v>
      </c>
      <c r="W19" s="297" t="s">
        <v>6</v>
      </c>
      <c r="X19" s="297" t="s">
        <v>6</v>
      </c>
      <c r="Y19" s="686" t="str">
        <f>IF(OR(T19&lt;=(K17*0.9),T19&gt;=(K17*1.5)),"X","")</f>
        <v/>
      </c>
      <c r="Z19" s="686" t="str">
        <f t="shared" si="1"/>
        <v/>
      </c>
      <c r="AA19" s="492" t="s">
        <v>7</v>
      </c>
      <c r="AB19" s="140" t="str">
        <f t="shared" si="2"/>
        <v/>
      </c>
      <c r="AG19" s="685"/>
    </row>
    <row r="20" spans="1:33" ht="25.5" x14ac:dyDescent="0.3">
      <c r="A20" s="199" t="s">
        <v>277</v>
      </c>
      <c r="B20" s="287" t="s">
        <v>798</v>
      </c>
      <c r="C20" s="287" t="s">
        <v>799</v>
      </c>
      <c r="D20" s="287" t="s">
        <v>6</v>
      </c>
      <c r="E20" s="287" t="s">
        <v>77</v>
      </c>
      <c r="F20" s="287" t="s">
        <v>6</v>
      </c>
      <c r="G20" s="287" t="s">
        <v>800</v>
      </c>
      <c r="H20" s="287" t="s">
        <v>415</v>
      </c>
      <c r="I20" s="760" t="s">
        <v>801</v>
      </c>
      <c r="J20" s="766" t="s">
        <v>757</v>
      </c>
      <c r="K20" s="769">
        <v>33</v>
      </c>
      <c r="L20" s="757" t="s">
        <v>802</v>
      </c>
      <c r="M20" s="757">
        <v>280</v>
      </c>
      <c r="N20" s="760" t="s">
        <v>803</v>
      </c>
      <c r="O20" s="760" t="s">
        <v>804</v>
      </c>
      <c r="P20" s="760" t="s">
        <v>805</v>
      </c>
      <c r="Q20" s="763" t="s">
        <v>806</v>
      </c>
      <c r="R20" s="497" t="s">
        <v>800</v>
      </c>
      <c r="S20" s="297" t="s">
        <v>7</v>
      </c>
      <c r="T20" s="297">
        <v>33</v>
      </c>
      <c r="U20" s="297">
        <v>291</v>
      </c>
      <c r="V20" s="297" t="s">
        <v>6</v>
      </c>
      <c r="W20" s="297" t="s">
        <v>6</v>
      </c>
      <c r="X20" s="297" t="s">
        <v>6</v>
      </c>
      <c r="Y20" s="686" t="str">
        <f>IF(OR(T20&lt;=(K20*0.9),T20&gt;=(K20*1.5)),"X","")</f>
        <v/>
      </c>
      <c r="Z20" s="686" t="str">
        <f>IF(OR(U20&lt;=(M20*0.9),U20&gt;=(M20*1.5)),"X","")</f>
        <v/>
      </c>
      <c r="AA20" s="492" t="s">
        <v>7</v>
      </c>
      <c r="AB20" s="140" t="str">
        <f t="shared" si="2"/>
        <v/>
      </c>
      <c r="AG20" s="685"/>
    </row>
    <row r="21" spans="1:33" ht="25.5" x14ac:dyDescent="0.3">
      <c r="A21" s="199" t="s">
        <v>277</v>
      </c>
      <c r="B21" s="287" t="s">
        <v>807</v>
      </c>
      <c r="C21" s="287" t="s">
        <v>808</v>
      </c>
      <c r="D21" s="287" t="s">
        <v>6</v>
      </c>
      <c r="E21" s="287" t="s">
        <v>77</v>
      </c>
      <c r="F21" s="287" t="s">
        <v>6</v>
      </c>
      <c r="G21" s="287" t="s">
        <v>195</v>
      </c>
      <c r="H21" s="287" t="s">
        <v>809</v>
      </c>
      <c r="I21" s="761"/>
      <c r="J21" s="767"/>
      <c r="K21" s="767"/>
      <c r="L21" s="758"/>
      <c r="M21" s="758"/>
      <c r="N21" s="761"/>
      <c r="O21" s="761"/>
      <c r="P21" s="761"/>
      <c r="Q21" s="764"/>
      <c r="R21" s="497" t="s">
        <v>195</v>
      </c>
      <c r="S21" s="297" t="s">
        <v>7</v>
      </c>
      <c r="T21" s="297">
        <v>33</v>
      </c>
      <c r="U21" s="297">
        <v>291</v>
      </c>
      <c r="V21" s="297" t="s">
        <v>6</v>
      </c>
      <c r="W21" s="297" t="s">
        <v>6</v>
      </c>
      <c r="X21" s="297" t="s">
        <v>6</v>
      </c>
      <c r="Y21" s="686" t="str">
        <f>IF(OR(T21&lt;=(K20*0.9),T21&gt;=(K20*1.5)),"X","")</f>
        <v/>
      </c>
      <c r="Z21" s="686" t="str">
        <f>IF(OR(U21&lt;=(M20*0.9),U21&gt;=(M20*1.5)),"X","")</f>
        <v/>
      </c>
      <c r="AA21" s="492" t="s">
        <v>7</v>
      </c>
      <c r="AB21" s="140" t="str">
        <f t="shared" si="2"/>
        <v/>
      </c>
      <c r="AG21" s="685"/>
    </row>
    <row r="22" spans="1:33" ht="25.5" x14ac:dyDescent="0.3">
      <c r="A22" s="199" t="s">
        <v>277</v>
      </c>
      <c r="B22" s="287" t="s">
        <v>810</v>
      </c>
      <c r="C22" s="287" t="s">
        <v>811</v>
      </c>
      <c r="D22" s="287" t="s">
        <v>6</v>
      </c>
      <c r="E22" s="287" t="s">
        <v>77</v>
      </c>
      <c r="F22" s="287" t="s">
        <v>6</v>
      </c>
      <c r="G22" s="287" t="s">
        <v>195</v>
      </c>
      <c r="H22" s="287" t="s">
        <v>812</v>
      </c>
      <c r="I22" s="762"/>
      <c r="J22" s="768"/>
      <c r="K22" s="767"/>
      <c r="L22" s="759"/>
      <c r="M22" s="758"/>
      <c r="N22" s="762"/>
      <c r="O22" s="762"/>
      <c r="P22" s="762"/>
      <c r="Q22" s="765"/>
      <c r="R22" s="497" t="s">
        <v>1755</v>
      </c>
      <c r="S22" s="297" t="s">
        <v>7</v>
      </c>
      <c r="T22" s="297">
        <v>33</v>
      </c>
      <c r="U22" s="297">
        <v>291</v>
      </c>
      <c r="V22" s="297" t="s">
        <v>6</v>
      </c>
      <c r="W22" s="297" t="s">
        <v>6</v>
      </c>
      <c r="X22" s="297" t="s">
        <v>6</v>
      </c>
      <c r="Y22" s="686" t="str">
        <f>IF(OR(T22&lt;=(K20*0.9),T22&gt;=(K20*1.5)),"X","")</f>
        <v/>
      </c>
      <c r="Z22" s="686" t="str">
        <f>IF(OR(U22&lt;=(M20*0.9),U22&gt;=(M20*1.5)),"X","")</f>
        <v/>
      </c>
      <c r="AA22" s="492" t="s">
        <v>7</v>
      </c>
      <c r="AB22" s="140" t="str">
        <f t="shared" si="2"/>
        <v/>
      </c>
      <c r="AG22" s="685"/>
    </row>
    <row r="23" spans="1:33" ht="25.5" x14ac:dyDescent="0.3">
      <c r="A23" s="199" t="s">
        <v>277</v>
      </c>
      <c r="B23" s="287" t="s">
        <v>810</v>
      </c>
      <c r="C23" s="287" t="s">
        <v>811</v>
      </c>
      <c r="D23" s="287" t="s">
        <v>6</v>
      </c>
      <c r="E23" s="287" t="s">
        <v>77</v>
      </c>
      <c r="F23" s="287" t="s">
        <v>6</v>
      </c>
      <c r="G23" s="287" t="s">
        <v>195</v>
      </c>
      <c r="H23" s="287" t="s">
        <v>812</v>
      </c>
      <c r="I23" s="290" t="s">
        <v>813</v>
      </c>
      <c r="J23" s="209" t="s">
        <v>757</v>
      </c>
      <c r="K23" s="767"/>
      <c r="L23" s="291" t="s">
        <v>814</v>
      </c>
      <c r="M23" s="758"/>
      <c r="N23" s="760"/>
      <c r="O23" s="290" t="s">
        <v>804</v>
      </c>
      <c r="P23" s="290" t="s">
        <v>805</v>
      </c>
      <c r="Q23" s="292"/>
      <c r="R23" s="497" t="s">
        <v>195</v>
      </c>
      <c r="S23" s="297" t="s">
        <v>7</v>
      </c>
      <c r="T23" s="297">
        <v>33</v>
      </c>
      <c r="U23" s="297">
        <v>291</v>
      </c>
      <c r="V23" s="297" t="s">
        <v>6</v>
      </c>
      <c r="W23" s="297" t="s">
        <v>6</v>
      </c>
      <c r="X23" s="297" t="s">
        <v>6</v>
      </c>
      <c r="Y23" s="686" t="str">
        <f>IF(OR(T23&lt;=(K20*0.9),T23&gt;=(K20*1.5)),"X","")</f>
        <v/>
      </c>
      <c r="Z23" s="686" t="str">
        <f>IF(OR(U23&lt;=(M20*0.9),U23&gt;=(M20*1.5)),"X","")</f>
        <v/>
      </c>
      <c r="AA23" s="492" t="s">
        <v>7</v>
      </c>
      <c r="AB23" s="140" t="str">
        <f t="shared" si="2"/>
        <v/>
      </c>
      <c r="AG23" s="685"/>
    </row>
    <row r="24" spans="1:33" ht="25.5" x14ac:dyDescent="0.3">
      <c r="A24" s="199" t="s">
        <v>277</v>
      </c>
      <c r="B24" s="287" t="s">
        <v>810</v>
      </c>
      <c r="C24" s="287" t="s">
        <v>811</v>
      </c>
      <c r="D24" s="287" t="s">
        <v>6</v>
      </c>
      <c r="E24" s="287" t="s">
        <v>77</v>
      </c>
      <c r="F24" s="287" t="s">
        <v>6</v>
      </c>
      <c r="G24" s="287" t="s">
        <v>195</v>
      </c>
      <c r="H24" s="287" t="s">
        <v>812</v>
      </c>
      <c r="I24" s="290" t="s">
        <v>813</v>
      </c>
      <c r="J24" s="209" t="s">
        <v>757</v>
      </c>
      <c r="K24" s="768"/>
      <c r="L24" s="291" t="s">
        <v>815</v>
      </c>
      <c r="M24" s="759"/>
      <c r="N24" s="761"/>
      <c r="O24" s="290" t="s">
        <v>804</v>
      </c>
      <c r="P24" s="290" t="s">
        <v>805</v>
      </c>
      <c r="Q24" s="292"/>
      <c r="R24" s="497" t="s">
        <v>195</v>
      </c>
      <c r="S24" s="297" t="s">
        <v>7</v>
      </c>
      <c r="T24" s="297">
        <v>33</v>
      </c>
      <c r="U24" s="297">
        <v>291</v>
      </c>
      <c r="V24" s="297" t="s">
        <v>6</v>
      </c>
      <c r="W24" s="297" t="s">
        <v>6</v>
      </c>
      <c r="X24" s="297" t="s">
        <v>6</v>
      </c>
      <c r="Y24" s="686" t="str">
        <f>IF(OR(T24&lt;=(K20*0.9),T24&gt;=(K20*1.5)),"X","")</f>
        <v/>
      </c>
      <c r="Z24" s="686" t="str">
        <f>IF(OR(U24&lt;=(M20*0.9),U24&gt;=(M20*1.5)),"X","")</f>
        <v/>
      </c>
      <c r="AA24" s="492" t="s">
        <v>7</v>
      </c>
      <c r="AB24" s="140" t="str">
        <f t="shared" si="2"/>
        <v/>
      </c>
      <c r="AG24" s="685"/>
    </row>
    <row r="25" spans="1:33" ht="25.5" x14ac:dyDescent="0.3">
      <c r="A25" s="286" t="s">
        <v>277</v>
      </c>
      <c r="B25" s="287" t="s">
        <v>816</v>
      </c>
      <c r="C25" s="293" t="s">
        <v>817</v>
      </c>
      <c r="D25" s="293" t="s">
        <v>77</v>
      </c>
      <c r="E25" s="287" t="s">
        <v>77</v>
      </c>
      <c r="F25" s="293" t="s">
        <v>77</v>
      </c>
      <c r="G25" s="293" t="s">
        <v>195</v>
      </c>
      <c r="H25" s="287" t="s">
        <v>818</v>
      </c>
      <c r="I25" s="293" t="s">
        <v>819</v>
      </c>
      <c r="J25" s="293" t="s">
        <v>757</v>
      </c>
      <c r="K25" s="757">
        <v>32</v>
      </c>
      <c r="L25" s="293" t="s">
        <v>820</v>
      </c>
      <c r="M25" s="293">
        <v>115</v>
      </c>
      <c r="N25" s="757" t="s">
        <v>821</v>
      </c>
      <c r="O25" s="287" t="s">
        <v>822</v>
      </c>
      <c r="P25" s="287"/>
      <c r="Q25" s="760" t="s">
        <v>823</v>
      </c>
      <c r="R25" s="497" t="s">
        <v>1753</v>
      </c>
      <c r="S25" s="297" t="s">
        <v>7</v>
      </c>
      <c r="T25" s="297">
        <v>33</v>
      </c>
      <c r="U25" s="297">
        <v>129</v>
      </c>
      <c r="V25" s="297" t="s">
        <v>6</v>
      </c>
      <c r="W25" s="297" t="s">
        <v>6</v>
      </c>
      <c r="X25" s="297" t="s">
        <v>6</v>
      </c>
      <c r="Y25" s="686" t="str">
        <f>IF(OR(T25&lt;=(K25*0.9),T25&gt;=(K25*1.5)),"X","")</f>
        <v/>
      </c>
      <c r="Z25" s="686" t="str">
        <f>IF(OR(U25&lt;=(M25*0.9),U25&gt;=(M25*1.5)),"X","")</f>
        <v/>
      </c>
      <c r="AA25" s="492" t="s">
        <v>7</v>
      </c>
      <c r="AB25" s="140" t="str">
        <f t="shared" si="2"/>
        <v/>
      </c>
      <c r="AG25" s="685"/>
    </row>
    <row r="26" spans="1:33" ht="25.5" x14ac:dyDescent="0.3">
      <c r="A26" s="286" t="s">
        <v>277</v>
      </c>
      <c r="B26" s="287" t="s">
        <v>816</v>
      </c>
      <c r="C26" s="293" t="s">
        <v>817</v>
      </c>
      <c r="D26" s="293" t="s">
        <v>77</v>
      </c>
      <c r="E26" s="287" t="s">
        <v>77</v>
      </c>
      <c r="F26" s="293" t="s">
        <v>77</v>
      </c>
      <c r="G26" s="293" t="s">
        <v>195</v>
      </c>
      <c r="H26" s="287" t="s">
        <v>818</v>
      </c>
      <c r="I26" s="293" t="s">
        <v>819</v>
      </c>
      <c r="J26" s="293" t="s">
        <v>757</v>
      </c>
      <c r="K26" s="758"/>
      <c r="L26" s="293" t="s">
        <v>768</v>
      </c>
      <c r="M26" s="293">
        <v>115</v>
      </c>
      <c r="N26" s="758"/>
      <c r="O26" s="287" t="s">
        <v>822</v>
      </c>
      <c r="P26" s="287"/>
      <c r="Q26" s="761"/>
      <c r="R26" s="297" t="s">
        <v>1753</v>
      </c>
      <c r="S26" s="297" t="s">
        <v>7</v>
      </c>
      <c r="T26" s="297">
        <v>33</v>
      </c>
      <c r="U26" s="297">
        <v>129</v>
      </c>
      <c r="V26" s="297" t="s">
        <v>6</v>
      </c>
      <c r="W26" s="297" t="s">
        <v>6</v>
      </c>
      <c r="X26" s="297" t="s">
        <v>6</v>
      </c>
      <c r="Y26" s="686" t="str">
        <f>IF(OR(T26&lt;=(K25*0.9),T26&gt;=(K25*1.5)),"X","")</f>
        <v/>
      </c>
      <c r="Z26" s="686" t="str">
        <f>IF(OR(U26&lt;=(M26*0.9),U26&gt;=(M26*1.5)),"X","")</f>
        <v/>
      </c>
      <c r="AA26" s="492" t="s">
        <v>7</v>
      </c>
      <c r="AB26" s="140" t="str">
        <f t="shared" si="2"/>
        <v/>
      </c>
      <c r="AG26" s="685"/>
    </row>
    <row r="27" spans="1:33" ht="25.5" x14ac:dyDescent="0.3">
      <c r="A27" s="286" t="s">
        <v>277</v>
      </c>
      <c r="B27" s="287" t="s">
        <v>816</v>
      </c>
      <c r="C27" s="293" t="s">
        <v>817</v>
      </c>
      <c r="D27" s="293" t="s">
        <v>77</v>
      </c>
      <c r="E27" s="287" t="s">
        <v>77</v>
      </c>
      <c r="F27" s="293" t="s">
        <v>77</v>
      </c>
      <c r="G27" s="293" t="s">
        <v>195</v>
      </c>
      <c r="H27" s="287" t="s">
        <v>818</v>
      </c>
      <c r="I27" s="293" t="s">
        <v>819</v>
      </c>
      <c r="J27" s="293" t="s">
        <v>757</v>
      </c>
      <c r="K27" s="759"/>
      <c r="L27" s="293" t="s">
        <v>824</v>
      </c>
      <c r="M27" s="293">
        <v>115</v>
      </c>
      <c r="N27" s="759"/>
      <c r="O27" s="287" t="s">
        <v>822</v>
      </c>
      <c r="P27" s="287"/>
      <c r="Q27" s="762"/>
      <c r="R27" s="297" t="s">
        <v>1753</v>
      </c>
      <c r="S27" s="297" t="s">
        <v>7</v>
      </c>
      <c r="T27" s="297">
        <v>33</v>
      </c>
      <c r="U27" s="297">
        <v>129</v>
      </c>
      <c r="V27" s="297" t="s">
        <v>6</v>
      </c>
      <c r="W27" s="297" t="s">
        <v>6</v>
      </c>
      <c r="X27" s="297" t="s">
        <v>6</v>
      </c>
      <c r="Y27" s="686" t="str">
        <f>IF(OR(T27&lt;=(K25*0.9),T27&gt;=(K25*1.5)),"X","")</f>
        <v/>
      </c>
      <c r="Z27" s="686" t="str">
        <f t="shared" si="1"/>
        <v/>
      </c>
      <c r="AA27" s="492" t="s">
        <v>7</v>
      </c>
      <c r="AB27" s="140" t="str">
        <f t="shared" si="2"/>
        <v/>
      </c>
      <c r="AG27" s="685"/>
    </row>
    <row r="28" spans="1:33" ht="76.5" x14ac:dyDescent="0.3">
      <c r="A28" s="294" t="s">
        <v>277</v>
      </c>
      <c r="B28" s="294" t="s">
        <v>825</v>
      </c>
      <c r="C28" s="294" t="s">
        <v>826</v>
      </c>
      <c r="D28" s="294" t="s">
        <v>77</v>
      </c>
      <c r="E28" s="287" t="s">
        <v>77</v>
      </c>
      <c r="F28" s="294" t="s">
        <v>77</v>
      </c>
      <c r="G28" s="294" t="s">
        <v>77</v>
      </c>
      <c r="H28" s="287" t="s">
        <v>415</v>
      </c>
      <c r="I28" s="294" t="s">
        <v>801</v>
      </c>
      <c r="J28" s="294" t="s">
        <v>757</v>
      </c>
      <c r="K28" s="294">
        <v>10</v>
      </c>
      <c r="L28" s="294" t="s">
        <v>827</v>
      </c>
      <c r="M28" s="294">
        <v>200</v>
      </c>
      <c r="N28" s="294" t="s">
        <v>828</v>
      </c>
      <c r="O28" s="287" t="s">
        <v>322</v>
      </c>
      <c r="P28" s="287" t="s">
        <v>322</v>
      </c>
      <c r="Q28" s="287" t="s">
        <v>829</v>
      </c>
      <c r="R28" s="297" t="s">
        <v>1756</v>
      </c>
      <c r="S28" s="297" t="s">
        <v>7</v>
      </c>
      <c r="T28" s="297">
        <v>5</v>
      </c>
      <c r="U28" s="497">
        <v>800</v>
      </c>
      <c r="V28" s="297" t="s">
        <v>6</v>
      </c>
      <c r="W28" s="297" t="s">
        <v>6</v>
      </c>
      <c r="X28" s="297" t="s">
        <v>6</v>
      </c>
      <c r="Y28" s="686" t="str">
        <f>IF(OR(T28&lt;=(K28*0.9),T28&gt;=(K28*1.5)),"X","")</f>
        <v>X</v>
      </c>
      <c r="Z28" s="686" t="str">
        <f>IF(OR(U28&lt;=(M28*0.9),U28&gt;=(M28*1.5)),"X","")</f>
        <v>X</v>
      </c>
      <c r="AA28" s="492" t="s">
        <v>1757</v>
      </c>
      <c r="AB28" s="140" t="str">
        <f>IF(OR( T28&lt;(K28*0.9), T28&gt;(K28*1.5), T28&gt;(K28*0.9), T28&lt;(K28*1.5)),"", "X")</f>
        <v/>
      </c>
      <c r="AG28" s="685"/>
    </row>
    <row r="29" spans="1:33" ht="63.75" x14ac:dyDescent="0.3">
      <c r="A29" s="294" t="s">
        <v>277</v>
      </c>
      <c r="B29" s="295" t="s">
        <v>830</v>
      </c>
      <c r="C29" s="294" t="s">
        <v>831</v>
      </c>
      <c r="D29" s="294" t="s">
        <v>77</v>
      </c>
      <c r="E29" s="287" t="s">
        <v>77</v>
      </c>
      <c r="F29" s="294" t="s">
        <v>77</v>
      </c>
      <c r="G29" s="294" t="s">
        <v>77</v>
      </c>
      <c r="H29" s="287" t="s">
        <v>416</v>
      </c>
      <c r="I29" s="294" t="s">
        <v>832</v>
      </c>
      <c r="J29" s="294" t="s">
        <v>757</v>
      </c>
      <c r="K29" s="294">
        <v>10</v>
      </c>
      <c r="L29" s="294" t="s">
        <v>827</v>
      </c>
      <c r="M29" s="294">
        <v>200</v>
      </c>
      <c r="N29" s="287" t="s">
        <v>833</v>
      </c>
      <c r="O29" s="287" t="s">
        <v>322</v>
      </c>
      <c r="P29" s="287" t="s">
        <v>322</v>
      </c>
      <c r="Q29" s="287" t="s">
        <v>829</v>
      </c>
      <c r="R29" s="297" t="s">
        <v>1756</v>
      </c>
      <c r="S29" s="297" t="s">
        <v>7</v>
      </c>
      <c r="T29" s="297">
        <v>5</v>
      </c>
      <c r="U29" s="497">
        <v>168</v>
      </c>
      <c r="V29" s="297" t="s">
        <v>77</v>
      </c>
      <c r="W29" s="297" t="s">
        <v>6</v>
      </c>
      <c r="X29" s="297" t="s">
        <v>1754</v>
      </c>
      <c r="Y29" s="686" t="str">
        <f>IF(OR(T29&lt;=(K29*0.9),T29&gt;=(K29*1.5)),"X","")</f>
        <v>X</v>
      </c>
      <c r="Z29" s="686" t="str">
        <f>IF(OR(U29&lt;=(M29*0.9),U29&gt;=(M29*1.5)),"X","")</f>
        <v>X</v>
      </c>
      <c r="AA29" s="492" t="s">
        <v>1758</v>
      </c>
      <c r="AB29" s="140" t="str">
        <f t="shared" ref="AB29:AB32" si="3">IF(OR( T29&lt;(K29*0.9), T29&gt;(K29*1.5), T29&gt;(K29*0.9), T29&lt;(K29*1.5)),"", "X")</f>
        <v/>
      </c>
      <c r="AG29" s="685"/>
    </row>
    <row r="30" spans="1:33" ht="48.75" customHeight="1" x14ac:dyDescent="0.3">
      <c r="A30" s="294" t="s">
        <v>277</v>
      </c>
      <c r="B30" s="294" t="s">
        <v>834</v>
      </c>
      <c r="C30" s="294" t="s">
        <v>835</v>
      </c>
      <c r="D30" s="294" t="s">
        <v>77</v>
      </c>
      <c r="E30" s="287" t="s">
        <v>77</v>
      </c>
      <c r="F30" s="294" t="s">
        <v>77</v>
      </c>
      <c r="G30" s="294" t="s">
        <v>77</v>
      </c>
      <c r="H30" s="287" t="s">
        <v>809</v>
      </c>
      <c r="I30" s="294" t="s">
        <v>756</v>
      </c>
      <c r="J30" s="294" t="s">
        <v>757</v>
      </c>
      <c r="K30" s="294">
        <v>6</v>
      </c>
      <c r="L30" s="294" t="s">
        <v>827</v>
      </c>
      <c r="M30" s="294">
        <v>90</v>
      </c>
      <c r="N30" s="287" t="s">
        <v>833</v>
      </c>
      <c r="O30" s="287" t="s">
        <v>836</v>
      </c>
      <c r="P30" s="287" t="s">
        <v>322</v>
      </c>
      <c r="Q30" s="287" t="s">
        <v>837</v>
      </c>
      <c r="R30" s="297" t="s">
        <v>1756</v>
      </c>
      <c r="S30" s="297" t="s">
        <v>7</v>
      </c>
      <c r="T30" s="297">
        <v>4</v>
      </c>
      <c r="U30" s="497">
        <v>130</v>
      </c>
      <c r="V30" s="297" t="s">
        <v>6</v>
      </c>
      <c r="W30" s="297" t="s">
        <v>6</v>
      </c>
      <c r="X30" s="297" t="s">
        <v>6</v>
      </c>
      <c r="Y30" s="686" t="str">
        <f>IF(OR(T30&lt;=(K30*0.9),T30&gt;=(K30*1.5)),"X","")</f>
        <v>X</v>
      </c>
      <c r="Z30" s="686" t="str">
        <f>IF(OR(U30&lt;=(M30*0.9),U30&gt;=(M30*1.5)),"X","")</f>
        <v/>
      </c>
      <c r="AA30" s="492" t="s">
        <v>1759</v>
      </c>
      <c r="AB30" s="140" t="str">
        <f t="shared" si="3"/>
        <v/>
      </c>
      <c r="AG30" s="685"/>
    </row>
    <row r="31" spans="1:33" ht="55.5" customHeight="1" x14ac:dyDescent="0.3">
      <c r="A31" s="294" t="s">
        <v>277</v>
      </c>
      <c r="B31" s="294" t="s">
        <v>838</v>
      </c>
      <c r="C31" s="294" t="s">
        <v>839</v>
      </c>
      <c r="D31" s="294" t="s">
        <v>77</v>
      </c>
      <c r="E31" s="287" t="s">
        <v>77</v>
      </c>
      <c r="F31" s="294" t="s">
        <v>77</v>
      </c>
      <c r="G31" s="294" t="s">
        <v>77</v>
      </c>
      <c r="H31" s="287" t="s">
        <v>415</v>
      </c>
      <c r="I31" s="294" t="s">
        <v>840</v>
      </c>
      <c r="J31" s="294" t="s">
        <v>841</v>
      </c>
      <c r="K31" s="294">
        <v>6</v>
      </c>
      <c r="L31" s="294" t="s">
        <v>842</v>
      </c>
      <c r="M31" s="294">
        <v>400</v>
      </c>
      <c r="N31" s="294" t="s">
        <v>843</v>
      </c>
      <c r="O31" s="287" t="s">
        <v>322</v>
      </c>
      <c r="P31" s="287" t="s">
        <v>322</v>
      </c>
      <c r="Q31" s="287" t="s">
        <v>844</v>
      </c>
      <c r="R31" s="297" t="s">
        <v>1756</v>
      </c>
      <c r="S31" s="297" t="s">
        <v>7</v>
      </c>
      <c r="T31" s="297">
        <v>5</v>
      </c>
      <c r="U31" s="497">
        <v>879</v>
      </c>
      <c r="V31" s="297" t="s">
        <v>6</v>
      </c>
      <c r="W31" s="297" t="s">
        <v>6</v>
      </c>
      <c r="X31" s="297" t="s">
        <v>6</v>
      </c>
      <c r="Y31" s="686" t="str">
        <f>IF(OR(T31&lt;=(K31*0.9),T31&gt;=(K31*1.5)),"X","")</f>
        <v>X</v>
      </c>
      <c r="Z31" s="686" t="str">
        <f>IF(OR(U31&lt;=(M31*0.9),U31&gt;=(M31*1.5)),"X","")</f>
        <v>X</v>
      </c>
      <c r="AA31" s="492" t="s">
        <v>1760</v>
      </c>
      <c r="AB31" s="140" t="str">
        <f t="shared" si="3"/>
        <v/>
      </c>
      <c r="AG31" s="685"/>
    </row>
    <row r="32" spans="1:33" ht="102" x14ac:dyDescent="0.3">
      <c r="A32" s="294" t="s">
        <v>277</v>
      </c>
      <c r="B32" s="294" t="s">
        <v>845</v>
      </c>
      <c r="C32" s="295" t="s">
        <v>846</v>
      </c>
      <c r="D32" s="294" t="s">
        <v>77</v>
      </c>
      <c r="E32" s="287" t="s">
        <v>77</v>
      </c>
      <c r="F32" s="294" t="s">
        <v>77</v>
      </c>
      <c r="G32" s="294" t="s">
        <v>77</v>
      </c>
      <c r="H32" s="287" t="s">
        <v>847</v>
      </c>
      <c r="I32" s="294" t="s">
        <v>848</v>
      </c>
      <c r="J32" s="294" t="s">
        <v>757</v>
      </c>
      <c r="K32" s="294">
        <v>6</v>
      </c>
      <c r="L32" s="294" t="s">
        <v>827</v>
      </c>
      <c r="M32" s="294">
        <v>120</v>
      </c>
      <c r="N32" s="287" t="s">
        <v>833</v>
      </c>
      <c r="O32" s="287" t="s">
        <v>322</v>
      </c>
      <c r="P32" s="287" t="s">
        <v>322</v>
      </c>
      <c r="Q32" s="287" t="s">
        <v>849</v>
      </c>
      <c r="R32" s="297" t="s">
        <v>1756</v>
      </c>
      <c r="S32" s="297" t="s">
        <v>7</v>
      </c>
      <c r="T32" s="297">
        <v>8</v>
      </c>
      <c r="U32" s="497">
        <v>231</v>
      </c>
      <c r="V32" s="297" t="s">
        <v>6</v>
      </c>
      <c r="W32" s="297" t="s">
        <v>1754</v>
      </c>
      <c r="X32" s="297" t="s">
        <v>6</v>
      </c>
      <c r="Y32" s="686" t="str">
        <f>IF(OR(T32&lt;=(K32*0.9),T32&gt;=(K32*1.5)),"X","")</f>
        <v/>
      </c>
      <c r="Z32" s="686" t="str">
        <f t="shared" si="1"/>
        <v>X</v>
      </c>
      <c r="AA32" s="492" t="s">
        <v>1940</v>
      </c>
      <c r="AB32" s="140" t="str">
        <f t="shared" si="3"/>
        <v/>
      </c>
      <c r="AG32" s="685"/>
    </row>
    <row r="33" spans="1:33" ht="16.5" x14ac:dyDescent="0.3">
      <c r="A33" s="296"/>
      <c r="B33" s="296"/>
      <c r="C33" s="296"/>
      <c r="D33" s="296"/>
      <c r="E33" s="296"/>
      <c r="F33" s="296"/>
      <c r="G33" s="296"/>
      <c r="H33" s="296"/>
      <c r="I33" s="296"/>
      <c r="J33" s="296"/>
      <c r="K33" s="296"/>
      <c r="L33" s="296"/>
      <c r="M33" s="296"/>
      <c r="N33" s="296"/>
      <c r="O33" s="296"/>
      <c r="P33" s="296"/>
      <c r="Q33" s="296"/>
      <c r="AG33" s="685"/>
    </row>
    <row r="34" spans="1:33" x14ac:dyDescent="0.2">
      <c r="M34" s="3"/>
      <c r="N34" s="3"/>
      <c r="O34" s="3"/>
      <c r="P34" s="3"/>
      <c r="Q34" s="3"/>
    </row>
    <row r="35" spans="1:33" x14ac:dyDescent="0.2">
      <c r="M35" s="3"/>
      <c r="N35" s="3"/>
      <c r="O35" s="3"/>
      <c r="P35" s="3"/>
      <c r="Q35" s="3"/>
    </row>
    <row r="36" spans="1:33" x14ac:dyDescent="0.2">
      <c r="M36" s="3"/>
      <c r="N36" s="3"/>
      <c r="O36" s="3"/>
      <c r="P36" s="3"/>
      <c r="Q36" s="3"/>
    </row>
    <row r="37" spans="1:33" x14ac:dyDescent="0.2">
      <c r="M37" s="3"/>
      <c r="N37" s="3"/>
      <c r="O37" s="3"/>
      <c r="P37" s="3"/>
      <c r="Q37" s="3"/>
    </row>
    <row r="38" spans="1:33" x14ac:dyDescent="0.2">
      <c r="M38" s="3"/>
      <c r="N38" s="3"/>
      <c r="O38" s="3"/>
      <c r="P38" s="3"/>
      <c r="Q38" s="3"/>
    </row>
    <row r="39" spans="1:33" x14ac:dyDescent="0.2">
      <c r="M39" s="3"/>
      <c r="N39" s="3"/>
      <c r="O39" s="3"/>
      <c r="P39" s="3"/>
      <c r="Q39" s="3"/>
    </row>
    <row r="40" spans="1:33" x14ac:dyDescent="0.2">
      <c r="M40" s="3"/>
      <c r="N40" s="3"/>
      <c r="O40" s="3"/>
      <c r="P40" s="3"/>
      <c r="Q40" s="3"/>
    </row>
    <row r="41" spans="1:33" x14ac:dyDescent="0.2">
      <c r="M41" s="3"/>
      <c r="N41" s="3"/>
      <c r="O41" s="3"/>
      <c r="P41" s="3"/>
      <c r="Q41" s="3"/>
    </row>
    <row r="42" spans="1:33" x14ac:dyDescent="0.2">
      <c r="M42" s="3"/>
      <c r="N42" s="3"/>
      <c r="O42" s="3"/>
      <c r="P42" s="3"/>
      <c r="Q42" s="3"/>
    </row>
    <row r="43" spans="1:33" x14ac:dyDescent="0.2">
      <c r="M43" s="3"/>
      <c r="N43" s="3"/>
      <c r="O43" s="3"/>
      <c r="P43" s="3"/>
      <c r="Q43" s="3"/>
    </row>
    <row r="44" spans="1:33" x14ac:dyDescent="0.2">
      <c r="M44" s="3"/>
      <c r="N44" s="3"/>
      <c r="O44" s="3"/>
      <c r="P44" s="3"/>
      <c r="Q44" s="3"/>
    </row>
    <row r="45" spans="1:33" x14ac:dyDescent="0.2">
      <c r="M45" s="3"/>
      <c r="N45" s="3"/>
      <c r="O45" s="3"/>
      <c r="P45" s="3"/>
      <c r="Q45" s="3"/>
    </row>
    <row r="46" spans="1:33" x14ac:dyDescent="0.2">
      <c r="M46" s="3"/>
      <c r="N46" s="3"/>
      <c r="O46" s="3"/>
      <c r="P46" s="3"/>
      <c r="Q46" s="3"/>
    </row>
    <row r="47" spans="1:33" x14ac:dyDescent="0.2">
      <c r="M47" s="3"/>
      <c r="N47" s="3"/>
      <c r="O47" s="3"/>
      <c r="P47" s="3"/>
      <c r="Q47" s="3"/>
    </row>
    <row r="48" spans="1:33" x14ac:dyDescent="0.2">
      <c r="M48" s="3"/>
      <c r="N48" s="3"/>
      <c r="O48" s="3"/>
      <c r="P48" s="3"/>
      <c r="Q48" s="3"/>
    </row>
    <row r="49" spans="13:17" x14ac:dyDescent="0.2">
      <c r="M49" s="3"/>
      <c r="N49" s="3"/>
      <c r="O49" s="3"/>
      <c r="P49" s="3"/>
      <c r="Q49" s="3"/>
    </row>
    <row r="50" spans="13:17" x14ac:dyDescent="0.2">
      <c r="M50" s="3"/>
      <c r="N50" s="3"/>
      <c r="O50" s="3"/>
      <c r="P50" s="3"/>
      <c r="Q50" s="3"/>
    </row>
    <row r="51" spans="13:17" x14ac:dyDescent="0.2">
      <c r="M51" s="3"/>
      <c r="N51" s="3"/>
      <c r="O51" s="3"/>
      <c r="P51" s="3"/>
      <c r="Q51" s="3"/>
    </row>
    <row r="52" spans="13:17" x14ac:dyDescent="0.2">
      <c r="M52" s="3"/>
      <c r="N52" s="3"/>
      <c r="O52" s="3"/>
      <c r="P52" s="3"/>
      <c r="Q52" s="3"/>
    </row>
    <row r="53" spans="13:17" x14ac:dyDescent="0.2">
      <c r="M53" s="3"/>
      <c r="N53" s="3"/>
      <c r="O53" s="3"/>
      <c r="P53" s="3"/>
      <c r="Q53" s="3"/>
    </row>
    <row r="54" spans="13:17" x14ac:dyDescent="0.2">
      <c r="M54" s="3"/>
      <c r="N54" s="3"/>
      <c r="O54" s="3"/>
      <c r="P54" s="3"/>
      <c r="Q54" s="3"/>
    </row>
    <row r="55" spans="13:17" x14ac:dyDescent="0.2">
      <c r="M55" s="3"/>
      <c r="N55" s="3"/>
      <c r="O55" s="3"/>
      <c r="P55" s="3"/>
      <c r="Q55" s="3"/>
    </row>
    <row r="56" spans="13:17" x14ac:dyDescent="0.2">
      <c r="M56" s="3"/>
      <c r="N56" s="3"/>
      <c r="O56" s="3"/>
      <c r="P56" s="3"/>
      <c r="Q56" s="3"/>
    </row>
    <row r="57" spans="13:17" x14ac:dyDescent="0.2">
      <c r="M57" s="3"/>
      <c r="N57" s="3"/>
      <c r="O57" s="3"/>
      <c r="P57" s="3"/>
      <c r="Q57" s="3"/>
    </row>
    <row r="58" spans="13:17" x14ac:dyDescent="0.2">
      <c r="M58" s="3"/>
      <c r="N58" s="3"/>
      <c r="O58" s="3"/>
      <c r="P58" s="3"/>
      <c r="Q58" s="3"/>
    </row>
    <row r="59" spans="13:17" x14ac:dyDescent="0.2">
      <c r="M59" s="3"/>
      <c r="N59" s="3"/>
      <c r="O59" s="3"/>
      <c r="P59" s="3"/>
      <c r="Q59" s="3"/>
    </row>
    <row r="60" spans="13:17" x14ac:dyDescent="0.2">
      <c r="M60" s="3"/>
      <c r="N60" s="3"/>
      <c r="O60" s="3"/>
      <c r="P60" s="3"/>
      <c r="Q60" s="3"/>
    </row>
    <row r="61" spans="13:17" x14ac:dyDescent="0.2">
      <c r="M61" s="3"/>
      <c r="N61" s="3"/>
      <c r="O61" s="3"/>
      <c r="P61" s="3"/>
      <c r="Q61" s="3"/>
    </row>
    <row r="62" spans="13:17" x14ac:dyDescent="0.2">
      <c r="M62" s="3"/>
      <c r="N62" s="3"/>
      <c r="O62" s="3"/>
      <c r="P62" s="3"/>
      <c r="Q62" s="3"/>
    </row>
    <row r="63" spans="13:17" x14ac:dyDescent="0.2">
      <c r="M63" s="3"/>
      <c r="N63" s="3"/>
      <c r="O63" s="3"/>
      <c r="P63" s="3"/>
      <c r="Q63" s="3"/>
    </row>
    <row r="64" spans="13:17" x14ac:dyDescent="0.2">
      <c r="M64" s="3"/>
      <c r="N64" s="3"/>
      <c r="O64" s="3"/>
      <c r="P64" s="3"/>
      <c r="Q64" s="3"/>
    </row>
    <row r="65" spans="13:17" x14ac:dyDescent="0.2">
      <c r="M65" s="3"/>
      <c r="N65" s="3"/>
      <c r="O65" s="3"/>
      <c r="P65" s="3"/>
      <c r="Q65" s="3"/>
    </row>
    <row r="66" spans="13:17" x14ac:dyDescent="0.2">
      <c r="M66" s="3"/>
      <c r="N66" s="3"/>
      <c r="O66" s="3"/>
      <c r="P66" s="3"/>
      <c r="Q66" s="3"/>
    </row>
    <row r="67" spans="13:17" x14ac:dyDescent="0.2">
      <c r="M67" s="3"/>
      <c r="N67" s="3"/>
      <c r="O67" s="3"/>
      <c r="P67" s="3"/>
      <c r="Q67" s="3"/>
    </row>
    <row r="68" spans="13:17" x14ac:dyDescent="0.2">
      <c r="M68" s="3"/>
      <c r="N68" s="3"/>
      <c r="O68" s="3"/>
      <c r="P68" s="3"/>
      <c r="Q68" s="3"/>
    </row>
    <row r="69" spans="13:17" x14ac:dyDescent="0.2">
      <c r="M69" s="3"/>
      <c r="N69" s="3"/>
      <c r="O69" s="3"/>
      <c r="P69" s="3"/>
      <c r="Q69" s="3"/>
    </row>
    <row r="70" spans="13:17" x14ac:dyDescent="0.2">
      <c r="M70" s="3"/>
      <c r="N70" s="3"/>
      <c r="O70" s="3"/>
      <c r="P70" s="3"/>
      <c r="Q70" s="3"/>
    </row>
    <row r="71" spans="13:17" x14ac:dyDescent="0.2">
      <c r="M71" s="3"/>
      <c r="N71" s="3"/>
      <c r="O71" s="3"/>
      <c r="P71" s="3"/>
      <c r="Q71" s="3"/>
    </row>
    <row r="72" spans="13:17" x14ac:dyDescent="0.2">
      <c r="M72" s="3"/>
      <c r="N72" s="3"/>
      <c r="O72" s="3"/>
      <c r="P72" s="3"/>
      <c r="Q72" s="3"/>
    </row>
    <row r="73" spans="13:17" x14ac:dyDescent="0.2">
      <c r="M73" s="3"/>
      <c r="N73" s="3"/>
      <c r="O73" s="3"/>
      <c r="P73" s="3"/>
      <c r="Q73" s="3"/>
    </row>
    <row r="74" spans="13:17" x14ac:dyDescent="0.2">
      <c r="M74" s="3"/>
      <c r="N74" s="3"/>
      <c r="O74" s="3"/>
      <c r="P74" s="3"/>
      <c r="Q74" s="3"/>
    </row>
    <row r="75" spans="13:17" x14ac:dyDescent="0.2">
      <c r="M75" s="3"/>
      <c r="N75" s="3"/>
      <c r="O75" s="3"/>
      <c r="P75" s="3"/>
      <c r="Q75" s="3"/>
    </row>
    <row r="76" spans="13:17" x14ac:dyDescent="0.2">
      <c r="M76" s="3"/>
      <c r="N76" s="3"/>
      <c r="O76" s="3"/>
      <c r="P76" s="3"/>
      <c r="Q76" s="3"/>
    </row>
    <row r="77" spans="13:17" x14ac:dyDescent="0.2">
      <c r="M77" s="3"/>
      <c r="N77" s="3"/>
      <c r="O77" s="3"/>
      <c r="P77" s="3"/>
      <c r="Q77" s="3"/>
    </row>
    <row r="78" spans="13:17" x14ac:dyDescent="0.2">
      <c r="M78" s="3"/>
      <c r="N78" s="3"/>
      <c r="O78" s="3"/>
      <c r="P78" s="3"/>
      <c r="Q78" s="3"/>
    </row>
    <row r="79" spans="13:17" x14ac:dyDescent="0.2">
      <c r="M79" s="3"/>
      <c r="N79" s="3"/>
      <c r="O79" s="3"/>
      <c r="P79" s="3"/>
      <c r="Q79" s="3"/>
    </row>
    <row r="80" spans="13:17" x14ac:dyDescent="0.2">
      <c r="M80" s="3"/>
      <c r="N80" s="3"/>
      <c r="O80" s="3"/>
      <c r="P80" s="3"/>
      <c r="Q80" s="3"/>
    </row>
    <row r="81" spans="13:17" x14ac:dyDescent="0.2">
      <c r="M81" s="3"/>
      <c r="N81" s="3"/>
      <c r="O81" s="3"/>
      <c r="P81" s="3"/>
      <c r="Q81" s="3"/>
    </row>
    <row r="82" spans="13:17" x14ac:dyDescent="0.2">
      <c r="M82" s="3"/>
      <c r="N82" s="3"/>
      <c r="O82" s="3"/>
      <c r="P82" s="3"/>
      <c r="Q82" s="3"/>
    </row>
    <row r="83" spans="13:17" x14ac:dyDescent="0.2">
      <c r="M83" s="3"/>
      <c r="N83" s="3"/>
      <c r="O83" s="3"/>
      <c r="P83" s="3"/>
      <c r="Q83" s="3"/>
    </row>
    <row r="84" spans="13:17" x14ac:dyDescent="0.2">
      <c r="M84" s="3"/>
      <c r="N84" s="3"/>
      <c r="O84" s="3"/>
      <c r="P84" s="3"/>
      <c r="Q84" s="3"/>
    </row>
    <row r="85" spans="13:17" x14ac:dyDescent="0.2">
      <c r="M85" s="3"/>
      <c r="N85" s="3"/>
      <c r="O85" s="3"/>
      <c r="P85" s="3"/>
      <c r="Q85" s="3"/>
    </row>
    <row r="86" spans="13:17" x14ac:dyDescent="0.2">
      <c r="M86" s="3"/>
      <c r="N86" s="3"/>
      <c r="O86" s="3"/>
      <c r="P86" s="3"/>
      <c r="Q86" s="3"/>
    </row>
    <row r="87" spans="13:17" x14ac:dyDescent="0.2">
      <c r="M87" s="3"/>
      <c r="N87" s="3"/>
      <c r="O87" s="3"/>
      <c r="P87" s="3"/>
      <c r="Q87" s="3"/>
    </row>
    <row r="88" spans="13:17" x14ac:dyDescent="0.2">
      <c r="M88" s="3"/>
      <c r="N88" s="3"/>
      <c r="O88" s="3"/>
      <c r="P88" s="3"/>
      <c r="Q88" s="3"/>
    </row>
    <row r="89" spans="13:17" x14ac:dyDescent="0.2">
      <c r="M89" s="3"/>
      <c r="N89" s="3"/>
      <c r="O89" s="3"/>
      <c r="P89" s="3"/>
      <c r="Q89" s="3"/>
    </row>
    <row r="90" spans="13:17" x14ac:dyDescent="0.2">
      <c r="M90" s="3"/>
      <c r="N90" s="3"/>
      <c r="O90" s="3"/>
      <c r="P90" s="3"/>
      <c r="Q90" s="3"/>
    </row>
    <row r="91" spans="13:17" x14ac:dyDescent="0.2">
      <c r="M91" s="3"/>
      <c r="N91" s="3"/>
      <c r="O91" s="3"/>
      <c r="P91" s="3"/>
      <c r="Q91" s="3"/>
    </row>
    <row r="92" spans="13:17" x14ac:dyDescent="0.2">
      <c r="M92" s="3"/>
      <c r="N92" s="3"/>
      <c r="O92" s="3"/>
      <c r="P92" s="3"/>
      <c r="Q92" s="3"/>
    </row>
    <row r="93" spans="13:17" x14ac:dyDescent="0.2">
      <c r="M93" s="3"/>
      <c r="N93" s="3"/>
      <c r="O93" s="3"/>
      <c r="P93" s="3"/>
      <c r="Q93" s="3"/>
    </row>
    <row r="94" spans="13:17" x14ac:dyDescent="0.2">
      <c r="M94" s="3"/>
      <c r="N94" s="3"/>
      <c r="O94" s="3"/>
      <c r="P94" s="3"/>
      <c r="Q94" s="3"/>
    </row>
    <row r="95" spans="13:17" x14ac:dyDescent="0.2">
      <c r="M95" s="3"/>
      <c r="N95" s="3"/>
      <c r="O95" s="3"/>
      <c r="P95" s="3"/>
      <c r="Q95" s="3"/>
    </row>
    <row r="96" spans="13:17" x14ac:dyDescent="0.2">
      <c r="M96" s="3"/>
      <c r="N96" s="3"/>
      <c r="O96" s="3"/>
      <c r="P96" s="3"/>
      <c r="Q96" s="3"/>
    </row>
    <row r="97" spans="13:17" x14ac:dyDescent="0.2">
      <c r="M97" s="3"/>
      <c r="N97" s="3"/>
      <c r="O97" s="3"/>
      <c r="P97" s="3"/>
      <c r="Q97" s="3"/>
    </row>
    <row r="98" spans="13:17" x14ac:dyDescent="0.2">
      <c r="M98" s="3"/>
      <c r="N98" s="3"/>
      <c r="O98" s="3"/>
      <c r="P98" s="3"/>
      <c r="Q98" s="3"/>
    </row>
    <row r="99" spans="13:17" x14ac:dyDescent="0.2">
      <c r="M99" s="3"/>
      <c r="N99" s="3"/>
      <c r="O99" s="3"/>
      <c r="P99" s="3"/>
      <c r="Q99" s="3"/>
    </row>
    <row r="100" spans="13:17" x14ac:dyDescent="0.2">
      <c r="M100" s="3"/>
      <c r="N100" s="3"/>
      <c r="O100" s="3"/>
      <c r="P100" s="3"/>
      <c r="Q100" s="3"/>
    </row>
    <row r="101" spans="13:17" x14ac:dyDescent="0.2">
      <c r="M101" s="3"/>
      <c r="N101" s="3"/>
      <c r="O101" s="3"/>
      <c r="P101" s="3"/>
      <c r="Q101" s="3"/>
    </row>
    <row r="102" spans="13:17" x14ac:dyDescent="0.2">
      <c r="M102" s="3"/>
      <c r="N102" s="3"/>
      <c r="O102" s="3"/>
      <c r="P102" s="3"/>
      <c r="Q102" s="3"/>
    </row>
    <row r="103" spans="13:17" x14ac:dyDescent="0.2">
      <c r="M103" s="3"/>
      <c r="N103" s="3"/>
      <c r="O103" s="3"/>
      <c r="P103" s="3"/>
      <c r="Q103" s="3"/>
    </row>
    <row r="104" spans="13:17" x14ac:dyDescent="0.2">
      <c r="M104" s="3"/>
      <c r="N104" s="3"/>
      <c r="O104" s="3"/>
      <c r="P104" s="3"/>
      <c r="Q104" s="3"/>
    </row>
    <row r="105" spans="13:17" x14ac:dyDescent="0.2">
      <c r="M105" s="3"/>
      <c r="N105" s="3"/>
      <c r="O105" s="3"/>
      <c r="P105" s="3"/>
      <c r="Q105" s="3"/>
    </row>
    <row r="106" spans="13:17" x14ac:dyDescent="0.2">
      <c r="M106" s="3"/>
      <c r="N106" s="3"/>
      <c r="O106" s="3"/>
      <c r="P106" s="3"/>
      <c r="Q106" s="3"/>
    </row>
    <row r="107" spans="13:17" x14ac:dyDescent="0.2">
      <c r="M107" s="3"/>
      <c r="N107" s="3"/>
      <c r="O107" s="3"/>
      <c r="P107" s="3"/>
      <c r="Q107" s="3"/>
    </row>
    <row r="108" spans="13:17" x14ac:dyDescent="0.2">
      <c r="M108" s="3"/>
      <c r="N108" s="3"/>
      <c r="O108" s="3"/>
      <c r="P108" s="3"/>
      <c r="Q108" s="3"/>
    </row>
    <row r="109" spans="13:17" x14ac:dyDescent="0.2">
      <c r="M109" s="3"/>
      <c r="N109" s="3"/>
      <c r="O109" s="3"/>
      <c r="P109" s="3"/>
      <c r="Q109" s="3"/>
    </row>
    <row r="110" spans="13:17" x14ac:dyDescent="0.2">
      <c r="M110" s="3"/>
      <c r="N110" s="3"/>
      <c r="O110" s="3"/>
      <c r="P110" s="3"/>
      <c r="Q110" s="3"/>
    </row>
    <row r="111" spans="13:17" x14ac:dyDescent="0.2">
      <c r="M111" s="3"/>
      <c r="N111" s="3"/>
      <c r="O111" s="3"/>
      <c r="P111" s="3"/>
      <c r="Q111" s="3"/>
    </row>
    <row r="112" spans="13:17" x14ac:dyDescent="0.2">
      <c r="M112" s="3"/>
      <c r="N112" s="3"/>
      <c r="O112" s="3"/>
      <c r="P112" s="3"/>
      <c r="Q112" s="3"/>
    </row>
    <row r="113" spans="13:17" x14ac:dyDescent="0.2">
      <c r="M113" s="3"/>
      <c r="N113" s="3"/>
      <c r="O113" s="3"/>
      <c r="P113" s="3"/>
      <c r="Q113" s="3"/>
    </row>
    <row r="114" spans="13:17" x14ac:dyDescent="0.2">
      <c r="M114" s="3"/>
      <c r="N114" s="3"/>
      <c r="O114" s="3"/>
      <c r="P114" s="3"/>
      <c r="Q114" s="3"/>
    </row>
    <row r="115" spans="13:17" x14ac:dyDescent="0.2">
      <c r="M115" s="3"/>
      <c r="N115" s="3"/>
      <c r="O115" s="3"/>
      <c r="P115" s="3"/>
      <c r="Q115" s="3"/>
    </row>
    <row r="116" spans="13:17" x14ac:dyDescent="0.2">
      <c r="M116" s="3"/>
      <c r="N116" s="3"/>
      <c r="O116" s="3"/>
      <c r="P116" s="3"/>
      <c r="Q116" s="3"/>
    </row>
    <row r="117" spans="13:17" x14ac:dyDescent="0.2">
      <c r="M117" s="3"/>
      <c r="N117" s="3"/>
      <c r="O117" s="3"/>
      <c r="P117" s="3"/>
      <c r="Q117" s="3"/>
    </row>
    <row r="118" spans="13:17" x14ac:dyDescent="0.2">
      <c r="M118" s="3"/>
      <c r="N118" s="3"/>
      <c r="O118" s="3"/>
      <c r="P118" s="3"/>
      <c r="Q118" s="3"/>
    </row>
    <row r="119" spans="13:17" x14ac:dyDescent="0.2">
      <c r="M119" s="3"/>
      <c r="N119" s="3"/>
      <c r="O119" s="3"/>
      <c r="P119" s="3"/>
      <c r="Q119" s="3"/>
    </row>
    <row r="120" spans="13:17" x14ac:dyDescent="0.2">
      <c r="M120" s="3"/>
      <c r="N120" s="3"/>
      <c r="O120" s="3"/>
      <c r="P120" s="3"/>
      <c r="Q120" s="3"/>
    </row>
    <row r="121" spans="13:17" x14ac:dyDescent="0.2">
      <c r="M121" s="3"/>
      <c r="N121" s="3"/>
      <c r="O121" s="3"/>
      <c r="P121" s="3"/>
      <c r="Q121" s="3"/>
    </row>
    <row r="122" spans="13:17" x14ac:dyDescent="0.2">
      <c r="M122" s="3"/>
      <c r="N122" s="3"/>
      <c r="O122" s="3"/>
      <c r="P122" s="3"/>
      <c r="Q122" s="3"/>
    </row>
    <row r="123" spans="13:17" x14ac:dyDescent="0.2">
      <c r="M123" s="3"/>
      <c r="N123" s="3"/>
      <c r="O123" s="3"/>
      <c r="P123" s="3"/>
      <c r="Q123" s="3"/>
    </row>
    <row r="124" spans="13:17" x14ac:dyDescent="0.2">
      <c r="M124" s="3"/>
      <c r="N124" s="3"/>
      <c r="O124" s="3"/>
      <c r="P124" s="3"/>
      <c r="Q124" s="3"/>
    </row>
    <row r="125" spans="13:17" x14ac:dyDescent="0.2">
      <c r="M125" s="3"/>
      <c r="N125" s="3"/>
      <c r="O125" s="3"/>
      <c r="P125" s="3"/>
      <c r="Q125" s="3"/>
    </row>
    <row r="126" spans="13:17" x14ac:dyDescent="0.2">
      <c r="M126" s="3"/>
      <c r="N126" s="3"/>
      <c r="O126" s="3"/>
      <c r="P126" s="3"/>
      <c r="Q126" s="3"/>
    </row>
    <row r="127" spans="13:17" x14ac:dyDescent="0.2">
      <c r="M127" s="3"/>
      <c r="N127" s="3"/>
      <c r="O127" s="3"/>
      <c r="P127" s="3"/>
      <c r="Q127" s="3"/>
    </row>
    <row r="128" spans="13:17" x14ac:dyDescent="0.2">
      <c r="M128" s="3"/>
      <c r="N128" s="3"/>
      <c r="O128" s="3"/>
      <c r="P128" s="3"/>
      <c r="Q128" s="3"/>
    </row>
    <row r="129" spans="13:17" x14ac:dyDescent="0.2">
      <c r="M129" s="3"/>
      <c r="N129" s="3"/>
      <c r="O129" s="3"/>
      <c r="P129" s="3"/>
      <c r="Q129" s="3"/>
    </row>
    <row r="130" spans="13:17" x14ac:dyDescent="0.2">
      <c r="M130" s="3"/>
      <c r="N130" s="3"/>
      <c r="O130" s="3"/>
      <c r="P130" s="3"/>
      <c r="Q130" s="3"/>
    </row>
    <row r="131" spans="13:17" x14ac:dyDescent="0.2">
      <c r="M131" s="3"/>
      <c r="N131" s="3"/>
      <c r="O131" s="3"/>
      <c r="P131" s="3"/>
      <c r="Q131" s="3"/>
    </row>
    <row r="132" spans="13:17" x14ac:dyDescent="0.2">
      <c r="M132" s="3"/>
      <c r="N132" s="3"/>
      <c r="O132" s="3"/>
      <c r="P132" s="3"/>
      <c r="Q132" s="3"/>
    </row>
    <row r="133" spans="13:17" x14ac:dyDescent="0.2">
      <c r="M133" s="3"/>
      <c r="N133" s="3"/>
      <c r="O133" s="3"/>
      <c r="P133" s="3"/>
      <c r="Q133" s="3"/>
    </row>
    <row r="134" spans="13:17" x14ac:dyDescent="0.2">
      <c r="M134" s="3"/>
      <c r="N134" s="3"/>
      <c r="O134" s="3"/>
      <c r="P134" s="3"/>
      <c r="Q134" s="3"/>
    </row>
    <row r="135" spans="13:17" x14ac:dyDescent="0.2">
      <c r="M135" s="3"/>
      <c r="N135" s="3"/>
      <c r="O135" s="3"/>
      <c r="P135" s="3"/>
      <c r="Q135" s="3"/>
    </row>
    <row r="136" spans="13:17" x14ac:dyDescent="0.2">
      <c r="M136" s="3"/>
      <c r="N136" s="3"/>
      <c r="O136" s="3"/>
      <c r="P136" s="3"/>
      <c r="Q136" s="3"/>
    </row>
    <row r="137" spans="13:17" x14ac:dyDescent="0.2">
      <c r="M137" s="3"/>
      <c r="N137" s="3"/>
      <c r="O137" s="3"/>
      <c r="P137" s="3"/>
      <c r="Q137" s="3"/>
    </row>
    <row r="138" spans="13:17" x14ac:dyDescent="0.2">
      <c r="M138" s="3"/>
      <c r="N138" s="3"/>
      <c r="O138" s="3"/>
      <c r="P138" s="3"/>
      <c r="Q138" s="3"/>
    </row>
    <row r="139" spans="13:17" x14ac:dyDescent="0.2">
      <c r="M139" s="3"/>
      <c r="N139" s="3"/>
      <c r="O139" s="3"/>
      <c r="P139" s="3"/>
      <c r="Q139" s="3"/>
    </row>
    <row r="140" spans="13:17" x14ac:dyDescent="0.2">
      <c r="M140" s="3"/>
      <c r="N140" s="3"/>
      <c r="O140" s="3"/>
      <c r="P140" s="3"/>
      <c r="Q140" s="3"/>
    </row>
    <row r="141" spans="13:17" x14ac:dyDescent="0.2">
      <c r="M141" s="3"/>
      <c r="N141" s="3"/>
      <c r="O141" s="3"/>
      <c r="P141" s="3"/>
      <c r="Q141" s="3"/>
    </row>
    <row r="142" spans="13:17" x14ac:dyDescent="0.2">
      <c r="M142" s="3"/>
      <c r="N142" s="3"/>
      <c r="O142" s="3"/>
      <c r="P142" s="3"/>
      <c r="Q142" s="3"/>
    </row>
    <row r="143" spans="13:17" x14ac:dyDescent="0.2">
      <c r="M143" s="3"/>
      <c r="N143" s="3"/>
      <c r="O143" s="3"/>
      <c r="P143" s="3"/>
      <c r="Q143" s="3"/>
    </row>
    <row r="144" spans="13:17" x14ac:dyDescent="0.2">
      <c r="M144" s="3"/>
      <c r="N144" s="3"/>
      <c r="O144" s="3"/>
      <c r="P144" s="3"/>
      <c r="Q144" s="3"/>
    </row>
    <row r="145" spans="13:17" x14ac:dyDescent="0.2">
      <c r="M145" s="3"/>
      <c r="N145" s="3"/>
      <c r="O145" s="3"/>
      <c r="P145" s="3"/>
      <c r="Q145" s="3"/>
    </row>
    <row r="146" spans="13:17" x14ac:dyDescent="0.2">
      <c r="M146" s="3"/>
      <c r="N146" s="3"/>
      <c r="O146" s="3"/>
      <c r="P146" s="3"/>
      <c r="Q146" s="3"/>
    </row>
    <row r="147" spans="13:17" x14ac:dyDescent="0.2">
      <c r="M147" s="3"/>
      <c r="N147" s="3"/>
      <c r="O147" s="3"/>
      <c r="P147" s="3"/>
      <c r="Q147" s="3"/>
    </row>
    <row r="148" spans="13:17" x14ac:dyDescent="0.2">
      <c r="M148" s="3"/>
      <c r="N148" s="3"/>
      <c r="O148" s="3"/>
      <c r="P148" s="3"/>
      <c r="Q148" s="3"/>
    </row>
    <row r="149" spans="13:17" x14ac:dyDescent="0.2">
      <c r="M149" s="3"/>
      <c r="N149" s="3"/>
      <c r="O149" s="3"/>
      <c r="P149" s="3"/>
      <c r="Q149" s="3"/>
    </row>
    <row r="150" spans="13:17" x14ac:dyDescent="0.2">
      <c r="M150" s="3"/>
      <c r="N150" s="3"/>
      <c r="O150" s="3"/>
      <c r="P150" s="3"/>
      <c r="Q150" s="3"/>
    </row>
    <row r="151" spans="13:17" x14ac:dyDescent="0.2">
      <c r="M151" s="3"/>
      <c r="N151" s="3"/>
      <c r="O151" s="3"/>
      <c r="P151" s="3"/>
      <c r="Q151" s="3"/>
    </row>
    <row r="152" spans="13:17" x14ac:dyDescent="0.2">
      <c r="M152" s="3"/>
      <c r="N152" s="3"/>
      <c r="O152" s="3"/>
      <c r="P152" s="3"/>
      <c r="Q152" s="3"/>
    </row>
    <row r="153" spans="13:17" x14ac:dyDescent="0.2">
      <c r="M153" s="3"/>
      <c r="N153" s="3"/>
      <c r="O153" s="3"/>
      <c r="P153" s="3"/>
      <c r="Q153" s="3"/>
    </row>
    <row r="154" spans="13:17" x14ac:dyDescent="0.2">
      <c r="M154" s="3"/>
      <c r="N154" s="3"/>
      <c r="O154" s="3"/>
      <c r="P154" s="3"/>
      <c r="Q154" s="3"/>
    </row>
    <row r="155" spans="13:17" x14ac:dyDescent="0.2">
      <c r="M155" s="3"/>
      <c r="N155" s="3"/>
      <c r="O155" s="3"/>
      <c r="P155" s="3"/>
      <c r="Q155" s="3"/>
    </row>
    <row r="156" spans="13:17" x14ac:dyDescent="0.2">
      <c r="M156" s="3"/>
      <c r="N156" s="3"/>
      <c r="O156" s="3"/>
      <c r="P156" s="3"/>
      <c r="Q156" s="3"/>
    </row>
    <row r="157" spans="13:17" x14ac:dyDescent="0.2">
      <c r="M157" s="3"/>
      <c r="N157" s="3"/>
      <c r="O157" s="3"/>
      <c r="P157" s="3"/>
      <c r="Q157" s="3"/>
    </row>
    <row r="158" spans="13:17" x14ac:dyDescent="0.2">
      <c r="M158" s="3"/>
      <c r="N158" s="3"/>
      <c r="O158" s="3"/>
      <c r="P158" s="3"/>
      <c r="Q158" s="3"/>
    </row>
    <row r="159" spans="13:17" x14ac:dyDescent="0.2">
      <c r="M159" s="3"/>
      <c r="N159" s="3"/>
      <c r="O159" s="3"/>
      <c r="P159" s="3"/>
      <c r="Q159" s="3"/>
    </row>
    <row r="160" spans="13:17" x14ac:dyDescent="0.2">
      <c r="M160" s="3"/>
      <c r="N160" s="3"/>
      <c r="O160" s="3"/>
      <c r="P160" s="3"/>
      <c r="Q160" s="3"/>
    </row>
    <row r="161" spans="13:17" x14ac:dyDescent="0.2">
      <c r="M161" s="3"/>
      <c r="N161" s="3"/>
      <c r="O161" s="3"/>
      <c r="P161" s="3"/>
      <c r="Q161" s="3"/>
    </row>
    <row r="162" spans="13:17" x14ac:dyDescent="0.2">
      <c r="M162" s="3"/>
      <c r="N162" s="3"/>
      <c r="O162" s="3"/>
      <c r="P162" s="3"/>
      <c r="Q162" s="3"/>
    </row>
    <row r="163" spans="13:17" x14ac:dyDescent="0.2">
      <c r="M163" s="3"/>
      <c r="N163" s="3"/>
      <c r="O163" s="3"/>
      <c r="P163" s="3"/>
      <c r="Q163" s="3"/>
    </row>
    <row r="164" spans="13:17" x14ac:dyDescent="0.2">
      <c r="M164" s="3"/>
      <c r="N164" s="3"/>
      <c r="O164" s="3"/>
      <c r="P164" s="3"/>
      <c r="Q164" s="3"/>
    </row>
    <row r="165" spans="13:17" x14ac:dyDescent="0.2">
      <c r="M165" s="3"/>
      <c r="N165" s="3"/>
      <c r="O165" s="3"/>
      <c r="P165" s="3"/>
      <c r="Q165" s="3"/>
    </row>
    <row r="166" spans="13:17" x14ac:dyDescent="0.2">
      <c r="M166" s="3"/>
      <c r="N166" s="3"/>
      <c r="O166" s="3"/>
      <c r="P166" s="3"/>
      <c r="Q166" s="3"/>
    </row>
    <row r="167" spans="13:17" x14ac:dyDescent="0.2">
      <c r="M167" s="3"/>
      <c r="N167" s="3"/>
      <c r="O167" s="3"/>
      <c r="P167" s="3"/>
      <c r="Q167" s="3"/>
    </row>
    <row r="168" spans="13:17" x14ac:dyDescent="0.2">
      <c r="M168" s="3"/>
      <c r="N168" s="3"/>
      <c r="O168" s="3"/>
      <c r="P168" s="3"/>
      <c r="Q168" s="3"/>
    </row>
    <row r="169" spans="13:17" x14ac:dyDescent="0.2">
      <c r="M169" s="3"/>
      <c r="N169" s="3"/>
      <c r="O169" s="3"/>
      <c r="P169" s="3"/>
      <c r="Q169" s="3"/>
    </row>
    <row r="170" spans="13:17" x14ac:dyDescent="0.2">
      <c r="M170" s="3"/>
      <c r="N170" s="3"/>
      <c r="O170" s="3"/>
      <c r="P170" s="3"/>
      <c r="Q170" s="3"/>
    </row>
    <row r="171" spans="13:17" x14ac:dyDescent="0.2">
      <c r="M171" s="3"/>
      <c r="N171" s="3"/>
      <c r="O171" s="3"/>
      <c r="P171" s="3"/>
      <c r="Q171" s="3"/>
    </row>
    <row r="172" spans="13:17" x14ac:dyDescent="0.2">
      <c r="M172" s="3"/>
      <c r="N172" s="3"/>
      <c r="O172" s="3"/>
      <c r="P172" s="3"/>
      <c r="Q172" s="3"/>
    </row>
    <row r="173" spans="13:17" x14ac:dyDescent="0.2">
      <c r="M173" s="3"/>
      <c r="N173" s="3"/>
      <c r="O173" s="3"/>
      <c r="P173" s="3"/>
      <c r="Q173" s="3"/>
    </row>
    <row r="174" spans="13:17" x14ac:dyDescent="0.2">
      <c r="M174" s="3"/>
      <c r="N174" s="3"/>
      <c r="O174" s="3"/>
      <c r="P174" s="3"/>
      <c r="Q174" s="3"/>
    </row>
    <row r="175" spans="13:17" x14ac:dyDescent="0.2">
      <c r="M175" s="3"/>
      <c r="N175" s="3"/>
      <c r="O175" s="3"/>
      <c r="P175" s="3"/>
      <c r="Q175" s="3"/>
    </row>
    <row r="176" spans="13:17" x14ac:dyDescent="0.2">
      <c r="M176" s="3"/>
      <c r="N176" s="3"/>
      <c r="O176" s="3"/>
      <c r="P176" s="3"/>
      <c r="Q176" s="3"/>
    </row>
    <row r="177" spans="13:17" x14ac:dyDescent="0.2">
      <c r="M177" s="3"/>
      <c r="N177" s="3"/>
      <c r="O177" s="3"/>
      <c r="P177" s="3"/>
      <c r="Q177" s="3"/>
    </row>
    <row r="178" spans="13:17" x14ac:dyDescent="0.2">
      <c r="M178" s="3"/>
      <c r="N178" s="3"/>
      <c r="O178" s="3"/>
      <c r="P178" s="3"/>
      <c r="Q178" s="3"/>
    </row>
    <row r="179" spans="13:17" x14ac:dyDescent="0.2">
      <c r="M179" s="3"/>
      <c r="N179" s="3"/>
      <c r="O179" s="3"/>
      <c r="P179" s="3"/>
      <c r="Q179" s="3"/>
    </row>
    <row r="180" spans="13:17" x14ac:dyDescent="0.2">
      <c r="M180" s="3"/>
      <c r="N180" s="3"/>
      <c r="O180" s="3"/>
      <c r="P180" s="3"/>
      <c r="Q180" s="3"/>
    </row>
    <row r="181" spans="13:17" x14ac:dyDescent="0.2">
      <c r="M181" s="3"/>
      <c r="N181" s="3"/>
      <c r="O181" s="3"/>
      <c r="P181" s="3"/>
      <c r="Q181" s="3"/>
    </row>
    <row r="182" spans="13:17" x14ac:dyDescent="0.2">
      <c r="M182" s="3"/>
      <c r="N182" s="3"/>
      <c r="O182" s="3"/>
      <c r="P182" s="3"/>
      <c r="Q182" s="3"/>
    </row>
    <row r="183" spans="13:17" x14ac:dyDescent="0.2">
      <c r="M183" s="3"/>
      <c r="N183" s="3"/>
      <c r="O183" s="3"/>
      <c r="P183" s="3"/>
      <c r="Q183" s="3"/>
    </row>
    <row r="184" spans="13:17" x14ac:dyDescent="0.2">
      <c r="M184" s="3"/>
      <c r="N184" s="3"/>
      <c r="O184" s="3"/>
      <c r="P184" s="3"/>
      <c r="Q184" s="3"/>
    </row>
    <row r="185" spans="13:17" x14ac:dyDescent="0.2">
      <c r="M185" s="3"/>
      <c r="N185" s="3"/>
      <c r="O185" s="3"/>
      <c r="P185" s="3"/>
      <c r="Q185" s="3"/>
    </row>
    <row r="186" spans="13:17" x14ac:dyDescent="0.2">
      <c r="M186" s="3"/>
      <c r="N186" s="3"/>
      <c r="O186" s="3"/>
      <c r="P186" s="3"/>
      <c r="Q186" s="3"/>
    </row>
    <row r="187" spans="13:17" x14ac:dyDescent="0.2">
      <c r="M187" s="3"/>
      <c r="N187" s="3"/>
      <c r="O187" s="3"/>
      <c r="P187" s="3"/>
      <c r="Q187" s="3"/>
    </row>
    <row r="188" spans="13:17" x14ac:dyDescent="0.2">
      <c r="M188" s="3"/>
      <c r="N188" s="3"/>
      <c r="O188" s="3"/>
      <c r="P188" s="3"/>
      <c r="Q188" s="3"/>
    </row>
    <row r="189" spans="13:17" x14ac:dyDescent="0.2">
      <c r="M189" s="3"/>
      <c r="N189" s="3"/>
      <c r="O189" s="3"/>
      <c r="P189" s="3"/>
      <c r="Q189" s="3"/>
    </row>
    <row r="190" spans="13:17" x14ac:dyDescent="0.2">
      <c r="M190" s="3"/>
      <c r="N190" s="3"/>
      <c r="O190" s="3"/>
      <c r="P190" s="3"/>
      <c r="Q190" s="3"/>
    </row>
    <row r="191" spans="13:17" x14ac:dyDescent="0.2">
      <c r="M191" s="3"/>
      <c r="N191" s="3"/>
      <c r="O191" s="3"/>
      <c r="P191" s="3"/>
      <c r="Q191" s="3"/>
    </row>
    <row r="192" spans="13:17" x14ac:dyDescent="0.2">
      <c r="M192" s="3"/>
      <c r="N192" s="3"/>
      <c r="O192" s="3"/>
      <c r="P192" s="3"/>
      <c r="Q192" s="3"/>
    </row>
    <row r="193" spans="13:17" x14ac:dyDescent="0.2">
      <c r="M193" s="3"/>
      <c r="N193" s="3"/>
      <c r="O193" s="3"/>
      <c r="P193" s="3"/>
      <c r="Q193" s="3"/>
    </row>
    <row r="194" spans="13:17" x14ac:dyDescent="0.2">
      <c r="M194" s="3"/>
      <c r="N194" s="3"/>
      <c r="O194" s="3"/>
      <c r="P194" s="3"/>
      <c r="Q194" s="3"/>
    </row>
    <row r="195" spans="13:17" x14ac:dyDescent="0.2">
      <c r="M195" s="3"/>
      <c r="N195" s="3"/>
      <c r="O195" s="3"/>
      <c r="P195" s="3"/>
      <c r="Q195" s="3"/>
    </row>
    <row r="196" spans="13:17" x14ac:dyDescent="0.2">
      <c r="M196" s="3"/>
      <c r="N196" s="3"/>
      <c r="O196" s="3"/>
      <c r="P196" s="3"/>
      <c r="Q196" s="3"/>
    </row>
    <row r="197" spans="13:17" x14ac:dyDescent="0.2">
      <c r="M197" s="3"/>
      <c r="N197" s="3"/>
      <c r="O197" s="3"/>
      <c r="P197" s="3"/>
      <c r="Q197" s="3"/>
    </row>
    <row r="198" spans="13:17" x14ac:dyDescent="0.2">
      <c r="M198" s="3"/>
      <c r="N198" s="3"/>
      <c r="O198" s="3"/>
      <c r="P198" s="3"/>
      <c r="Q198" s="3"/>
    </row>
    <row r="199" spans="13:17" x14ac:dyDescent="0.2">
      <c r="M199" s="3"/>
      <c r="N199" s="3"/>
      <c r="O199" s="3"/>
      <c r="P199" s="3"/>
      <c r="Q199" s="3"/>
    </row>
    <row r="200" spans="13:17" x14ac:dyDescent="0.2">
      <c r="M200" s="3"/>
      <c r="N200" s="3"/>
      <c r="O200" s="3"/>
      <c r="P200" s="3"/>
      <c r="Q200" s="3"/>
    </row>
    <row r="201" spans="13:17" x14ac:dyDescent="0.2">
      <c r="M201" s="3"/>
      <c r="N201" s="3"/>
      <c r="O201" s="3"/>
      <c r="P201" s="3"/>
      <c r="Q201" s="3"/>
    </row>
    <row r="202" spans="13:17" x14ac:dyDescent="0.2">
      <c r="M202" s="3"/>
      <c r="N202" s="3"/>
      <c r="O202" s="3"/>
      <c r="P202" s="3"/>
      <c r="Q202" s="3"/>
    </row>
    <row r="203" spans="13:17" x14ac:dyDescent="0.2">
      <c r="M203" s="3"/>
      <c r="N203" s="3"/>
      <c r="O203" s="3"/>
      <c r="P203" s="3"/>
      <c r="Q203" s="3"/>
    </row>
    <row r="204" spans="13:17" x14ac:dyDescent="0.2">
      <c r="M204" s="3"/>
      <c r="N204" s="3"/>
      <c r="O204" s="3"/>
      <c r="P204" s="3"/>
      <c r="Q204" s="3"/>
    </row>
    <row r="205" spans="13:17" x14ac:dyDescent="0.2">
      <c r="M205" s="3"/>
      <c r="N205" s="3"/>
      <c r="O205" s="3"/>
      <c r="P205" s="3"/>
      <c r="Q205" s="3"/>
    </row>
    <row r="206" spans="13:17" x14ac:dyDescent="0.2">
      <c r="M206" s="3"/>
      <c r="N206" s="3"/>
      <c r="O206" s="3"/>
      <c r="P206" s="3"/>
      <c r="Q206" s="3"/>
    </row>
    <row r="207" spans="13:17" x14ac:dyDescent="0.2">
      <c r="M207" s="3"/>
      <c r="N207" s="3"/>
      <c r="O207" s="3"/>
      <c r="P207" s="3"/>
      <c r="Q207" s="3"/>
    </row>
    <row r="208" spans="13:17" x14ac:dyDescent="0.2">
      <c r="M208" s="3"/>
      <c r="N208" s="3"/>
      <c r="O208" s="3"/>
      <c r="P208" s="3"/>
      <c r="Q208" s="3"/>
    </row>
    <row r="209" spans="13:17" x14ac:dyDescent="0.2">
      <c r="M209" s="3"/>
      <c r="N209" s="3"/>
      <c r="O209" s="3"/>
      <c r="P209" s="3"/>
      <c r="Q209" s="3"/>
    </row>
    <row r="210" spans="13:17" x14ac:dyDescent="0.2">
      <c r="M210" s="3"/>
      <c r="N210" s="3"/>
      <c r="O210" s="3"/>
      <c r="P210" s="3"/>
      <c r="Q210" s="3"/>
    </row>
    <row r="211" spans="13:17" x14ac:dyDescent="0.2">
      <c r="M211" s="3"/>
      <c r="N211" s="3"/>
      <c r="O211" s="3"/>
      <c r="P211" s="3"/>
      <c r="Q211" s="3"/>
    </row>
    <row r="212" spans="13:17" x14ac:dyDescent="0.2">
      <c r="M212" s="3"/>
      <c r="N212" s="3"/>
      <c r="O212" s="3"/>
      <c r="P212" s="3"/>
      <c r="Q212" s="3"/>
    </row>
    <row r="213" spans="13:17" x14ac:dyDescent="0.2">
      <c r="M213" s="3"/>
      <c r="N213" s="3"/>
      <c r="O213" s="3"/>
      <c r="P213" s="3"/>
      <c r="Q213" s="3"/>
    </row>
    <row r="214" spans="13:17" x14ac:dyDescent="0.2">
      <c r="M214" s="3"/>
      <c r="N214" s="3"/>
      <c r="O214" s="3"/>
      <c r="P214" s="3"/>
      <c r="Q214" s="3"/>
    </row>
    <row r="215" spans="13:17" x14ac:dyDescent="0.2">
      <c r="M215" s="3"/>
      <c r="N215" s="3"/>
      <c r="O215" s="3"/>
      <c r="P215" s="3"/>
      <c r="Q215" s="3"/>
    </row>
    <row r="216" spans="13:17" x14ac:dyDescent="0.2">
      <c r="M216" s="3"/>
      <c r="N216" s="3"/>
      <c r="O216" s="3"/>
      <c r="P216" s="3"/>
      <c r="Q216" s="3"/>
    </row>
    <row r="217" spans="13:17" x14ac:dyDescent="0.2">
      <c r="M217" s="3"/>
      <c r="N217" s="3"/>
      <c r="O217" s="3"/>
      <c r="P217" s="3"/>
      <c r="Q217" s="3"/>
    </row>
    <row r="218" spans="13:17" x14ac:dyDescent="0.2">
      <c r="M218" s="3"/>
      <c r="N218" s="3"/>
      <c r="O218" s="3"/>
      <c r="P218" s="3"/>
      <c r="Q218" s="3"/>
    </row>
    <row r="219" spans="13:17" x14ac:dyDescent="0.2">
      <c r="M219" s="3"/>
      <c r="N219" s="3"/>
      <c r="O219" s="3"/>
      <c r="P219" s="3"/>
      <c r="Q219" s="3"/>
    </row>
    <row r="220" spans="13:17" x14ac:dyDescent="0.2">
      <c r="M220" s="3"/>
      <c r="N220" s="3"/>
      <c r="O220" s="3"/>
      <c r="P220" s="3"/>
      <c r="Q220" s="3"/>
    </row>
    <row r="221" spans="13:17" x14ac:dyDescent="0.2">
      <c r="M221" s="3"/>
      <c r="N221" s="3"/>
      <c r="O221" s="3"/>
      <c r="P221" s="3"/>
      <c r="Q221" s="3"/>
    </row>
    <row r="222" spans="13:17" x14ac:dyDescent="0.2">
      <c r="M222" s="3"/>
      <c r="N222" s="3"/>
      <c r="O222" s="3"/>
      <c r="P222" s="3"/>
      <c r="Q222" s="3"/>
    </row>
    <row r="223" spans="13:17" x14ac:dyDescent="0.2">
      <c r="M223" s="3"/>
      <c r="N223" s="3"/>
      <c r="O223" s="3"/>
      <c r="P223" s="3"/>
      <c r="Q223" s="3"/>
    </row>
    <row r="224" spans="13:17" x14ac:dyDescent="0.2">
      <c r="M224" s="3"/>
      <c r="N224" s="3"/>
      <c r="O224" s="3"/>
      <c r="P224" s="3"/>
      <c r="Q224" s="3"/>
    </row>
    <row r="225" spans="13:17" x14ac:dyDescent="0.2">
      <c r="M225" s="3"/>
      <c r="N225" s="3"/>
      <c r="O225" s="3"/>
      <c r="P225" s="3"/>
      <c r="Q225" s="3"/>
    </row>
    <row r="226" spans="13:17" x14ac:dyDescent="0.2">
      <c r="M226" s="3"/>
      <c r="N226" s="3"/>
      <c r="O226" s="3"/>
      <c r="P226" s="3"/>
      <c r="Q226" s="3"/>
    </row>
    <row r="227" spans="13:17" x14ac:dyDescent="0.2">
      <c r="M227" s="3"/>
      <c r="N227" s="3"/>
      <c r="O227" s="3"/>
      <c r="P227" s="3"/>
      <c r="Q227" s="3"/>
    </row>
    <row r="228" spans="13:17" x14ac:dyDescent="0.2">
      <c r="M228" s="3"/>
      <c r="N228" s="3"/>
      <c r="O228" s="3"/>
      <c r="P228" s="3"/>
      <c r="Q228" s="3"/>
    </row>
    <row r="229" spans="13:17" x14ac:dyDescent="0.2">
      <c r="M229" s="3"/>
      <c r="N229" s="3"/>
      <c r="O229" s="3"/>
      <c r="P229" s="3"/>
      <c r="Q229" s="3"/>
    </row>
    <row r="230" spans="13:17" x14ac:dyDescent="0.2">
      <c r="M230" s="3"/>
      <c r="N230" s="3"/>
      <c r="O230" s="3"/>
      <c r="P230" s="3"/>
      <c r="Q230" s="3"/>
    </row>
    <row r="231" spans="13:17" x14ac:dyDescent="0.2">
      <c r="M231" s="3"/>
      <c r="N231" s="3"/>
      <c r="O231" s="3"/>
      <c r="P231" s="3"/>
      <c r="Q231" s="3"/>
    </row>
    <row r="232" spans="13:17" x14ac:dyDescent="0.2">
      <c r="M232" s="3"/>
      <c r="N232" s="3"/>
      <c r="O232" s="3"/>
      <c r="P232" s="3"/>
      <c r="Q232" s="3"/>
    </row>
    <row r="233" spans="13:17" x14ac:dyDescent="0.2">
      <c r="M233" s="3"/>
      <c r="N233" s="3"/>
      <c r="O233" s="3"/>
      <c r="P233" s="3"/>
      <c r="Q233" s="3"/>
    </row>
    <row r="234" spans="13:17" x14ac:dyDescent="0.2">
      <c r="M234" s="3"/>
      <c r="N234" s="3"/>
      <c r="O234" s="3"/>
      <c r="P234" s="3"/>
      <c r="Q234" s="3"/>
    </row>
    <row r="235" spans="13:17" x14ac:dyDescent="0.2">
      <c r="M235" s="3"/>
      <c r="N235" s="3"/>
      <c r="O235" s="3"/>
      <c r="P235" s="3"/>
      <c r="Q235" s="3"/>
    </row>
    <row r="236" spans="13:17" x14ac:dyDescent="0.2">
      <c r="M236" s="3"/>
      <c r="N236" s="3"/>
      <c r="O236" s="3"/>
      <c r="P236" s="3"/>
      <c r="Q236" s="3"/>
    </row>
    <row r="237" spans="13:17" x14ac:dyDescent="0.2">
      <c r="M237" s="3"/>
      <c r="N237" s="3"/>
      <c r="O237" s="3"/>
      <c r="P237" s="3"/>
      <c r="Q237" s="3"/>
    </row>
    <row r="238" spans="13:17" x14ac:dyDescent="0.2">
      <c r="M238" s="3"/>
      <c r="N238" s="3"/>
      <c r="O238" s="3"/>
      <c r="P238" s="3"/>
      <c r="Q238" s="3"/>
    </row>
    <row r="239" spans="13:17" x14ac:dyDescent="0.2">
      <c r="M239" s="3"/>
      <c r="N239" s="3"/>
      <c r="O239" s="3"/>
      <c r="P239" s="3"/>
      <c r="Q239" s="3"/>
    </row>
    <row r="240" spans="13:17" x14ac:dyDescent="0.2">
      <c r="M240" s="3"/>
      <c r="N240" s="3"/>
      <c r="O240" s="3"/>
      <c r="P240" s="3"/>
      <c r="Q240" s="3"/>
    </row>
    <row r="241" spans="13:17" x14ac:dyDescent="0.2">
      <c r="M241" s="3"/>
      <c r="N241" s="3"/>
      <c r="O241" s="3"/>
      <c r="P241" s="3"/>
      <c r="Q241" s="3"/>
    </row>
    <row r="242" spans="13:17" x14ac:dyDescent="0.2">
      <c r="M242" s="3"/>
      <c r="N242" s="3"/>
      <c r="O242" s="3"/>
      <c r="P242" s="3"/>
      <c r="Q242" s="3"/>
    </row>
    <row r="243" spans="13:17" x14ac:dyDescent="0.2">
      <c r="M243" s="3"/>
      <c r="N243" s="3"/>
      <c r="O243" s="3"/>
      <c r="P243" s="3"/>
      <c r="Q243" s="3"/>
    </row>
    <row r="244" spans="13:17" x14ac:dyDescent="0.2">
      <c r="M244" s="3"/>
      <c r="N244" s="3"/>
      <c r="O244" s="3"/>
      <c r="P244" s="3"/>
      <c r="Q244" s="3"/>
    </row>
    <row r="245" spans="13:17" x14ac:dyDescent="0.2">
      <c r="M245" s="3"/>
      <c r="N245" s="3"/>
      <c r="O245" s="3"/>
      <c r="P245" s="3"/>
      <c r="Q245" s="3"/>
    </row>
    <row r="246" spans="13:17" x14ac:dyDescent="0.2">
      <c r="M246" s="3"/>
      <c r="N246" s="3"/>
      <c r="O246" s="3"/>
      <c r="P246" s="3"/>
      <c r="Q246" s="3"/>
    </row>
    <row r="247" spans="13:17" x14ac:dyDescent="0.2">
      <c r="M247" s="3"/>
      <c r="N247" s="3"/>
      <c r="O247" s="3"/>
      <c r="P247" s="3"/>
      <c r="Q247" s="3"/>
    </row>
    <row r="248" spans="13:17" x14ac:dyDescent="0.2">
      <c r="M248" s="3"/>
      <c r="N248" s="3"/>
      <c r="O248" s="3"/>
      <c r="P248" s="3"/>
      <c r="Q248" s="3"/>
    </row>
    <row r="249" spans="13:17" x14ac:dyDescent="0.2">
      <c r="M249" s="3"/>
      <c r="N249" s="3"/>
      <c r="O249" s="3"/>
      <c r="P249" s="3"/>
      <c r="Q249" s="3"/>
    </row>
    <row r="250" spans="13:17" x14ac:dyDescent="0.2">
      <c r="M250" s="3"/>
      <c r="N250" s="3"/>
      <c r="O250" s="3"/>
      <c r="P250" s="3"/>
      <c r="Q250" s="3"/>
    </row>
    <row r="251" spans="13:17" x14ac:dyDescent="0.2">
      <c r="M251" s="3"/>
      <c r="N251" s="3"/>
      <c r="O251" s="3"/>
      <c r="P251" s="3"/>
      <c r="Q251" s="3"/>
    </row>
    <row r="252" spans="13:17" x14ac:dyDescent="0.2">
      <c r="M252" s="3"/>
      <c r="N252" s="3"/>
      <c r="O252" s="3"/>
      <c r="P252" s="3"/>
      <c r="Q252" s="3"/>
    </row>
    <row r="253" spans="13:17" x14ac:dyDescent="0.2">
      <c r="M253" s="3"/>
      <c r="N253" s="3"/>
      <c r="O253" s="3"/>
      <c r="P253" s="3"/>
      <c r="Q253" s="3"/>
    </row>
    <row r="254" spans="13:17" x14ac:dyDescent="0.2">
      <c r="M254" s="3"/>
      <c r="N254" s="3"/>
      <c r="O254" s="3"/>
      <c r="P254" s="3"/>
      <c r="Q254" s="3"/>
    </row>
    <row r="255" spans="13:17" x14ac:dyDescent="0.2">
      <c r="M255" s="3"/>
      <c r="N255" s="3"/>
      <c r="O255" s="3"/>
      <c r="P255" s="3"/>
      <c r="Q255" s="3"/>
    </row>
    <row r="256" spans="13:17" x14ac:dyDescent="0.2">
      <c r="M256" s="3"/>
      <c r="N256" s="3"/>
      <c r="O256" s="3"/>
      <c r="P256" s="3"/>
      <c r="Q256" s="3"/>
    </row>
    <row r="257" spans="13:17" x14ac:dyDescent="0.2">
      <c r="M257" s="3"/>
      <c r="N257" s="3"/>
      <c r="O257" s="3"/>
      <c r="P257" s="3"/>
      <c r="Q257" s="3"/>
    </row>
    <row r="258" spans="13:17" x14ac:dyDescent="0.2">
      <c r="M258" s="3"/>
      <c r="N258" s="3"/>
      <c r="O258" s="3"/>
      <c r="P258" s="3"/>
      <c r="Q258" s="3"/>
    </row>
    <row r="259" spans="13:17" x14ac:dyDescent="0.2">
      <c r="M259" s="3"/>
      <c r="N259" s="3"/>
      <c r="O259" s="3"/>
      <c r="P259" s="3"/>
      <c r="Q259" s="3"/>
    </row>
    <row r="260" spans="13:17" x14ac:dyDescent="0.2">
      <c r="M260" s="3"/>
      <c r="N260" s="3"/>
      <c r="O260" s="3"/>
      <c r="P260" s="3"/>
      <c r="Q260" s="3"/>
    </row>
    <row r="261" spans="13:17" x14ac:dyDescent="0.2">
      <c r="M261" s="3"/>
      <c r="N261" s="3"/>
      <c r="O261" s="3"/>
      <c r="P261" s="3"/>
      <c r="Q261" s="3"/>
    </row>
    <row r="262" spans="13:17" x14ac:dyDescent="0.2">
      <c r="M262" s="3"/>
      <c r="N262" s="3"/>
      <c r="O262" s="3"/>
      <c r="P262" s="3"/>
      <c r="Q262" s="3"/>
    </row>
    <row r="263" spans="13:17" x14ac:dyDescent="0.2">
      <c r="M263" s="3"/>
      <c r="N263" s="3"/>
      <c r="O263" s="3"/>
      <c r="P263" s="3"/>
      <c r="Q263" s="3"/>
    </row>
    <row r="264" spans="13:17" x14ac:dyDescent="0.2">
      <c r="M264" s="3"/>
      <c r="N264" s="3"/>
      <c r="O264" s="3"/>
      <c r="P264" s="3"/>
      <c r="Q264" s="3"/>
    </row>
    <row r="265" spans="13:17" x14ac:dyDescent="0.2">
      <c r="M265" s="3"/>
      <c r="N265" s="3"/>
      <c r="O265" s="3"/>
      <c r="P265" s="3"/>
      <c r="Q265" s="3"/>
    </row>
    <row r="266" spans="13:17" x14ac:dyDescent="0.2">
      <c r="M266" s="3"/>
      <c r="N266" s="3"/>
      <c r="O266" s="3"/>
      <c r="P266" s="3"/>
      <c r="Q266" s="3"/>
    </row>
    <row r="267" spans="13:17" x14ac:dyDescent="0.2">
      <c r="M267" s="3"/>
      <c r="N267" s="3"/>
      <c r="O267" s="3"/>
      <c r="P267" s="3"/>
      <c r="Q267" s="3"/>
    </row>
    <row r="268" spans="13:17" x14ac:dyDescent="0.2">
      <c r="M268" s="3"/>
      <c r="N268" s="3"/>
      <c r="O268" s="3"/>
      <c r="P268" s="3"/>
      <c r="Q268" s="3"/>
    </row>
    <row r="269" spans="13:17" x14ac:dyDescent="0.2">
      <c r="M269" s="3"/>
      <c r="N269" s="3"/>
      <c r="O269" s="3"/>
      <c r="P269" s="3"/>
      <c r="Q269" s="3"/>
    </row>
    <row r="270" spans="13:17" x14ac:dyDescent="0.2">
      <c r="M270" s="3"/>
      <c r="N270" s="3"/>
      <c r="O270" s="3"/>
      <c r="P270" s="3"/>
      <c r="Q270" s="3"/>
    </row>
    <row r="271" spans="13:17" x14ac:dyDescent="0.2">
      <c r="M271" s="3"/>
      <c r="N271" s="3"/>
      <c r="O271" s="3"/>
      <c r="P271" s="3"/>
      <c r="Q271" s="3"/>
    </row>
    <row r="272" spans="13:17" x14ac:dyDescent="0.2">
      <c r="M272" s="3"/>
      <c r="N272" s="3"/>
      <c r="O272" s="3"/>
      <c r="P272" s="3"/>
      <c r="Q272" s="3"/>
    </row>
    <row r="273" spans="13:17" x14ac:dyDescent="0.2">
      <c r="M273" s="3"/>
      <c r="N273" s="3"/>
      <c r="O273" s="3"/>
      <c r="P273" s="3"/>
      <c r="Q273" s="3"/>
    </row>
    <row r="274" spans="13:17" x14ac:dyDescent="0.2">
      <c r="M274" s="3"/>
      <c r="N274" s="3"/>
      <c r="O274" s="3"/>
      <c r="P274" s="3"/>
      <c r="Q274" s="3"/>
    </row>
    <row r="275" spans="13:17" x14ac:dyDescent="0.2">
      <c r="M275" s="3"/>
      <c r="N275" s="3"/>
      <c r="O275" s="3"/>
      <c r="P275" s="3"/>
      <c r="Q275" s="3"/>
    </row>
    <row r="276" spans="13:17" x14ac:dyDescent="0.2">
      <c r="M276" s="3"/>
      <c r="N276" s="3"/>
      <c r="O276" s="3"/>
      <c r="P276" s="3"/>
      <c r="Q276" s="3"/>
    </row>
    <row r="277" spans="13:17" x14ac:dyDescent="0.2">
      <c r="M277" s="3"/>
      <c r="N277" s="3"/>
      <c r="O277" s="3"/>
      <c r="P277" s="3"/>
      <c r="Q277" s="3"/>
    </row>
    <row r="278" spans="13:17" x14ac:dyDescent="0.2">
      <c r="M278" s="3"/>
      <c r="N278" s="3"/>
      <c r="O278" s="3"/>
      <c r="P278" s="3"/>
      <c r="Q278" s="3"/>
    </row>
    <row r="279" spans="13:17" x14ac:dyDescent="0.2">
      <c r="M279" s="3"/>
      <c r="N279" s="3"/>
      <c r="O279" s="3"/>
      <c r="P279" s="3"/>
      <c r="Q279" s="3"/>
    </row>
    <row r="280" spans="13:17" x14ac:dyDescent="0.2">
      <c r="M280" s="3"/>
      <c r="N280" s="3"/>
      <c r="O280" s="3"/>
      <c r="P280" s="3"/>
      <c r="Q280" s="3"/>
    </row>
    <row r="281" spans="13:17" x14ac:dyDescent="0.2">
      <c r="M281" s="3"/>
      <c r="N281" s="3"/>
      <c r="O281" s="3"/>
      <c r="P281" s="3"/>
      <c r="Q281" s="3"/>
    </row>
    <row r="282" spans="13:17" x14ac:dyDescent="0.2">
      <c r="M282" s="3"/>
      <c r="N282" s="3"/>
      <c r="O282" s="3"/>
      <c r="P282" s="3"/>
      <c r="Q282" s="3"/>
    </row>
    <row r="283" spans="13:17" x14ac:dyDescent="0.2">
      <c r="M283" s="3"/>
      <c r="N283" s="3"/>
      <c r="O283" s="3"/>
      <c r="P283" s="3"/>
      <c r="Q283" s="3"/>
    </row>
    <row r="284" spans="13:17" x14ac:dyDescent="0.2">
      <c r="M284" s="3"/>
      <c r="N284" s="3"/>
      <c r="O284" s="3"/>
      <c r="P284" s="3"/>
      <c r="Q284" s="3"/>
    </row>
    <row r="285" spans="13:17" x14ac:dyDescent="0.2">
      <c r="M285" s="3"/>
      <c r="N285" s="3"/>
      <c r="O285" s="3"/>
      <c r="P285" s="3"/>
      <c r="Q285" s="3"/>
    </row>
    <row r="286" spans="13:17" x14ac:dyDescent="0.2">
      <c r="M286" s="3"/>
      <c r="N286" s="3"/>
      <c r="O286" s="3"/>
      <c r="P286" s="3"/>
      <c r="Q286" s="3"/>
    </row>
    <row r="287" spans="13:17" x14ac:dyDescent="0.2">
      <c r="M287" s="3"/>
      <c r="N287" s="3"/>
      <c r="O287" s="3"/>
      <c r="P287" s="3"/>
      <c r="Q287" s="3"/>
    </row>
    <row r="288" spans="13:17" x14ac:dyDescent="0.2">
      <c r="M288" s="3"/>
      <c r="N288" s="3"/>
      <c r="O288" s="3"/>
      <c r="P288" s="3"/>
      <c r="Q288" s="3"/>
    </row>
    <row r="289" spans="13:17" x14ac:dyDescent="0.2">
      <c r="M289" s="3"/>
      <c r="N289" s="3"/>
      <c r="O289" s="3"/>
      <c r="P289" s="3"/>
      <c r="Q289" s="3"/>
    </row>
    <row r="290" spans="13:17" x14ac:dyDescent="0.2">
      <c r="M290" s="3"/>
      <c r="N290" s="3"/>
      <c r="O290" s="3"/>
      <c r="P290" s="3"/>
      <c r="Q290" s="3"/>
    </row>
    <row r="291" spans="13:17" x14ac:dyDescent="0.2">
      <c r="M291" s="3"/>
      <c r="N291" s="3"/>
      <c r="O291" s="3"/>
      <c r="P291" s="3"/>
      <c r="Q291" s="3"/>
    </row>
    <row r="292" spans="13:17" x14ac:dyDescent="0.2">
      <c r="M292" s="3"/>
      <c r="N292" s="3"/>
      <c r="O292" s="3"/>
      <c r="P292" s="3"/>
      <c r="Q292" s="3"/>
    </row>
    <row r="293" spans="13:17" x14ac:dyDescent="0.2">
      <c r="M293" s="3"/>
      <c r="N293" s="3"/>
      <c r="O293" s="3"/>
      <c r="P293" s="3"/>
      <c r="Q293" s="3"/>
    </row>
    <row r="294" spans="13:17" x14ac:dyDescent="0.2">
      <c r="M294" s="3"/>
      <c r="N294" s="3"/>
      <c r="O294" s="3"/>
      <c r="P294" s="3"/>
      <c r="Q294" s="3"/>
    </row>
    <row r="295" spans="13:17" x14ac:dyDescent="0.2">
      <c r="M295" s="3"/>
      <c r="N295" s="3"/>
      <c r="O295" s="3"/>
      <c r="P295" s="3"/>
      <c r="Q295" s="3"/>
    </row>
    <row r="296" spans="13:17" x14ac:dyDescent="0.2">
      <c r="M296" s="3"/>
      <c r="N296" s="3"/>
      <c r="O296" s="3"/>
      <c r="P296" s="3"/>
      <c r="Q296" s="3"/>
    </row>
    <row r="297" spans="13:17" x14ac:dyDescent="0.2">
      <c r="M297" s="3"/>
      <c r="N297" s="3"/>
      <c r="O297" s="3"/>
      <c r="P297" s="3"/>
      <c r="Q297" s="3"/>
    </row>
    <row r="298" spans="13:17" x14ac:dyDescent="0.2">
      <c r="M298" s="3"/>
      <c r="N298" s="3"/>
      <c r="O298" s="3"/>
      <c r="P298" s="3"/>
      <c r="Q298" s="3"/>
    </row>
    <row r="299" spans="13:17" x14ac:dyDescent="0.2">
      <c r="M299" s="3"/>
      <c r="N299" s="3"/>
      <c r="O299" s="3"/>
      <c r="P299" s="3"/>
      <c r="Q299" s="3"/>
    </row>
    <row r="300" spans="13:17" x14ac:dyDescent="0.2">
      <c r="M300" s="3"/>
      <c r="N300" s="3"/>
      <c r="O300" s="3"/>
      <c r="P300" s="3"/>
      <c r="Q300" s="3"/>
    </row>
    <row r="301" spans="13:17" x14ac:dyDescent="0.2">
      <c r="M301" s="3"/>
      <c r="N301" s="3"/>
      <c r="O301" s="3"/>
      <c r="P301" s="3"/>
      <c r="Q301" s="3"/>
    </row>
    <row r="302" spans="13:17" x14ac:dyDescent="0.2">
      <c r="M302" s="3"/>
      <c r="N302" s="3"/>
      <c r="O302" s="3"/>
      <c r="P302" s="3"/>
      <c r="Q302" s="3"/>
    </row>
    <row r="303" spans="13:17" x14ac:dyDescent="0.2">
      <c r="M303" s="3"/>
      <c r="N303" s="3"/>
      <c r="O303" s="3"/>
      <c r="P303" s="3"/>
      <c r="Q303" s="3"/>
    </row>
    <row r="304" spans="13:17" x14ac:dyDescent="0.2">
      <c r="M304" s="3"/>
      <c r="N304" s="3"/>
      <c r="O304" s="3"/>
      <c r="P304" s="3"/>
      <c r="Q304" s="3"/>
    </row>
    <row r="305" spans="13:17" x14ac:dyDescent="0.2">
      <c r="M305" s="3"/>
      <c r="N305" s="3"/>
      <c r="O305" s="3"/>
      <c r="P305" s="3"/>
      <c r="Q305" s="3"/>
    </row>
    <row r="306" spans="13:17" x14ac:dyDescent="0.2">
      <c r="M306" s="3"/>
      <c r="N306" s="3"/>
      <c r="O306" s="3"/>
      <c r="P306" s="3"/>
      <c r="Q306" s="3"/>
    </row>
    <row r="307" spans="13:17" x14ac:dyDescent="0.2">
      <c r="M307" s="3"/>
      <c r="N307" s="3"/>
      <c r="O307" s="3"/>
      <c r="P307" s="3"/>
      <c r="Q307" s="3"/>
    </row>
    <row r="308" spans="13:17" x14ac:dyDescent="0.2">
      <c r="M308" s="3"/>
      <c r="N308" s="3"/>
      <c r="O308" s="3"/>
      <c r="P308" s="3"/>
      <c r="Q308" s="3"/>
    </row>
    <row r="309" spans="13:17" x14ac:dyDescent="0.2">
      <c r="M309" s="3"/>
      <c r="N309" s="3"/>
      <c r="O309" s="3"/>
      <c r="P309" s="3"/>
      <c r="Q309" s="3"/>
    </row>
    <row r="310" spans="13:17" x14ac:dyDescent="0.2">
      <c r="M310" s="3"/>
      <c r="N310" s="3"/>
      <c r="O310" s="3"/>
      <c r="P310" s="3"/>
      <c r="Q310" s="3"/>
    </row>
    <row r="311" spans="13:17" x14ac:dyDescent="0.2">
      <c r="M311" s="3"/>
      <c r="N311" s="3"/>
      <c r="O311" s="3"/>
      <c r="P311" s="3"/>
      <c r="Q311" s="3"/>
    </row>
    <row r="312" spans="13:17" x14ac:dyDescent="0.2">
      <c r="M312" s="3"/>
      <c r="N312" s="3"/>
      <c r="O312" s="3"/>
      <c r="P312" s="3"/>
      <c r="Q312" s="3"/>
    </row>
    <row r="313" spans="13:17" x14ac:dyDescent="0.2">
      <c r="M313" s="3"/>
      <c r="N313" s="3"/>
      <c r="O313" s="3"/>
      <c r="P313" s="3"/>
      <c r="Q313" s="3"/>
    </row>
    <row r="314" spans="13:17" x14ac:dyDescent="0.2">
      <c r="M314" s="3"/>
      <c r="N314" s="3"/>
      <c r="O314" s="3"/>
      <c r="P314" s="3"/>
      <c r="Q314" s="3"/>
    </row>
    <row r="315" spans="13:17" x14ac:dyDescent="0.2">
      <c r="M315" s="3"/>
      <c r="N315" s="3"/>
      <c r="O315" s="3"/>
      <c r="P315" s="3"/>
      <c r="Q315" s="3"/>
    </row>
    <row r="316" spans="13:17" x14ac:dyDescent="0.2">
      <c r="M316" s="3"/>
      <c r="N316" s="3"/>
      <c r="O316" s="3"/>
      <c r="P316" s="3"/>
      <c r="Q316" s="3"/>
    </row>
    <row r="317" spans="13:17" x14ac:dyDescent="0.2">
      <c r="M317" s="3"/>
      <c r="N317" s="3"/>
      <c r="O317" s="3"/>
      <c r="P317" s="3"/>
      <c r="Q317" s="3"/>
    </row>
    <row r="318" spans="13:17" x14ac:dyDescent="0.2">
      <c r="M318" s="3"/>
      <c r="N318" s="3"/>
      <c r="O318" s="3"/>
      <c r="P318" s="3"/>
      <c r="Q318" s="3"/>
    </row>
    <row r="319" spans="13:17" x14ac:dyDescent="0.2">
      <c r="M319" s="3"/>
      <c r="N319" s="3"/>
      <c r="O319" s="3"/>
      <c r="P319" s="3"/>
      <c r="Q319" s="3"/>
    </row>
    <row r="320" spans="13:17" x14ac:dyDescent="0.2">
      <c r="M320" s="3"/>
      <c r="N320" s="3"/>
      <c r="O320" s="3"/>
      <c r="P320" s="3"/>
      <c r="Q320" s="3"/>
    </row>
    <row r="321" spans="13:17" x14ac:dyDescent="0.2">
      <c r="M321" s="3"/>
      <c r="N321" s="3"/>
      <c r="O321" s="3"/>
      <c r="P321" s="3"/>
      <c r="Q321" s="3"/>
    </row>
    <row r="322" spans="13:17" x14ac:dyDescent="0.2">
      <c r="M322" s="3"/>
      <c r="N322" s="3"/>
      <c r="O322" s="3"/>
      <c r="P322" s="3"/>
      <c r="Q322" s="3"/>
    </row>
    <row r="323" spans="13:17" x14ac:dyDescent="0.2">
      <c r="M323" s="3"/>
      <c r="N323" s="3"/>
      <c r="O323" s="3"/>
      <c r="P323" s="3"/>
      <c r="Q323" s="3"/>
    </row>
    <row r="324" spans="13:17" x14ac:dyDescent="0.2">
      <c r="M324" s="3"/>
      <c r="N324" s="3"/>
      <c r="O324" s="3"/>
      <c r="P324" s="3"/>
      <c r="Q324" s="3"/>
    </row>
    <row r="325" spans="13:17" x14ac:dyDescent="0.2">
      <c r="M325" s="3"/>
      <c r="N325" s="3"/>
      <c r="O325" s="3"/>
      <c r="P325" s="3"/>
      <c r="Q325" s="3"/>
    </row>
    <row r="326" spans="13:17" x14ac:dyDescent="0.2">
      <c r="M326" s="3"/>
      <c r="N326" s="3"/>
      <c r="O326" s="3"/>
      <c r="P326" s="3"/>
      <c r="Q326" s="3"/>
    </row>
    <row r="327" spans="13:17" x14ac:dyDescent="0.2">
      <c r="M327" s="3"/>
      <c r="N327" s="3"/>
      <c r="O327" s="3"/>
      <c r="P327" s="3"/>
      <c r="Q327" s="3"/>
    </row>
    <row r="328" spans="13:17" x14ac:dyDescent="0.2">
      <c r="M328" s="3"/>
      <c r="N328" s="3"/>
      <c r="O328" s="3"/>
      <c r="P328" s="3"/>
      <c r="Q328" s="3"/>
    </row>
    <row r="329" spans="13:17" x14ac:dyDescent="0.2">
      <c r="M329" s="3"/>
      <c r="N329" s="3"/>
      <c r="O329" s="3"/>
      <c r="P329" s="3"/>
      <c r="Q329" s="3"/>
    </row>
    <row r="330" spans="13:17" x14ac:dyDescent="0.2">
      <c r="M330" s="3"/>
      <c r="N330" s="3"/>
      <c r="O330" s="3"/>
      <c r="P330" s="3"/>
      <c r="Q330" s="3"/>
    </row>
    <row r="331" spans="13:17" x14ac:dyDescent="0.2">
      <c r="M331" s="3"/>
      <c r="N331" s="3"/>
      <c r="O331" s="3"/>
      <c r="P331" s="3"/>
      <c r="Q331" s="3"/>
    </row>
    <row r="332" spans="13:17" x14ac:dyDescent="0.2">
      <c r="M332" s="3"/>
      <c r="N332" s="3"/>
      <c r="O332" s="3"/>
      <c r="P332" s="3"/>
      <c r="Q332" s="3"/>
    </row>
    <row r="333" spans="13:17" x14ac:dyDescent="0.2">
      <c r="M333" s="3"/>
      <c r="N333" s="3"/>
      <c r="O333" s="3"/>
      <c r="P333" s="3"/>
      <c r="Q333" s="3"/>
    </row>
    <row r="334" spans="13:17" x14ac:dyDescent="0.2">
      <c r="M334" s="3"/>
      <c r="N334" s="3"/>
      <c r="O334" s="3"/>
      <c r="P334" s="3"/>
      <c r="Q334" s="3"/>
    </row>
    <row r="335" spans="13:17" x14ac:dyDescent="0.2">
      <c r="M335" s="3"/>
      <c r="N335" s="3"/>
      <c r="O335" s="3"/>
      <c r="P335" s="3"/>
      <c r="Q335" s="3"/>
    </row>
    <row r="336" spans="13:17" x14ac:dyDescent="0.2">
      <c r="M336" s="3"/>
      <c r="N336" s="3"/>
      <c r="O336" s="3"/>
      <c r="P336" s="3"/>
      <c r="Q336" s="3"/>
    </row>
    <row r="337" spans="13:17" x14ac:dyDescent="0.2">
      <c r="M337" s="3"/>
      <c r="N337" s="3"/>
      <c r="O337" s="3"/>
      <c r="P337" s="3"/>
      <c r="Q337" s="3"/>
    </row>
    <row r="338" spans="13:17" x14ac:dyDescent="0.2">
      <c r="M338" s="3"/>
      <c r="N338" s="3"/>
      <c r="O338" s="3"/>
      <c r="P338" s="3"/>
      <c r="Q338" s="3"/>
    </row>
    <row r="339" spans="13:17" x14ac:dyDescent="0.2">
      <c r="M339" s="3"/>
      <c r="N339" s="3"/>
      <c r="O339" s="3"/>
      <c r="P339" s="3"/>
      <c r="Q339" s="3"/>
    </row>
    <row r="340" spans="13:17" x14ac:dyDescent="0.2">
      <c r="M340" s="3"/>
      <c r="N340" s="3"/>
      <c r="O340" s="3"/>
      <c r="P340" s="3"/>
      <c r="Q340" s="3"/>
    </row>
    <row r="341" spans="13:17" x14ac:dyDescent="0.2">
      <c r="M341" s="3"/>
      <c r="N341" s="3"/>
      <c r="O341" s="3"/>
      <c r="P341" s="3"/>
      <c r="Q341" s="3"/>
    </row>
    <row r="342" spans="13:17" x14ac:dyDescent="0.2">
      <c r="M342" s="3"/>
      <c r="N342" s="3"/>
      <c r="O342" s="3"/>
      <c r="P342" s="3"/>
      <c r="Q342" s="3"/>
    </row>
    <row r="343" spans="13:17" x14ac:dyDescent="0.2">
      <c r="M343" s="3"/>
      <c r="N343" s="3"/>
      <c r="O343" s="3"/>
      <c r="P343" s="3"/>
      <c r="Q343" s="3"/>
    </row>
    <row r="344" spans="13:17" x14ac:dyDescent="0.2">
      <c r="M344" s="3"/>
      <c r="N344" s="3"/>
      <c r="O344" s="3"/>
      <c r="P344" s="3"/>
      <c r="Q344" s="3"/>
    </row>
    <row r="345" spans="13:17" x14ac:dyDescent="0.2">
      <c r="M345" s="3"/>
      <c r="N345" s="3"/>
      <c r="O345" s="3"/>
      <c r="P345" s="3"/>
      <c r="Q345" s="3"/>
    </row>
    <row r="346" spans="13:17" x14ac:dyDescent="0.2">
      <c r="M346" s="3"/>
      <c r="N346" s="3"/>
      <c r="O346" s="3"/>
      <c r="P346" s="3"/>
      <c r="Q346" s="3"/>
    </row>
    <row r="347" spans="13:17" x14ac:dyDescent="0.2">
      <c r="M347" s="3"/>
      <c r="N347" s="3"/>
      <c r="O347" s="3"/>
      <c r="P347" s="3"/>
      <c r="Q347" s="3"/>
    </row>
    <row r="348" spans="13:17" x14ac:dyDescent="0.2">
      <c r="M348" s="3"/>
      <c r="N348" s="3"/>
      <c r="O348" s="3"/>
      <c r="P348" s="3"/>
      <c r="Q348" s="3"/>
    </row>
    <row r="349" spans="13:17" x14ac:dyDescent="0.2">
      <c r="M349" s="3"/>
      <c r="N349" s="3"/>
      <c r="O349" s="3"/>
      <c r="P349" s="3"/>
      <c r="Q349" s="3"/>
    </row>
    <row r="350" spans="13:17" x14ac:dyDescent="0.2">
      <c r="M350" s="3"/>
      <c r="N350" s="3"/>
      <c r="O350" s="3"/>
      <c r="P350" s="3"/>
      <c r="Q350" s="3"/>
    </row>
    <row r="351" spans="13:17" x14ac:dyDescent="0.2">
      <c r="M351" s="3"/>
      <c r="N351" s="3"/>
      <c r="O351" s="3"/>
      <c r="P351" s="3"/>
      <c r="Q351" s="3"/>
    </row>
    <row r="352" spans="13:17" x14ac:dyDescent="0.2">
      <c r="M352" s="3"/>
      <c r="N352" s="3"/>
      <c r="O352" s="3"/>
      <c r="P352" s="3"/>
      <c r="Q352" s="3"/>
    </row>
    <row r="353" spans="13:17" x14ac:dyDescent="0.2">
      <c r="M353" s="3"/>
      <c r="N353" s="3"/>
      <c r="O353" s="3"/>
      <c r="P353" s="3"/>
      <c r="Q353" s="3"/>
    </row>
    <row r="354" spans="13:17" x14ac:dyDescent="0.2">
      <c r="M354" s="3"/>
      <c r="N354" s="3"/>
      <c r="O354" s="3"/>
      <c r="P354" s="3"/>
      <c r="Q354" s="3"/>
    </row>
    <row r="355" spans="13:17" x14ac:dyDescent="0.2">
      <c r="M355" s="3"/>
      <c r="N355" s="3"/>
      <c r="O355" s="3"/>
      <c r="P355" s="3"/>
      <c r="Q355" s="3"/>
    </row>
    <row r="356" spans="13:17" x14ac:dyDescent="0.2">
      <c r="M356" s="3"/>
      <c r="N356" s="3"/>
      <c r="O356" s="3"/>
      <c r="P356" s="3"/>
      <c r="Q356" s="3"/>
    </row>
    <row r="357" spans="13:17" x14ac:dyDescent="0.2">
      <c r="M357" s="3"/>
      <c r="N357" s="3"/>
      <c r="O357" s="3"/>
      <c r="P357" s="3"/>
      <c r="Q357" s="3"/>
    </row>
    <row r="358" spans="13:17" x14ac:dyDescent="0.2">
      <c r="M358" s="3"/>
      <c r="N358" s="3"/>
      <c r="O358" s="3"/>
      <c r="P358" s="3"/>
      <c r="Q358" s="3"/>
    </row>
    <row r="359" spans="13:17" x14ac:dyDescent="0.2">
      <c r="M359" s="3"/>
      <c r="N359" s="3"/>
      <c r="O359" s="3"/>
      <c r="P359" s="3"/>
      <c r="Q359" s="3"/>
    </row>
    <row r="360" spans="13:17" x14ac:dyDescent="0.2">
      <c r="M360" s="3"/>
      <c r="N360" s="3"/>
      <c r="O360" s="3"/>
      <c r="P360" s="3"/>
      <c r="Q360" s="3"/>
    </row>
    <row r="361" spans="13:17" x14ac:dyDescent="0.2">
      <c r="M361" s="3"/>
      <c r="N361" s="3"/>
      <c r="O361" s="3"/>
      <c r="P361" s="3"/>
      <c r="Q361" s="3"/>
    </row>
    <row r="362" spans="13:17" x14ac:dyDescent="0.2">
      <c r="M362" s="3"/>
      <c r="N362" s="3"/>
      <c r="O362" s="3"/>
      <c r="P362" s="3"/>
      <c r="Q362" s="3"/>
    </row>
    <row r="363" spans="13:17" x14ac:dyDescent="0.2">
      <c r="M363" s="3"/>
      <c r="N363" s="3"/>
      <c r="O363" s="3"/>
      <c r="P363" s="3"/>
      <c r="Q363" s="3"/>
    </row>
    <row r="364" spans="13:17" x14ac:dyDescent="0.2">
      <c r="M364" s="3"/>
      <c r="N364" s="3"/>
      <c r="O364" s="3"/>
      <c r="P364" s="3"/>
      <c r="Q364" s="3"/>
    </row>
    <row r="365" spans="13:17" x14ac:dyDescent="0.2">
      <c r="M365" s="3"/>
      <c r="N365" s="3"/>
      <c r="O365" s="3"/>
      <c r="P365" s="3"/>
      <c r="Q365" s="3"/>
    </row>
    <row r="366" spans="13:17" x14ac:dyDescent="0.2">
      <c r="M366" s="3"/>
      <c r="N366" s="3"/>
      <c r="O366" s="3"/>
      <c r="P366" s="3"/>
      <c r="Q366" s="3"/>
    </row>
    <row r="367" spans="13:17" x14ac:dyDescent="0.2">
      <c r="M367" s="3"/>
      <c r="N367" s="3"/>
      <c r="O367" s="3"/>
      <c r="P367" s="3"/>
      <c r="Q367" s="3"/>
    </row>
    <row r="368" spans="13:17" x14ac:dyDescent="0.2">
      <c r="M368" s="3"/>
      <c r="N368" s="3"/>
      <c r="O368" s="3"/>
      <c r="P368" s="3"/>
      <c r="Q368" s="3"/>
    </row>
    <row r="369" spans="13:17" x14ac:dyDescent="0.2">
      <c r="M369" s="3"/>
      <c r="N369" s="3"/>
      <c r="O369" s="3"/>
      <c r="P369" s="3"/>
      <c r="Q369" s="3"/>
    </row>
    <row r="370" spans="13:17" x14ac:dyDescent="0.2">
      <c r="M370" s="3"/>
      <c r="N370" s="3"/>
      <c r="O370" s="3"/>
      <c r="P370" s="3"/>
      <c r="Q370" s="3"/>
    </row>
    <row r="371" spans="13:17" x14ac:dyDescent="0.2">
      <c r="M371" s="3"/>
      <c r="N371" s="3"/>
      <c r="O371" s="3"/>
      <c r="P371" s="3"/>
      <c r="Q371" s="3"/>
    </row>
    <row r="372" spans="13:17" x14ac:dyDescent="0.2">
      <c r="M372" s="3"/>
      <c r="N372" s="3"/>
      <c r="O372" s="3"/>
      <c r="P372" s="3"/>
      <c r="Q372" s="3"/>
    </row>
    <row r="373" spans="13:17" x14ac:dyDescent="0.2">
      <c r="M373" s="3"/>
      <c r="N373" s="3"/>
      <c r="O373" s="3"/>
      <c r="P373" s="3"/>
      <c r="Q373" s="3"/>
    </row>
    <row r="374" spans="13:17" x14ac:dyDescent="0.2">
      <c r="M374" s="3"/>
      <c r="N374" s="3"/>
      <c r="O374" s="3"/>
      <c r="P374" s="3"/>
      <c r="Q374" s="3"/>
    </row>
    <row r="375" spans="13:17" x14ac:dyDescent="0.2">
      <c r="M375" s="3"/>
      <c r="N375" s="3"/>
      <c r="O375" s="3"/>
      <c r="P375" s="3"/>
      <c r="Q375" s="3"/>
    </row>
    <row r="376" spans="13:17" x14ac:dyDescent="0.2">
      <c r="M376" s="3"/>
      <c r="N376" s="3"/>
      <c r="O376" s="3"/>
      <c r="P376" s="3"/>
      <c r="Q376" s="3"/>
    </row>
    <row r="377" spans="13:17" x14ac:dyDescent="0.2">
      <c r="M377" s="3"/>
      <c r="N377" s="3"/>
      <c r="O377" s="3"/>
      <c r="P377" s="3"/>
      <c r="Q377" s="3"/>
    </row>
    <row r="378" spans="13:17" x14ac:dyDescent="0.2">
      <c r="M378" s="3"/>
      <c r="N378" s="3"/>
      <c r="O378" s="3"/>
      <c r="P378" s="3"/>
      <c r="Q378" s="3"/>
    </row>
    <row r="379" spans="13:17" x14ac:dyDescent="0.2">
      <c r="M379" s="3"/>
      <c r="N379" s="3"/>
      <c r="O379" s="3"/>
      <c r="P379" s="3"/>
      <c r="Q379" s="3"/>
    </row>
    <row r="380" spans="13:17" x14ac:dyDescent="0.2">
      <c r="M380" s="3"/>
      <c r="N380" s="3"/>
      <c r="O380" s="3"/>
      <c r="P380" s="3"/>
      <c r="Q380" s="3"/>
    </row>
    <row r="381" spans="13:17" x14ac:dyDescent="0.2">
      <c r="M381" s="3"/>
      <c r="N381" s="3"/>
      <c r="O381" s="3"/>
      <c r="P381" s="3"/>
      <c r="Q381" s="3"/>
    </row>
    <row r="382" spans="13:17" x14ac:dyDescent="0.2">
      <c r="M382" s="3"/>
      <c r="N382" s="3"/>
      <c r="O382" s="3"/>
      <c r="P382" s="3"/>
      <c r="Q382" s="3"/>
    </row>
    <row r="383" spans="13:17" x14ac:dyDescent="0.2">
      <c r="M383" s="3"/>
      <c r="N383" s="3"/>
      <c r="O383" s="3"/>
      <c r="P383" s="3"/>
      <c r="Q383" s="3"/>
    </row>
    <row r="384" spans="13:17" x14ac:dyDescent="0.2">
      <c r="M384" s="3"/>
      <c r="N384" s="3"/>
      <c r="O384" s="3"/>
      <c r="P384" s="3"/>
      <c r="Q384" s="3"/>
    </row>
    <row r="385" spans="13:17" x14ac:dyDescent="0.2">
      <c r="M385" s="3"/>
      <c r="N385" s="3"/>
      <c r="O385" s="3"/>
      <c r="P385" s="3"/>
      <c r="Q385" s="3"/>
    </row>
    <row r="386" spans="13:17" x14ac:dyDescent="0.2">
      <c r="M386" s="3"/>
      <c r="N386" s="3"/>
      <c r="O386" s="3"/>
      <c r="P386" s="3"/>
      <c r="Q386" s="3"/>
    </row>
    <row r="387" spans="13:17" x14ac:dyDescent="0.2">
      <c r="M387" s="3"/>
      <c r="N387" s="3"/>
      <c r="O387" s="3"/>
      <c r="P387" s="3"/>
      <c r="Q387" s="3"/>
    </row>
    <row r="388" spans="13:17" x14ac:dyDescent="0.2">
      <c r="M388" s="3"/>
      <c r="N388" s="3"/>
      <c r="O388" s="3"/>
      <c r="P388" s="3"/>
      <c r="Q388" s="3"/>
    </row>
    <row r="389" spans="13:17" x14ac:dyDescent="0.2">
      <c r="M389" s="3"/>
      <c r="N389" s="3"/>
      <c r="O389" s="3"/>
      <c r="P389" s="3"/>
      <c r="Q389" s="3"/>
    </row>
    <row r="390" spans="13:17" x14ac:dyDescent="0.2">
      <c r="M390" s="3"/>
      <c r="N390" s="3"/>
      <c r="O390" s="3"/>
      <c r="P390" s="3"/>
      <c r="Q390" s="3"/>
    </row>
    <row r="391" spans="13:17" x14ac:dyDescent="0.2">
      <c r="M391" s="3"/>
      <c r="N391" s="3"/>
      <c r="O391" s="3"/>
      <c r="P391" s="3"/>
      <c r="Q391" s="3"/>
    </row>
    <row r="392" spans="13:17" x14ac:dyDescent="0.2">
      <c r="M392" s="3"/>
      <c r="N392" s="3"/>
      <c r="O392" s="3"/>
      <c r="P392" s="3"/>
      <c r="Q392" s="3"/>
    </row>
    <row r="393" spans="13:17" x14ac:dyDescent="0.2">
      <c r="M393" s="3"/>
      <c r="N393" s="3"/>
      <c r="O393" s="3"/>
      <c r="P393" s="3"/>
      <c r="Q393" s="3"/>
    </row>
    <row r="394" spans="13:17" x14ac:dyDescent="0.2">
      <c r="M394" s="3"/>
      <c r="N394" s="3"/>
      <c r="O394" s="3"/>
      <c r="P394" s="3"/>
      <c r="Q394" s="3"/>
    </row>
    <row r="395" spans="13:17" x14ac:dyDescent="0.2">
      <c r="M395" s="3"/>
      <c r="N395" s="3"/>
      <c r="O395" s="3"/>
      <c r="P395" s="3"/>
      <c r="Q395" s="3"/>
    </row>
    <row r="396" spans="13:17" x14ac:dyDescent="0.2">
      <c r="M396" s="3"/>
      <c r="N396" s="3"/>
      <c r="O396" s="3"/>
      <c r="P396" s="3"/>
      <c r="Q396" s="3"/>
    </row>
    <row r="397" spans="13:17" x14ac:dyDescent="0.2">
      <c r="M397" s="3"/>
      <c r="N397" s="3"/>
      <c r="O397" s="3"/>
      <c r="P397" s="3"/>
      <c r="Q397" s="3"/>
    </row>
    <row r="398" spans="13:17" x14ac:dyDescent="0.2">
      <c r="M398" s="3"/>
      <c r="N398" s="3"/>
      <c r="O398" s="3"/>
      <c r="P398" s="3"/>
      <c r="Q398" s="3"/>
    </row>
    <row r="399" spans="13:17" x14ac:dyDescent="0.2">
      <c r="M399" s="3"/>
      <c r="N399" s="3"/>
      <c r="O399" s="3"/>
      <c r="P399" s="3"/>
      <c r="Q399" s="3"/>
    </row>
    <row r="400" spans="13:17" x14ac:dyDescent="0.2">
      <c r="M400" s="3"/>
      <c r="N400" s="3"/>
      <c r="O400" s="3"/>
      <c r="P400" s="3"/>
      <c r="Q400" s="3"/>
    </row>
    <row r="401" spans="13:17" x14ac:dyDescent="0.2">
      <c r="M401" s="3"/>
      <c r="N401" s="3"/>
      <c r="O401" s="3"/>
      <c r="P401" s="3"/>
      <c r="Q401" s="3"/>
    </row>
    <row r="402" spans="13:17" x14ac:dyDescent="0.2">
      <c r="M402" s="3"/>
      <c r="N402" s="3"/>
      <c r="O402" s="3"/>
      <c r="P402" s="3"/>
      <c r="Q402" s="3"/>
    </row>
    <row r="403" spans="13:17" x14ac:dyDescent="0.2">
      <c r="M403" s="3"/>
      <c r="N403" s="3"/>
      <c r="O403" s="3"/>
      <c r="P403" s="3"/>
      <c r="Q403" s="3"/>
    </row>
    <row r="404" spans="13:17" x14ac:dyDescent="0.2">
      <c r="M404" s="3"/>
      <c r="N404" s="3"/>
      <c r="O404" s="3"/>
      <c r="P404" s="3"/>
      <c r="Q404" s="3"/>
    </row>
    <row r="405" spans="13:17" x14ac:dyDescent="0.2">
      <c r="M405" s="3"/>
      <c r="N405" s="3"/>
      <c r="O405" s="3"/>
      <c r="P405" s="3"/>
      <c r="Q405" s="3"/>
    </row>
    <row r="406" spans="13:17" x14ac:dyDescent="0.2">
      <c r="M406" s="3"/>
      <c r="N406" s="3"/>
      <c r="O406" s="3"/>
      <c r="P406" s="3"/>
      <c r="Q406" s="3"/>
    </row>
    <row r="407" spans="13:17" x14ac:dyDescent="0.2">
      <c r="M407" s="3"/>
      <c r="N407" s="3"/>
      <c r="O407" s="3"/>
      <c r="P407" s="3"/>
      <c r="Q407" s="3"/>
    </row>
    <row r="408" spans="13:17" x14ac:dyDescent="0.2">
      <c r="M408" s="3"/>
      <c r="N408" s="3"/>
      <c r="O408" s="3"/>
      <c r="P408" s="3"/>
      <c r="Q408" s="3"/>
    </row>
    <row r="409" spans="13:17" x14ac:dyDescent="0.2">
      <c r="M409" s="3"/>
      <c r="N409" s="3"/>
      <c r="O409" s="3"/>
      <c r="P409" s="3"/>
      <c r="Q409" s="3"/>
    </row>
    <row r="410" spans="13:17" x14ac:dyDescent="0.2">
      <c r="M410" s="3"/>
      <c r="N410" s="3"/>
      <c r="O410" s="3"/>
      <c r="P410" s="3"/>
      <c r="Q410" s="3"/>
    </row>
    <row r="411" spans="13:17" x14ac:dyDescent="0.2">
      <c r="M411" s="3"/>
      <c r="N411" s="3"/>
      <c r="O411" s="3"/>
      <c r="P411" s="3"/>
      <c r="Q411" s="3"/>
    </row>
    <row r="412" spans="13:17" x14ac:dyDescent="0.2">
      <c r="M412" s="3"/>
      <c r="N412" s="3"/>
      <c r="O412" s="3"/>
      <c r="P412" s="3"/>
      <c r="Q412" s="3"/>
    </row>
    <row r="413" spans="13:17" x14ac:dyDescent="0.2">
      <c r="M413" s="3"/>
      <c r="N413" s="3"/>
      <c r="O413" s="3"/>
      <c r="P413" s="3"/>
      <c r="Q413" s="3"/>
    </row>
    <row r="414" spans="13:17" x14ac:dyDescent="0.2">
      <c r="M414" s="3"/>
      <c r="N414" s="3"/>
      <c r="O414" s="3"/>
      <c r="P414" s="3"/>
      <c r="Q414" s="3"/>
    </row>
    <row r="415" spans="13:17" x14ac:dyDescent="0.2">
      <c r="M415" s="3"/>
      <c r="N415" s="3"/>
      <c r="O415" s="3"/>
      <c r="P415" s="3"/>
      <c r="Q415" s="3"/>
    </row>
    <row r="416" spans="13:17" x14ac:dyDescent="0.2">
      <c r="M416" s="3"/>
      <c r="N416" s="3"/>
      <c r="O416" s="3"/>
      <c r="P416" s="3"/>
      <c r="Q416" s="3"/>
    </row>
    <row r="417" spans="13:17" x14ac:dyDescent="0.2">
      <c r="M417" s="3"/>
      <c r="N417" s="3"/>
      <c r="O417" s="3"/>
      <c r="P417" s="3"/>
      <c r="Q417" s="3"/>
    </row>
    <row r="418" spans="13:17" x14ac:dyDescent="0.2">
      <c r="M418" s="3"/>
      <c r="N418" s="3"/>
      <c r="O418" s="3"/>
      <c r="P418" s="3"/>
      <c r="Q418" s="3"/>
    </row>
    <row r="419" spans="13:17" x14ac:dyDescent="0.2">
      <c r="M419" s="3"/>
      <c r="N419" s="3"/>
      <c r="O419" s="3"/>
      <c r="P419" s="3"/>
      <c r="Q419" s="3"/>
    </row>
    <row r="420" spans="13:17" x14ac:dyDescent="0.2">
      <c r="M420" s="3"/>
      <c r="N420" s="3"/>
      <c r="O420" s="3"/>
      <c r="P420" s="3"/>
      <c r="Q420" s="3"/>
    </row>
    <row r="421" spans="13:17" x14ac:dyDescent="0.2">
      <c r="M421" s="3"/>
      <c r="N421" s="3"/>
      <c r="O421" s="3"/>
      <c r="P421" s="3"/>
      <c r="Q421" s="3"/>
    </row>
    <row r="422" spans="13:17" x14ac:dyDescent="0.2">
      <c r="M422" s="3"/>
      <c r="N422" s="3"/>
      <c r="O422" s="3"/>
      <c r="P422" s="3"/>
      <c r="Q422" s="3"/>
    </row>
    <row r="423" spans="13:17" x14ac:dyDescent="0.2">
      <c r="M423" s="3"/>
      <c r="N423" s="3"/>
      <c r="O423" s="3"/>
      <c r="P423" s="3"/>
      <c r="Q423" s="3"/>
    </row>
    <row r="424" spans="13:17" x14ac:dyDescent="0.2">
      <c r="M424" s="3"/>
      <c r="N424" s="3"/>
      <c r="O424" s="3"/>
      <c r="P424" s="3"/>
      <c r="Q424" s="3"/>
    </row>
    <row r="425" spans="13:17" x14ac:dyDescent="0.2">
      <c r="M425" s="3"/>
      <c r="N425" s="3"/>
      <c r="O425" s="3"/>
      <c r="P425" s="3"/>
      <c r="Q425" s="3"/>
    </row>
    <row r="426" spans="13:17" x14ac:dyDescent="0.2">
      <c r="M426" s="3"/>
      <c r="N426" s="3"/>
      <c r="O426" s="3"/>
      <c r="P426" s="3"/>
      <c r="Q426" s="3"/>
    </row>
    <row r="427" spans="13:17" x14ac:dyDescent="0.2">
      <c r="M427" s="3"/>
      <c r="N427" s="3"/>
      <c r="O427" s="3"/>
      <c r="P427" s="3"/>
      <c r="Q427" s="3"/>
    </row>
    <row r="428" spans="13:17" x14ac:dyDescent="0.2">
      <c r="M428" s="3"/>
      <c r="N428" s="3"/>
      <c r="O428" s="3"/>
      <c r="P428" s="3"/>
      <c r="Q428" s="3"/>
    </row>
    <row r="429" spans="13:17" x14ac:dyDescent="0.2">
      <c r="M429" s="3"/>
      <c r="N429" s="3"/>
      <c r="O429" s="3"/>
      <c r="P429" s="3"/>
      <c r="Q429" s="3"/>
    </row>
    <row r="430" spans="13:17" x14ac:dyDescent="0.2">
      <c r="M430" s="3"/>
      <c r="N430" s="3"/>
      <c r="O430" s="3"/>
      <c r="P430" s="3"/>
      <c r="Q430" s="3"/>
    </row>
    <row r="431" spans="13:17" x14ac:dyDescent="0.2">
      <c r="M431" s="3"/>
      <c r="N431" s="3"/>
      <c r="O431" s="3"/>
      <c r="P431" s="3"/>
      <c r="Q431" s="3"/>
    </row>
    <row r="432" spans="13:17" x14ac:dyDescent="0.2">
      <c r="M432" s="3"/>
      <c r="N432" s="3"/>
      <c r="O432" s="3"/>
      <c r="P432" s="3"/>
      <c r="Q432" s="3"/>
    </row>
    <row r="433" spans="13:17" x14ac:dyDescent="0.2">
      <c r="M433" s="3"/>
      <c r="N433" s="3"/>
      <c r="O433" s="3"/>
      <c r="P433" s="3"/>
      <c r="Q433" s="3"/>
    </row>
    <row r="434" spans="13:17" x14ac:dyDescent="0.2">
      <c r="M434" s="3"/>
      <c r="N434" s="3"/>
      <c r="O434" s="3"/>
      <c r="P434" s="3"/>
      <c r="Q434" s="3"/>
    </row>
    <row r="435" spans="13:17" x14ac:dyDescent="0.2">
      <c r="M435" s="3"/>
      <c r="N435" s="3"/>
      <c r="O435" s="3"/>
      <c r="P435" s="3"/>
      <c r="Q435" s="3"/>
    </row>
    <row r="436" spans="13:17" x14ac:dyDescent="0.2">
      <c r="M436" s="3"/>
      <c r="N436" s="3"/>
      <c r="O436" s="3"/>
      <c r="P436" s="3"/>
      <c r="Q436" s="3"/>
    </row>
    <row r="437" spans="13:17" x14ac:dyDescent="0.2">
      <c r="M437" s="3"/>
      <c r="N437" s="3"/>
      <c r="O437" s="3"/>
      <c r="P437" s="3"/>
      <c r="Q437" s="3"/>
    </row>
    <row r="438" spans="13:17" x14ac:dyDescent="0.2">
      <c r="M438" s="3"/>
      <c r="N438" s="3"/>
      <c r="O438" s="3"/>
      <c r="P438" s="3"/>
      <c r="Q438" s="3"/>
    </row>
    <row r="439" spans="13:17" x14ac:dyDescent="0.2">
      <c r="M439" s="3"/>
      <c r="N439" s="3"/>
      <c r="O439" s="3"/>
      <c r="P439" s="3"/>
      <c r="Q439" s="3"/>
    </row>
    <row r="440" spans="13:17" x14ac:dyDescent="0.2">
      <c r="M440" s="3"/>
      <c r="N440" s="3"/>
      <c r="O440" s="3"/>
      <c r="P440" s="3"/>
      <c r="Q440" s="3"/>
    </row>
    <row r="441" spans="13:17" x14ac:dyDescent="0.2">
      <c r="M441" s="3"/>
      <c r="N441" s="3"/>
      <c r="O441" s="3"/>
      <c r="P441" s="3"/>
      <c r="Q441" s="3"/>
    </row>
    <row r="442" spans="13:17" x14ac:dyDescent="0.2">
      <c r="M442" s="3"/>
      <c r="N442" s="3"/>
      <c r="O442" s="3"/>
      <c r="P442" s="3"/>
      <c r="Q442" s="3"/>
    </row>
    <row r="443" spans="13:17" x14ac:dyDescent="0.2">
      <c r="M443" s="3"/>
      <c r="N443" s="3"/>
      <c r="O443" s="3"/>
      <c r="P443" s="3"/>
      <c r="Q443" s="3"/>
    </row>
    <row r="444" spans="13:17" x14ac:dyDescent="0.2">
      <c r="M444" s="3"/>
      <c r="N444" s="3"/>
      <c r="O444" s="3"/>
      <c r="P444" s="3"/>
      <c r="Q444" s="3"/>
    </row>
    <row r="445" spans="13:17" x14ac:dyDescent="0.2">
      <c r="M445" s="3"/>
      <c r="N445" s="3"/>
      <c r="O445" s="3"/>
      <c r="P445" s="3"/>
      <c r="Q445" s="3"/>
    </row>
    <row r="446" spans="13:17" x14ac:dyDescent="0.2">
      <c r="M446" s="3"/>
      <c r="N446" s="3"/>
      <c r="O446" s="3"/>
      <c r="P446" s="3"/>
      <c r="Q446" s="3"/>
    </row>
    <row r="447" spans="13:17" x14ac:dyDescent="0.2">
      <c r="M447" s="3"/>
      <c r="N447" s="3"/>
      <c r="O447" s="3"/>
      <c r="P447" s="3"/>
      <c r="Q447" s="3"/>
    </row>
    <row r="448" spans="13:17" x14ac:dyDescent="0.2">
      <c r="M448" s="3"/>
      <c r="N448" s="3"/>
      <c r="O448" s="3"/>
      <c r="P448" s="3"/>
      <c r="Q448" s="3"/>
    </row>
    <row r="449" spans="13:17" x14ac:dyDescent="0.2">
      <c r="M449" s="3"/>
      <c r="N449" s="3"/>
      <c r="O449" s="3"/>
      <c r="P449" s="3"/>
      <c r="Q449" s="3"/>
    </row>
    <row r="450" spans="13:17" x14ac:dyDescent="0.2">
      <c r="M450" s="3"/>
      <c r="N450" s="3"/>
      <c r="O450" s="3"/>
      <c r="P450" s="3"/>
      <c r="Q450" s="3"/>
    </row>
    <row r="451" spans="13:17" x14ac:dyDescent="0.2">
      <c r="M451" s="3"/>
      <c r="N451" s="3"/>
      <c r="O451" s="3"/>
      <c r="P451" s="3"/>
      <c r="Q451" s="3"/>
    </row>
    <row r="452" spans="13:17" x14ac:dyDescent="0.2">
      <c r="M452" s="3"/>
      <c r="N452" s="3"/>
      <c r="O452" s="3"/>
      <c r="P452" s="3"/>
      <c r="Q452" s="3"/>
    </row>
    <row r="453" spans="13:17" x14ac:dyDescent="0.2">
      <c r="M453" s="3"/>
      <c r="N453" s="3"/>
      <c r="O453" s="3"/>
      <c r="P453" s="3"/>
      <c r="Q453" s="3"/>
    </row>
    <row r="454" spans="13:17" x14ac:dyDescent="0.2">
      <c r="M454" s="3"/>
      <c r="N454" s="3"/>
      <c r="O454" s="3"/>
      <c r="P454" s="3"/>
      <c r="Q454" s="3"/>
    </row>
    <row r="455" spans="13:17" x14ac:dyDescent="0.2">
      <c r="M455" s="3"/>
      <c r="N455" s="3"/>
      <c r="O455" s="3"/>
      <c r="P455" s="3"/>
      <c r="Q455" s="3"/>
    </row>
    <row r="456" spans="13:17" x14ac:dyDescent="0.2">
      <c r="M456" s="3"/>
      <c r="N456" s="3"/>
      <c r="O456" s="3"/>
      <c r="P456" s="3"/>
      <c r="Q456" s="3"/>
    </row>
    <row r="457" spans="13:17" x14ac:dyDescent="0.2">
      <c r="M457" s="3"/>
      <c r="N457" s="3"/>
      <c r="O457" s="3"/>
      <c r="P457" s="3"/>
      <c r="Q457" s="3"/>
    </row>
    <row r="458" spans="13:17" x14ac:dyDescent="0.2">
      <c r="M458" s="3"/>
      <c r="N458" s="3"/>
      <c r="O458" s="3"/>
      <c r="P458" s="3"/>
      <c r="Q458" s="3"/>
    </row>
    <row r="459" spans="13:17" x14ac:dyDescent="0.2">
      <c r="M459" s="3"/>
      <c r="N459" s="3"/>
      <c r="O459" s="3"/>
      <c r="P459" s="3"/>
      <c r="Q459" s="3"/>
    </row>
    <row r="460" spans="13:17" x14ac:dyDescent="0.2">
      <c r="M460" s="3"/>
      <c r="N460" s="3"/>
      <c r="O460" s="3"/>
      <c r="P460" s="3"/>
      <c r="Q460" s="3"/>
    </row>
    <row r="461" spans="13:17" x14ac:dyDescent="0.2">
      <c r="M461" s="3"/>
      <c r="N461" s="3"/>
      <c r="O461" s="3"/>
      <c r="P461" s="3"/>
      <c r="Q461" s="3"/>
    </row>
    <row r="462" spans="13:17" x14ac:dyDescent="0.2">
      <c r="M462" s="3"/>
      <c r="N462" s="3"/>
      <c r="O462" s="3"/>
      <c r="P462" s="3"/>
      <c r="Q462" s="3"/>
    </row>
    <row r="463" spans="13:17" x14ac:dyDescent="0.2">
      <c r="M463" s="3"/>
      <c r="N463" s="3"/>
      <c r="O463" s="3"/>
      <c r="P463" s="3"/>
      <c r="Q463" s="3"/>
    </row>
  </sheetData>
  <mergeCells count="39">
    <mergeCell ref="R2:T2"/>
    <mergeCell ref="U2:W2"/>
    <mergeCell ref="R3:T3"/>
    <mergeCell ref="H2:I2"/>
    <mergeCell ref="J2:K2"/>
    <mergeCell ref="L2:M2"/>
    <mergeCell ref="N2:O2"/>
    <mergeCell ref="P2:Q2"/>
    <mergeCell ref="K6:K8"/>
    <mergeCell ref="N6:N8"/>
    <mergeCell ref="O6:O8"/>
    <mergeCell ref="P6:P8"/>
    <mergeCell ref="Q6:Q8"/>
    <mergeCell ref="N9:N11"/>
    <mergeCell ref="Q9:Q11"/>
    <mergeCell ref="K12:K13"/>
    <mergeCell ref="N12:N13"/>
    <mergeCell ref="O12:O13"/>
    <mergeCell ref="P12:P13"/>
    <mergeCell ref="Q12:Q13"/>
    <mergeCell ref="K14:K16"/>
    <mergeCell ref="N14:N16"/>
    <mergeCell ref="Q14:Q16"/>
    <mergeCell ref="K17:K19"/>
    <mergeCell ref="N17:N19"/>
    <mergeCell ref="Q17:Q19"/>
    <mergeCell ref="I20:I22"/>
    <mergeCell ref="J20:J22"/>
    <mergeCell ref="K20:K24"/>
    <mergeCell ref="L20:L22"/>
    <mergeCell ref="M20:M24"/>
    <mergeCell ref="K25:K27"/>
    <mergeCell ref="N25:N27"/>
    <mergeCell ref="Q25:Q27"/>
    <mergeCell ref="N20:N22"/>
    <mergeCell ref="O20:O22"/>
    <mergeCell ref="P20:P22"/>
    <mergeCell ref="Q20:Q22"/>
    <mergeCell ref="N23:N24"/>
  </mergeCells>
  <dataValidations disablePrompts="1" count="2">
    <dataValidation type="textLength" showInputMessage="1" showErrorMessage="1" sqref="AG4">
      <formula1>0</formula1>
      <formula2>150</formula2>
    </dataValidation>
    <dataValidation type="list" allowBlank="1" showInputMessage="1" showErrorMessage="1" sqref="AD4:AE7 AC4 AC7">
      <formula1>#REF!</formula1>
    </dataValidation>
  </dataValidations>
  <pageMargins left="0.70866141732283472" right="0.70866141732283472" top="0.74803149606299213" bottom="0.74803149606299213" header="0.31496062992125984" footer="0.31496062992125984"/>
  <pageSetup paperSize="9" scale="53"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W438"/>
  <sheetViews>
    <sheetView topLeftCell="E1" zoomScale="90" zoomScaleNormal="90" workbookViewId="0">
      <pane ySplit="4" topLeftCell="A5" activePane="bottomLeft" state="frozen"/>
      <selection activeCell="D1" sqref="D1"/>
      <selection pane="bottomLeft" activeCell="L30" sqref="L30"/>
    </sheetView>
  </sheetViews>
  <sheetFormatPr defaultColWidth="8.85546875" defaultRowHeight="12.75" x14ac:dyDescent="0.2"/>
  <cols>
    <col min="2" max="2" width="34.140625" customWidth="1"/>
    <col min="3" max="3" width="12.5703125" bestFit="1" customWidth="1"/>
    <col min="4" max="4" width="38.140625" customWidth="1"/>
    <col min="5" max="5" width="11.85546875" customWidth="1"/>
    <col min="6" max="6" width="12.140625" customWidth="1"/>
    <col min="7" max="7" width="29.140625" customWidth="1"/>
    <col min="8" max="8" width="10.5703125" style="502" customWidth="1"/>
    <col min="9" max="9" width="26.5703125" style="509" customWidth="1"/>
    <col min="10" max="10" width="26.7109375" style="502" customWidth="1"/>
    <col min="11" max="11" width="18.85546875" style="502" customWidth="1"/>
    <col min="12" max="12" width="30.5703125" style="502" customWidth="1"/>
    <col min="13" max="13" width="35.28515625" style="509" customWidth="1"/>
    <col min="14" max="14" width="12.85546875" customWidth="1"/>
    <col min="15" max="15" width="57" customWidth="1"/>
    <col min="16" max="16" width="13.42578125" customWidth="1"/>
    <col min="25" max="25" width="52.7109375" customWidth="1"/>
  </cols>
  <sheetData>
    <row r="1" spans="1:23" ht="13.5" thickBot="1" x14ac:dyDescent="0.25">
      <c r="A1" s="7" t="s">
        <v>189</v>
      </c>
      <c r="B1" s="143"/>
      <c r="C1" s="143"/>
      <c r="D1" s="144"/>
      <c r="E1" s="40"/>
      <c r="F1" s="40"/>
      <c r="G1" s="41"/>
      <c r="H1" s="40"/>
      <c r="I1" s="40"/>
      <c r="J1" s="40"/>
      <c r="K1" s="41"/>
      <c r="L1" s="41"/>
      <c r="M1" s="41"/>
      <c r="N1" s="41"/>
      <c r="O1" s="41"/>
      <c r="P1" s="42"/>
    </row>
    <row r="2" spans="1:23" x14ac:dyDescent="0.2">
      <c r="J2" s="503"/>
      <c r="K2" s="503"/>
      <c r="L2" s="504" t="s">
        <v>56</v>
      </c>
      <c r="M2" s="484" t="s">
        <v>50</v>
      </c>
    </row>
    <row r="3" spans="1:23" x14ac:dyDescent="0.2">
      <c r="J3" s="412"/>
      <c r="K3" s="412"/>
      <c r="L3" s="145" t="s">
        <v>55</v>
      </c>
      <c r="M3" s="655">
        <v>2019</v>
      </c>
      <c r="Q3">
        <v>2019</v>
      </c>
      <c r="W3">
        <v>2019</v>
      </c>
    </row>
    <row r="4" spans="1:23" ht="84.95" customHeight="1" x14ac:dyDescent="0.2">
      <c r="A4" s="145" t="s">
        <v>0</v>
      </c>
      <c r="B4" s="146" t="s">
        <v>178</v>
      </c>
      <c r="C4" s="146" t="s">
        <v>179</v>
      </c>
      <c r="D4" s="146" t="s">
        <v>190</v>
      </c>
      <c r="E4" s="146" t="s">
        <v>191</v>
      </c>
      <c r="F4" s="146" t="s">
        <v>192</v>
      </c>
      <c r="G4" s="146" t="s">
        <v>4</v>
      </c>
      <c r="H4" s="161" t="s">
        <v>276</v>
      </c>
      <c r="I4" s="162" t="s">
        <v>193</v>
      </c>
      <c r="J4" s="162" t="s">
        <v>270</v>
      </c>
      <c r="K4" s="162" t="s">
        <v>271</v>
      </c>
      <c r="L4" s="177" t="s">
        <v>194</v>
      </c>
      <c r="M4" s="161" t="s">
        <v>95</v>
      </c>
    </row>
    <row r="5" spans="1:23" ht="25.5" x14ac:dyDescent="0.2">
      <c r="A5" s="295" t="s">
        <v>277</v>
      </c>
      <c r="B5" s="295" t="s">
        <v>778</v>
      </c>
      <c r="C5" s="295" t="s">
        <v>779</v>
      </c>
      <c r="D5" s="295" t="s">
        <v>850</v>
      </c>
      <c r="E5" s="295" t="s">
        <v>195</v>
      </c>
      <c r="F5" s="295" t="s">
        <v>6</v>
      </c>
      <c r="G5" s="295"/>
      <c r="H5" s="498" t="s">
        <v>6</v>
      </c>
      <c r="I5" s="498" t="s">
        <v>786</v>
      </c>
      <c r="J5" s="499" t="s">
        <v>1761</v>
      </c>
      <c r="K5" s="499" t="s">
        <v>6</v>
      </c>
      <c r="L5" s="500" t="str">
        <f>IF(OR(H5="Y",H5=""),"","x")</f>
        <v/>
      </c>
      <c r="M5" s="508" t="s">
        <v>7</v>
      </c>
      <c r="N5" s="227"/>
      <c r="O5" s="227"/>
      <c r="P5" s="227"/>
      <c r="Q5" s="227"/>
      <c r="R5" s="227"/>
      <c r="S5" s="227"/>
      <c r="T5" s="227"/>
      <c r="U5" s="227"/>
    </row>
    <row r="6" spans="1:23" ht="25.5" x14ac:dyDescent="0.2">
      <c r="A6" s="295" t="s">
        <v>277</v>
      </c>
      <c r="B6" s="295" t="s">
        <v>778</v>
      </c>
      <c r="C6" s="295" t="s">
        <v>779</v>
      </c>
      <c r="D6" s="295" t="s">
        <v>851</v>
      </c>
      <c r="E6" s="295" t="s">
        <v>195</v>
      </c>
      <c r="F6" s="295" t="s">
        <v>6</v>
      </c>
      <c r="G6" s="295"/>
      <c r="H6" s="498" t="s">
        <v>6</v>
      </c>
      <c r="I6" s="498" t="s">
        <v>786</v>
      </c>
      <c r="J6" s="499" t="s">
        <v>1762</v>
      </c>
      <c r="K6" s="499" t="s">
        <v>6</v>
      </c>
      <c r="L6" s="500" t="str">
        <f t="shared" ref="L6:L25" si="0">IF(OR(H6="Y",H6=""),"","x")</f>
        <v/>
      </c>
      <c r="M6" s="508" t="s">
        <v>7</v>
      </c>
      <c r="N6" s="227"/>
      <c r="O6" s="227"/>
      <c r="P6" s="227"/>
      <c r="Q6" s="227"/>
    </row>
    <row r="7" spans="1:23" ht="25.5" x14ac:dyDescent="0.2">
      <c r="A7" s="295" t="s">
        <v>277</v>
      </c>
      <c r="B7" s="295" t="s">
        <v>778</v>
      </c>
      <c r="C7" s="295" t="s">
        <v>779</v>
      </c>
      <c r="D7" s="295" t="s">
        <v>851</v>
      </c>
      <c r="E7" s="295" t="s">
        <v>195</v>
      </c>
      <c r="F7" s="295" t="s">
        <v>6</v>
      </c>
      <c r="G7" s="295"/>
      <c r="H7" s="498" t="s">
        <v>6</v>
      </c>
      <c r="I7" s="498" t="s">
        <v>786</v>
      </c>
      <c r="J7" s="499" t="s">
        <v>1763</v>
      </c>
      <c r="K7" s="499" t="s">
        <v>6</v>
      </c>
      <c r="L7" s="500" t="str">
        <f t="shared" si="0"/>
        <v/>
      </c>
      <c r="M7" s="508" t="s">
        <v>7</v>
      </c>
      <c r="N7" s="227"/>
      <c r="O7" s="227"/>
      <c r="P7" s="227"/>
      <c r="Q7" s="227"/>
    </row>
    <row r="8" spans="1:23" ht="25.5" x14ac:dyDescent="0.2">
      <c r="A8" s="295" t="s">
        <v>277</v>
      </c>
      <c r="B8" s="295" t="s">
        <v>778</v>
      </c>
      <c r="C8" s="295" t="s">
        <v>779</v>
      </c>
      <c r="D8" s="295" t="s">
        <v>852</v>
      </c>
      <c r="E8" s="295" t="s">
        <v>195</v>
      </c>
      <c r="F8" s="295" t="s">
        <v>6</v>
      </c>
      <c r="G8" s="295"/>
      <c r="H8" s="498" t="s">
        <v>6</v>
      </c>
      <c r="I8" s="498" t="s">
        <v>786</v>
      </c>
      <c r="J8" s="499" t="s">
        <v>1764</v>
      </c>
      <c r="K8" s="499" t="s">
        <v>6</v>
      </c>
      <c r="L8" s="500" t="str">
        <f t="shared" si="0"/>
        <v/>
      </c>
      <c r="M8" s="508" t="s">
        <v>7</v>
      </c>
      <c r="N8" s="227"/>
      <c r="O8" s="227"/>
      <c r="P8" s="227"/>
      <c r="Q8" s="227"/>
    </row>
    <row r="9" spans="1:23" ht="25.5" x14ac:dyDescent="0.2">
      <c r="A9" s="295" t="s">
        <v>277</v>
      </c>
      <c r="B9" s="295" t="s">
        <v>778</v>
      </c>
      <c r="C9" s="295" t="s">
        <v>779</v>
      </c>
      <c r="D9" s="295" t="s">
        <v>853</v>
      </c>
      <c r="E9" s="295" t="s">
        <v>195</v>
      </c>
      <c r="F9" s="295" t="s">
        <v>6</v>
      </c>
      <c r="G9" s="295"/>
      <c r="H9" s="498" t="s">
        <v>6</v>
      </c>
      <c r="I9" s="498" t="s">
        <v>786</v>
      </c>
      <c r="J9" s="499" t="s">
        <v>1765</v>
      </c>
      <c r="K9" s="499" t="s">
        <v>6</v>
      </c>
      <c r="L9" s="500" t="str">
        <f t="shared" si="0"/>
        <v/>
      </c>
      <c r="M9" s="508" t="s">
        <v>7</v>
      </c>
      <c r="N9" s="227"/>
      <c r="O9" s="227"/>
      <c r="P9" s="227"/>
      <c r="Q9" s="227"/>
    </row>
    <row r="10" spans="1:23" ht="25.5" x14ac:dyDescent="0.2">
      <c r="A10" s="295" t="s">
        <v>277</v>
      </c>
      <c r="B10" s="295" t="s">
        <v>778</v>
      </c>
      <c r="C10" s="295" t="s">
        <v>779</v>
      </c>
      <c r="D10" s="295" t="s">
        <v>854</v>
      </c>
      <c r="E10" s="295" t="s">
        <v>196</v>
      </c>
      <c r="F10" s="295" t="s">
        <v>77</v>
      </c>
      <c r="G10" s="295"/>
      <c r="H10" s="498" t="s">
        <v>6</v>
      </c>
      <c r="I10" s="498"/>
      <c r="J10" s="499"/>
      <c r="K10" s="499" t="s">
        <v>6</v>
      </c>
      <c r="L10" s="500" t="str">
        <f t="shared" si="0"/>
        <v/>
      </c>
      <c r="M10" s="508" t="s">
        <v>7</v>
      </c>
      <c r="N10" s="227"/>
      <c r="O10" s="227"/>
      <c r="P10" s="227"/>
      <c r="Q10" s="227"/>
    </row>
    <row r="11" spans="1:23" ht="25.5" x14ac:dyDescent="0.2">
      <c r="A11" s="295" t="s">
        <v>277</v>
      </c>
      <c r="B11" s="295" t="s">
        <v>778</v>
      </c>
      <c r="C11" s="295" t="s">
        <v>779</v>
      </c>
      <c r="D11" s="295" t="s">
        <v>855</v>
      </c>
      <c r="E11" s="295" t="s">
        <v>196</v>
      </c>
      <c r="F11" s="295" t="s">
        <v>77</v>
      </c>
      <c r="G11" s="295"/>
      <c r="H11" s="498" t="s">
        <v>6</v>
      </c>
      <c r="I11" s="498"/>
      <c r="J11" s="499"/>
      <c r="K11" s="499" t="s">
        <v>77</v>
      </c>
      <c r="L11" s="500" t="str">
        <f t="shared" si="0"/>
        <v/>
      </c>
      <c r="M11" s="508" t="s">
        <v>7</v>
      </c>
      <c r="N11" s="227"/>
      <c r="O11" s="227"/>
      <c r="P11" s="227"/>
      <c r="Q11" s="227"/>
    </row>
    <row r="12" spans="1:23" ht="76.5" x14ac:dyDescent="0.2">
      <c r="A12" s="295" t="s">
        <v>277</v>
      </c>
      <c r="B12" s="295" t="s">
        <v>760</v>
      </c>
      <c r="C12" s="295" t="s">
        <v>856</v>
      </c>
      <c r="D12" s="295" t="s">
        <v>857</v>
      </c>
      <c r="E12" s="295" t="s">
        <v>195</v>
      </c>
      <c r="F12" s="295" t="s">
        <v>6</v>
      </c>
      <c r="G12" s="295"/>
      <c r="H12" s="501" t="s">
        <v>6</v>
      </c>
      <c r="I12" s="508" t="s">
        <v>767</v>
      </c>
      <c r="J12" s="501" t="s">
        <v>6</v>
      </c>
      <c r="K12" s="501" t="s">
        <v>77</v>
      </c>
      <c r="L12" s="500" t="str">
        <f t="shared" si="0"/>
        <v/>
      </c>
      <c r="M12" s="508" t="s">
        <v>7</v>
      </c>
      <c r="N12" s="227"/>
      <c r="O12" s="227"/>
      <c r="P12" s="227"/>
      <c r="Q12" s="227"/>
    </row>
    <row r="13" spans="1:23" ht="114.75" x14ac:dyDescent="0.2">
      <c r="A13" s="295" t="s">
        <v>277</v>
      </c>
      <c r="B13" s="295" t="s">
        <v>760</v>
      </c>
      <c r="C13" s="295" t="s">
        <v>856</v>
      </c>
      <c r="D13" s="295" t="s">
        <v>858</v>
      </c>
      <c r="E13" s="295" t="s">
        <v>195</v>
      </c>
      <c r="F13" s="295" t="s">
        <v>6</v>
      </c>
      <c r="G13" s="295"/>
      <c r="H13" s="501" t="s">
        <v>6</v>
      </c>
      <c r="I13" s="508" t="s">
        <v>767</v>
      </c>
      <c r="J13" s="501" t="s">
        <v>6</v>
      </c>
      <c r="K13" s="501" t="s">
        <v>77</v>
      </c>
      <c r="L13" s="500" t="str">
        <f t="shared" si="0"/>
        <v/>
      </c>
      <c r="M13" s="508" t="s">
        <v>7</v>
      </c>
      <c r="N13" s="227"/>
      <c r="O13" s="227"/>
      <c r="P13" s="227"/>
      <c r="Q13" s="227"/>
    </row>
    <row r="14" spans="1:23" ht="229.5" x14ac:dyDescent="0.2">
      <c r="A14" s="295" t="s">
        <v>277</v>
      </c>
      <c r="B14" s="295" t="s">
        <v>760</v>
      </c>
      <c r="C14" s="295" t="s">
        <v>856</v>
      </c>
      <c r="D14" s="295" t="s">
        <v>859</v>
      </c>
      <c r="E14" s="295" t="s">
        <v>195</v>
      </c>
      <c r="F14" s="295" t="s">
        <v>6</v>
      </c>
      <c r="G14" s="295"/>
      <c r="H14" s="501" t="s">
        <v>6</v>
      </c>
      <c r="I14" s="508" t="s">
        <v>767</v>
      </c>
      <c r="J14" s="501" t="s">
        <v>6</v>
      </c>
      <c r="K14" s="501" t="s">
        <v>77</v>
      </c>
      <c r="L14" s="500" t="str">
        <f t="shared" si="0"/>
        <v/>
      </c>
      <c r="M14" s="508" t="s">
        <v>7</v>
      </c>
      <c r="N14" s="227"/>
      <c r="O14" s="227"/>
      <c r="P14" s="227"/>
      <c r="Q14" s="227"/>
    </row>
    <row r="15" spans="1:23" ht="178.5" x14ac:dyDescent="0.2">
      <c r="A15" s="295" t="s">
        <v>277</v>
      </c>
      <c r="B15" s="295" t="s">
        <v>760</v>
      </c>
      <c r="C15" s="295" t="s">
        <v>856</v>
      </c>
      <c r="D15" s="295" t="s">
        <v>860</v>
      </c>
      <c r="E15" s="295" t="s">
        <v>195</v>
      </c>
      <c r="F15" s="295" t="s">
        <v>6</v>
      </c>
      <c r="G15" s="295"/>
      <c r="H15" s="501" t="s">
        <v>6</v>
      </c>
      <c r="I15" s="508" t="s">
        <v>767</v>
      </c>
      <c r="J15" s="501" t="s">
        <v>6</v>
      </c>
      <c r="K15" s="501" t="s">
        <v>77</v>
      </c>
      <c r="L15" s="500" t="str">
        <f t="shared" si="0"/>
        <v/>
      </c>
      <c r="M15" s="508" t="s">
        <v>7</v>
      </c>
      <c r="N15" s="227"/>
      <c r="O15" s="227"/>
      <c r="P15" s="227"/>
      <c r="Q15" s="227"/>
    </row>
    <row r="16" spans="1:23" ht="293.25" x14ac:dyDescent="0.2">
      <c r="A16" s="295" t="s">
        <v>277</v>
      </c>
      <c r="B16" s="295" t="s">
        <v>760</v>
      </c>
      <c r="C16" s="295" t="s">
        <v>856</v>
      </c>
      <c r="D16" s="295" t="s">
        <v>861</v>
      </c>
      <c r="E16" s="295" t="s">
        <v>195</v>
      </c>
      <c r="F16" s="295" t="s">
        <v>6</v>
      </c>
      <c r="G16" s="295"/>
      <c r="H16" s="501" t="s">
        <v>6</v>
      </c>
      <c r="I16" s="508" t="s">
        <v>767</v>
      </c>
      <c r="J16" s="501" t="s">
        <v>6</v>
      </c>
      <c r="K16" s="501" t="s">
        <v>77</v>
      </c>
      <c r="L16" s="500" t="str">
        <f t="shared" si="0"/>
        <v/>
      </c>
      <c r="M16" s="508" t="s">
        <v>7</v>
      </c>
      <c r="N16" s="227"/>
      <c r="O16" s="227"/>
      <c r="P16" s="227"/>
      <c r="Q16" s="227"/>
    </row>
    <row r="17" spans="1:17" ht="25.5" x14ac:dyDescent="0.2">
      <c r="A17" s="295" t="s">
        <v>277</v>
      </c>
      <c r="B17" s="295" t="s">
        <v>760</v>
      </c>
      <c r="C17" s="295" t="s">
        <v>856</v>
      </c>
      <c r="D17" s="295" t="s">
        <v>862</v>
      </c>
      <c r="E17" s="295" t="s">
        <v>195</v>
      </c>
      <c r="F17" s="295" t="s">
        <v>6</v>
      </c>
      <c r="G17" s="295"/>
      <c r="H17" s="501" t="s">
        <v>6</v>
      </c>
      <c r="I17" s="508" t="s">
        <v>1766</v>
      </c>
      <c r="J17" s="501" t="s">
        <v>6</v>
      </c>
      <c r="K17" s="501" t="s">
        <v>77</v>
      </c>
      <c r="L17" s="500" t="str">
        <f t="shared" si="0"/>
        <v/>
      </c>
      <c r="M17" s="508" t="s">
        <v>7</v>
      </c>
      <c r="N17" s="227"/>
      <c r="O17" s="227"/>
      <c r="P17" s="227"/>
      <c r="Q17" s="227"/>
    </row>
    <row r="18" spans="1:17" ht="25.5" x14ac:dyDescent="0.2">
      <c r="A18" s="295" t="s">
        <v>277</v>
      </c>
      <c r="B18" s="295" t="s">
        <v>760</v>
      </c>
      <c r="C18" s="295" t="s">
        <v>856</v>
      </c>
      <c r="D18" s="295" t="s">
        <v>863</v>
      </c>
      <c r="E18" s="295" t="s">
        <v>196</v>
      </c>
      <c r="F18" s="295" t="s">
        <v>77</v>
      </c>
      <c r="G18" s="295" t="s">
        <v>864</v>
      </c>
      <c r="H18" s="498" t="s">
        <v>6</v>
      </c>
      <c r="I18" s="498" t="s">
        <v>1767</v>
      </c>
      <c r="J18" s="499" t="s">
        <v>6</v>
      </c>
      <c r="K18" s="499" t="s">
        <v>77</v>
      </c>
      <c r="L18" s="500" t="str">
        <f t="shared" si="0"/>
        <v/>
      </c>
      <c r="M18" s="508" t="s">
        <v>7</v>
      </c>
      <c r="N18" s="227"/>
      <c r="O18" s="227"/>
      <c r="P18" s="227"/>
      <c r="Q18" s="227"/>
    </row>
    <row r="19" spans="1:17" ht="25.5" x14ac:dyDescent="0.2">
      <c r="A19" s="295" t="s">
        <v>277</v>
      </c>
      <c r="B19" s="295" t="s">
        <v>760</v>
      </c>
      <c r="C19" s="295" t="s">
        <v>856</v>
      </c>
      <c r="D19" s="295" t="s">
        <v>865</v>
      </c>
      <c r="E19" s="295" t="s">
        <v>196</v>
      </c>
      <c r="F19" s="295" t="s">
        <v>77</v>
      </c>
      <c r="G19" s="295"/>
      <c r="H19" s="498" t="s">
        <v>6</v>
      </c>
      <c r="I19" s="498" t="s">
        <v>767</v>
      </c>
      <c r="J19" s="499" t="s">
        <v>6</v>
      </c>
      <c r="K19" s="499" t="s">
        <v>77</v>
      </c>
      <c r="L19" s="500" t="str">
        <f t="shared" si="0"/>
        <v/>
      </c>
      <c r="M19" s="508" t="s">
        <v>7</v>
      </c>
      <c r="N19" s="227"/>
      <c r="O19" s="227"/>
      <c r="P19" s="227"/>
      <c r="Q19" s="227"/>
    </row>
    <row r="20" spans="1:17" ht="45" x14ac:dyDescent="0.25">
      <c r="A20" s="295" t="s">
        <v>277</v>
      </c>
      <c r="B20" s="295" t="s">
        <v>760</v>
      </c>
      <c r="C20" s="295" t="s">
        <v>856</v>
      </c>
      <c r="D20" s="295" t="s">
        <v>866</v>
      </c>
      <c r="E20" s="295" t="s">
        <v>196</v>
      </c>
      <c r="F20" s="295" t="s">
        <v>77</v>
      </c>
      <c r="G20" s="295"/>
      <c r="H20" s="498" t="s">
        <v>6</v>
      </c>
      <c r="I20" s="602" t="s">
        <v>1867</v>
      </c>
      <c r="J20" s="499" t="s">
        <v>6</v>
      </c>
      <c r="K20" s="499" t="s">
        <v>77</v>
      </c>
      <c r="L20" s="500" t="str">
        <f t="shared" si="0"/>
        <v/>
      </c>
      <c r="M20" s="605" t="s">
        <v>1865</v>
      </c>
      <c r="N20" s="227"/>
      <c r="O20" s="227"/>
      <c r="P20" s="227"/>
      <c r="Q20" s="227"/>
    </row>
    <row r="21" spans="1:17" s="507" customFormat="1" ht="89.25" x14ac:dyDescent="0.2">
      <c r="A21" s="295" t="s">
        <v>277</v>
      </c>
      <c r="B21" s="295" t="s">
        <v>760</v>
      </c>
      <c r="C21" s="295" t="s">
        <v>856</v>
      </c>
      <c r="D21" s="295" t="s">
        <v>867</v>
      </c>
      <c r="E21" s="295" t="s">
        <v>196</v>
      </c>
      <c r="F21" s="295" t="s">
        <v>77</v>
      </c>
      <c r="G21" s="505"/>
      <c r="H21" s="603" t="s">
        <v>6</v>
      </c>
      <c r="I21" s="603" t="s">
        <v>1768</v>
      </c>
      <c r="J21" s="604" t="s">
        <v>6</v>
      </c>
      <c r="K21" s="604" t="s">
        <v>77</v>
      </c>
      <c r="L21" s="500" t="str">
        <f t="shared" si="0"/>
        <v/>
      </c>
      <c r="M21" s="492" t="s">
        <v>1866</v>
      </c>
      <c r="N21" s="506"/>
      <c r="O21" s="506"/>
      <c r="P21" s="506"/>
      <c r="Q21" s="506"/>
    </row>
    <row r="22" spans="1:17" ht="38.25" x14ac:dyDescent="0.2">
      <c r="A22" s="295" t="s">
        <v>277</v>
      </c>
      <c r="B22" s="295" t="s">
        <v>810</v>
      </c>
      <c r="C22" s="295" t="s">
        <v>868</v>
      </c>
      <c r="D22" s="295" t="s">
        <v>869</v>
      </c>
      <c r="E22" s="295" t="s">
        <v>195</v>
      </c>
      <c r="F22" s="295" t="s">
        <v>6</v>
      </c>
      <c r="G22" s="777" t="s">
        <v>870</v>
      </c>
      <c r="H22" s="498" t="s">
        <v>6</v>
      </c>
      <c r="I22" s="498" t="s">
        <v>805</v>
      </c>
      <c r="J22" s="499" t="s">
        <v>6</v>
      </c>
      <c r="K22" s="499" t="s">
        <v>6</v>
      </c>
      <c r="L22" s="500" t="str">
        <f t="shared" si="0"/>
        <v/>
      </c>
      <c r="M22" s="508" t="s">
        <v>7</v>
      </c>
      <c r="N22" s="227"/>
      <c r="O22" s="227"/>
      <c r="P22" s="227"/>
      <c r="Q22" s="227"/>
    </row>
    <row r="23" spans="1:17" ht="38.25" x14ac:dyDescent="0.2">
      <c r="A23" s="295" t="s">
        <v>277</v>
      </c>
      <c r="B23" s="295" t="s">
        <v>810</v>
      </c>
      <c r="C23" s="295" t="s">
        <v>868</v>
      </c>
      <c r="D23" s="295" t="s">
        <v>871</v>
      </c>
      <c r="E23" s="295" t="s">
        <v>196</v>
      </c>
      <c r="F23" s="295" t="s">
        <v>77</v>
      </c>
      <c r="G23" s="778"/>
      <c r="H23" s="498" t="s">
        <v>6</v>
      </c>
      <c r="I23" s="498" t="s">
        <v>77</v>
      </c>
      <c r="J23" s="499" t="s">
        <v>6</v>
      </c>
      <c r="K23" s="499" t="s">
        <v>6</v>
      </c>
      <c r="L23" s="500" t="str">
        <f t="shared" si="0"/>
        <v/>
      </c>
      <c r="M23" s="508" t="s">
        <v>7</v>
      </c>
      <c r="N23" s="227"/>
      <c r="O23" s="227"/>
      <c r="P23" s="227"/>
      <c r="Q23" s="227"/>
    </row>
    <row r="24" spans="1:17" ht="38.25" x14ac:dyDescent="0.2">
      <c r="A24" s="295" t="s">
        <v>277</v>
      </c>
      <c r="B24" s="295" t="s">
        <v>810</v>
      </c>
      <c r="C24" s="295" t="s">
        <v>868</v>
      </c>
      <c r="D24" s="295" t="s">
        <v>872</v>
      </c>
      <c r="E24" s="295" t="s">
        <v>196</v>
      </c>
      <c r="F24" s="295" t="s">
        <v>77</v>
      </c>
      <c r="G24" s="778"/>
      <c r="H24" s="498" t="s">
        <v>6</v>
      </c>
      <c r="I24" s="498" t="s">
        <v>77</v>
      </c>
      <c r="J24" s="499" t="s">
        <v>6</v>
      </c>
      <c r="K24" s="499" t="s">
        <v>6</v>
      </c>
      <c r="L24" s="500" t="str">
        <f t="shared" si="0"/>
        <v/>
      </c>
      <c r="M24" s="508" t="s">
        <v>7</v>
      </c>
      <c r="N24" s="227"/>
      <c r="O24" s="227"/>
      <c r="P24" s="227"/>
      <c r="Q24" s="227"/>
    </row>
    <row r="25" spans="1:17" ht="38.25" x14ac:dyDescent="0.2">
      <c r="A25" s="295" t="s">
        <v>277</v>
      </c>
      <c r="B25" s="295" t="s">
        <v>810</v>
      </c>
      <c r="C25" s="295" t="s">
        <v>868</v>
      </c>
      <c r="D25" s="295" t="s">
        <v>873</v>
      </c>
      <c r="E25" s="295" t="s">
        <v>196</v>
      </c>
      <c r="F25" s="295" t="s">
        <v>77</v>
      </c>
      <c r="G25" s="778"/>
      <c r="H25" s="498" t="s">
        <v>6</v>
      </c>
      <c r="I25" s="498" t="s">
        <v>77</v>
      </c>
      <c r="J25" s="499" t="s">
        <v>6</v>
      </c>
      <c r="K25" s="499" t="s">
        <v>6</v>
      </c>
      <c r="L25" s="500" t="str">
        <f t="shared" si="0"/>
        <v/>
      </c>
      <c r="M25" s="508" t="s">
        <v>7</v>
      </c>
      <c r="N25" s="227"/>
      <c r="O25" s="227"/>
      <c r="P25" s="227"/>
      <c r="Q25" s="227"/>
    </row>
    <row r="26" spans="1:17" ht="75.75" customHeight="1" x14ac:dyDescent="0.2">
      <c r="A26" s="295" t="s">
        <v>277</v>
      </c>
      <c r="B26" s="295" t="s">
        <v>810</v>
      </c>
      <c r="C26" s="295" t="s">
        <v>874</v>
      </c>
      <c r="D26" s="295" t="s">
        <v>875</v>
      </c>
      <c r="E26" s="295" t="s">
        <v>196</v>
      </c>
      <c r="F26" s="295" t="s">
        <v>77</v>
      </c>
      <c r="G26" s="779"/>
      <c r="H26" s="498" t="s">
        <v>77</v>
      </c>
      <c r="I26" s="498" t="s">
        <v>77</v>
      </c>
      <c r="J26" s="499" t="s">
        <v>77</v>
      </c>
      <c r="K26" s="499" t="s">
        <v>77</v>
      </c>
      <c r="L26" s="500" t="str">
        <f>IF(OR(H26="Y",H26=""),"","X")</f>
        <v>X</v>
      </c>
      <c r="M26" s="492" t="s">
        <v>1875</v>
      </c>
      <c r="N26" s="227"/>
      <c r="O26" s="227"/>
      <c r="P26" s="227"/>
      <c r="Q26" s="227"/>
    </row>
    <row r="27" spans="1:17" ht="18" customHeight="1" x14ac:dyDescent="0.2">
      <c r="A27" s="295" t="s">
        <v>277</v>
      </c>
      <c r="B27" s="287" t="s">
        <v>770</v>
      </c>
      <c r="C27" s="295"/>
      <c r="D27" s="295" t="s">
        <v>876</v>
      </c>
      <c r="E27" s="295" t="s">
        <v>195</v>
      </c>
      <c r="F27" s="295" t="s">
        <v>6</v>
      </c>
      <c r="G27" s="295"/>
      <c r="H27" s="501" t="s">
        <v>6</v>
      </c>
      <c r="I27" s="508" t="s">
        <v>1770</v>
      </c>
      <c r="J27" s="501" t="s">
        <v>6</v>
      </c>
      <c r="K27" s="501" t="s">
        <v>6</v>
      </c>
      <c r="L27" s="500" t="str">
        <f t="shared" ref="L27:L61" si="1">IF(OR(H27="Y",H27=""),"","X")</f>
        <v/>
      </c>
      <c r="M27" s="508" t="s">
        <v>7</v>
      </c>
      <c r="N27" s="227"/>
      <c r="O27" s="227"/>
      <c r="P27" s="227"/>
      <c r="Q27" s="227"/>
    </row>
    <row r="28" spans="1:17" ht="19.5" customHeight="1" x14ac:dyDescent="0.2">
      <c r="A28" s="295" t="s">
        <v>277</v>
      </c>
      <c r="B28" s="287" t="s">
        <v>770</v>
      </c>
      <c r="C28" s="295"/>
      <c r="D28" s="295" t="s">
        <v>877</v>
      </c>
      <c r="E28" s="295" t="s">
        <v>195</v>
      </c>
      <c r="F28" s="295" t="s">
        <v>6</v>
      </c>
      <c r="G28" s="295"/>
      <c r="H28" s="501" t="s">
        <v>6</v>
      </c>
      <c r="I28" s="508" t="s">
        <v>1770</v>
      </c>
      <c r="J28" s="501" t="s">
        <v>6</v>
      </c>
      <c r="K28" s="501" t="s">
        <v>6</v>
      </c>
      <c r="L28" s="500" t="str">
        <f t="shared" si="1"/>
        <v/>
      </c>
      <c r="M28" s="508" t="s">
        <v>7</v>
      </c>
      <c r="N28" s="227"/>
      <c r="O28" s="227"/>
      <c r="P28" s="227"/>
      <c r="Q28" s="227"/>
    </row>
    <row r="29" spans="1:17" ht="24.75" customHeight="1" x14ac:dyDescent="0.2">
      <c r="A29" s="295" t="s">
        <v>277</v>
      </c>
      <c r="B29" s="287" t="s">
        <v>770</v>
      </c>
      <c r="C29" s="295"/>
      <c r="D29" s="295" t="s">
        <v>878</v>
      </c>
      <c r="E29" s="295" t="s">
        <v>195</v>
      </c>
      <c r="F29" s="295" t="s">
        <v>77</v>
      </c>
      <c r="G29" s="295"/>
      <c r="H29" s="501" t="s">
        <v>6</v>
      </c>
      <c r="I29" s="508" t="s">
        <v>1769</v>
      </c>
      <c r="J29" s="501" t="s">
        <v>6</v>
      </c>
      <c r="K29" s="501" t="s">
        <v>6</v>
      </c>
      <c r="L29" s="500" t="str">
        <f t="shared" si="1"/>
        <v/>
      </c>
      <c r="M29" s="508" t="s">
        <v>7</v>
      </c>
      <c r="N29" s="227"/>
      <c r="O29" s="227"/>
      <c r="P29" s="227"/>
      <c r="Q29" s="227"/>
    </row>
    <row r="30" spans="1:17" ht="76.5" x14ac:dyDescent="0.2">
      <c r="A30" s="295" t="s">
        <v>277</v>
      </c>
      <c r="B30" s="287" t="s">
        <v>770</v>
      </c>
      <c r="C30" s="295"/>
      <c r="D30" s="295" t="s">
        <v>879</v>
      </c>
      <c r="E30" s="295" t="s">
        <v>196</v>
      </c>
      <c r="F30" s="295" t="s">
        <v>77</v>
      </c>
      <c r="G30" s="295"/>
      <c r="H30" s="501" t="s">
        <v>77</v>
      </c>
      <c r="I30" s="508" t="s">
        <v>7</v>
      </c>
      <c r="J30" s="501" t="s">
        <v>77</v>
      </c>
      <c r="K30" s="501" t="s">
        <v>77</v>
      </c>
      <c r="L30" s="500" t="str">
        <f t="shared" si="1"/>
        <v>X</v>
      </c>
      <c r="M30" s="681" t="s">
        <v>1941</v>
      </c>
      <c r="N30" s="227"/>
      <c r="O30" s="227"/>
      <c r="P30" s="227"/>
      <c r="Q30" s="227"/>
    </row>
    <row r="31" spans="1:17" ht="76.5" x14ac:dyDescent="0.2">
      <c r="A31" s="295" t="s">
        <v>277</v>
      </c>
      <c r="B31" s="287" t="s">
        <v>770</v>
      </c>
      <c r="C31" s="295"/>
      <c r="D31" s="295" t="s">
        <v>880</v>
      </c>
      <c r="E31" s="295" t="s">
        <v>196</v>
      </c>
      <c r="F31" s="295" t="s">
        <v>77</v>
      </c>
      <c r="G31" s="295"/>
      <c r="H31" s="501" t="s">
        <v>77</v>
      </c>
      <c r="I31" s="508" t="s">
        <v>7</v>
      </c>
      <c r="J31" s="501" t="s">
        <v>77</v>
      </c>
      <c r="K31" s="501" t="s">
        <v>77</v>
      </c>
      <c r="L31" s="500" t="str">
        <f t="shared" si="1"/>
        <v>X</v>
      </c>
      <c r="M31" s="681" t="s">
        <v>1942</v>
      </c>
      <c r="N31" s="227"/>
      <c r="O31" s="227"/>
      <c r="P31" s="227"/>
      <c r="Q31" s="227"/>
    </row>
    <row r="32" spans="1:17" ht="25.5" x14ac:dyDescent="0.2">
      <c r="A32" s="295" t="s">
        <v>277</v>
      </c>
      <c r="B32" s="295" t="s">
        <v>790</v>
      </c>
      <c r="C32" s="295"/>
      <c r="D32" s="295" t="s">
        <v>876</v>
      </c>
      <c r="E32" s="295" t="s">
        <v>195</v>
      </c>
      <c r="F32" s="295" t="s">
        <v>6</v>
      </c>
      <c r="G32" s="295" t="s">
        <v>881</v>
      </c>
      <c r="H32" s="501" t="s">
        <v>6</v>
      </c>
      <c r="I32" s="508" t="s">
        <v>1770</v>
      </c>
      <c r="J32" s="501" t="s">
        <v>6</v>
      </c>
      <c r="K32" s="501" t="s">
        <v>6</v>
      </c>
      <c r="L32" s="500" t="str">
        <f t="shared" si="1"/>
        <v/>
      </c>
      <c r="M32" s="508" t="s">
        <v>7</v>
      </c>
      <c r="N32" s="227"/>
      <c r="O32" s="227"/>
      <c r="P32" s="227"/>
      <c r="Q32" s="227"/>
    </row>
    <row r="33" spans="1:17" ht="25.5" x14ac:dyDescent="0.2">
      <c r="A33" s="295" t="s">
        <v>277</v>
      </c>
      <c r="B33" s="295" t="s">
        <v>790</v>
      </c>
      <c r="C33" s="295"/>
      <c r="D33" s="295" t="s">
        <v>882</v>
      </c>
      <c r="E33" s="295" t="s">
        <v>195</v>
      </c>
      <c r="F33" s="295" t="s">
        <v>6</v>
      </c>
      <c r="G33" s="295" t="s">
        <v>881</v>
      </c>
      <c r="H33" s="501" t="s">
        <v>6</v>
      </c>
      <c r="I33" s="508" t="s">
        <v>1770</v>
      </c>
      <c r="J33" s="501" t="s">
        <v>6</v>
      </c>
      <c r="K33" s="501" t="s">
        <v>6</v>
      </c>
      <c r="L33" s="500" t="str">
        <f t="shared" si="1"/>
        <v/>
      </c>
      <c r="M33" s="508" t="s">
        <v>7</v>
      </c>
      <c r="N33" s="227"/>
      <c r="O33" s="227"/>
      <c r="P33" s="227"/>
      <c r="Q33" s="227"/>
    </row>
    <row r="34" spans="1:17" ht="25.5" x14ac:dyDescent="0.2">
      <c r="A34" s="295" t="s">
        <v>277</v>
      </c>
      <c r="B34" s="295" t="s">
        <v>790</v>
      </c>
      <c r="C34" s="295"/>
      <c r="D34" s="295" t="s">
        <v>883</v>
      </c>
      <c r="E34" s="295" t="s">
        <v>195</v>
      </c>
      <c r="F34" s="295" t="s">
        <v>6</v>
      </c>
      <c r="G34" s="295" t="s">
        <v>881</v>
      </c>
      <c r="H34" s="501" t="s">
        <v>6</v>
      </c>
      <c r="I34" s="508" t="s">
        <v>1770</v>
      </c>
      <c r="J34" s="501" t="s">
        <v>6</v>
      </c>
      <c r="K34" s="501" t="s">
        <v>6</v>
      </c>
      <c r="L34" s="500" t="str">
        <f t="shared" si="1"/>
        <v/>
      </c>
      <c r="M34" s="508" t="s">
        <v>7</v>
      </c>
      <c r="N34" s="227"/>
      <c r="O34" s="227"/>
      <c r="P34" s="227"/>
      <c r="Q34" s="227"/>
    </row>
    <row r="35" spans="1:17" ht="25.5" x14ac:dyDescent="0.2">
      <c r="A35" s="295" t="s">
        <v>277</v>
      </c>
      <c r="B35" s="295" t="s">
        <v>790</v>
      </c>
      <c r="C35" s="295"/>
      <c r="D35" s="295" t="s">
        <v>884</v>
      </c>
      <c r="E35" s="295" t="s">
        <v>196</v>
      </c>
      <c r="F35" s="295" t="s">
        <v>77</v>
      </c>
      <c r="G35" s="295" t="s">
        <v>881</v>
      </c>
      <c r="H35" s="501" t="s">
        <v>6</v>
      </c>
      <c r="I35" s="508" t="s">
        <v>1770</v>
      </c>
      <c r="J35" s="501" t="s">
        <v>6</v>
      </c>
      <c r="K35" s="501" t="s">
        <v>6</v>
      </c>
      <c r="L35" s="500" t="str">
        <f t="shared" si="1"/>
        <v/>
      </c>
      <c r="M35" s="508" t="s">
        <v>7</v>
      </c>
      <c r="N35" s="227"/>
      <c r="O35" s="227"/>
      <c r="P35" s="227"/>
      <c r="Q35" s="227"/>
    </row>
    <row r="36" spans="1:17" ht="25.5" x14ac:dyDescent="0.2">
      <c r="A36" s="295" t="s">
        <v>277</v>
      </c>
      <c r="B36" s="295" t="s">
        <v>790</v>
      </c>
      <c r="C36" s="295"/>
      <c r="D36" s="295" t="s">
        <v>878</v>
      </c>
      <c r="E36" s="295" t="s">
        <v>195</v>
      </c>
      <c r="F36" s="295" t="s">
        <v>77</v>
      </c>
      <c r="G36" s="295" t="s">
        <v>881</v>
      </c>
      <c r="H36" s="501" t="s">
        <v>6</v>
      </c>
      <c r="I36" s="508" t="s">
        <v>1769</v>
      </c>
      <c r="J36" s="501" t="s">
        <v>6</v>
      </c>
      <c r="K36" s="501" t="s">
        <v>6</v>
      </c>
      <c r="L36" s="500" t="str">
        <f t="shared" si="1"/>
        <v/>
      </c>
      <c r="M36" s="508" t="s">
        <v>7</v>
      </c>
      <c r="N36" s="227"/>
      <c r="O36" s="227"/>
      <c r="P36" s="227"/>
      <c r="Q36" s="227"/>
    </row>
    <row r="37" spans="1:17" ht="25.5" x14ac:dyDescent="0.2">
      <c r="A37" s="295" t="s">
        <v>277</v>
      </c>
      <c r="B37" s="295" t="s">
        <v>790</v>
      </c>
      <c r="C37" s="295"/>
      <c r="D37" s="295" t="s">
        <v>879</v>
      </c>
      <c r="E37" s="295" t="s">
        <v>196</v>
      </c>
      <c r="F37" s="295" t="s">
        <v>77</v>
      </c>
      <c r="G37" s="295" t="s">
        <v>881</v>
      </c>
      <c r="H37" s="501" t="s">
        <v>6</v>
      </c>
      <c r="I37" s="508" t="s">
        <v>77</v>
      </c>
      <c r="J37" s="501" t="s">
        <v>77</v>
      </c>
      <c r="K37" s="501" t="s">
        <v>77</v>
      </c>
      <c r="L37" s="500" t="str">
        <f t="shared" si="1"/>
        <v/>
      </c>
      <c r="M37" s="508" t="s">
        <v>7</v>
      </c>
      <c r="N37" s="227"/>
      <c r="O37" s="227"/>
      <c r="P37" s="227"/>
      <c r="Q37" s="227"/>
    </row>
    <row r="38" spans="1:17" ht="25.5" x14ac:dyDescent="0.2">
      <c r="A38" s="295" t="s">
        <v>277</v>
      </c>
      <c r="B38" s="295" t="s">
        <v>790</v>
      </c>
      <c r="C38" s="295"/>
      <c r="D38" s="295" t="s">
        <v>880</v>
      </c>
      <c r="E38" s="295" t="s">
        <v>196</v>
      </c>
      <c r="F38" s="295" t="s">
        <v>77</v>
      </c>
      <c r="G38" s="295" t="s">
        <v>881</v>
      </c>
      <c r="H38" s="501" t="s">
        <v>6</v>
      </c>
      <c r="I38" s="508" t="s">
        <v>77</v>
      </c>
      <c r="J38" s="501" t="s">
        <v>77</v>
      </c>
      <c r="K38" s="501" t="s">
        <v>77</v>
      </c>
      <c r="L38" s="500" t="str">
        <f t="shared" si="1"/>
        <v/>
      </c>
      <c r="M38" s="508" t="s">
        <v>7</v>
      </c>
      <c r="N38" s="227"/>
      <c r="O38" s="227"/>
      <c r="P38" s="227"/>
      <c r="Q38" s="227"/>
    </row>
    <row r="39" spans="1:17" ht="25.5" x14ac:dyDescent="0.2">
      <c r="A39" s="295" t="s">
        <v>277</v>
      </c>
      <c r="B39" s="295" t="s">
        <v>790</v>
      </c>
      <c r="C39" s="295"/>
      <c r="D39" s="295" t="s">
        <v>885</v>
      </c>
      <c r="E39" s="295" t="s">
        <v>196</v>
      </c>
      <c r="F39" s="295" t="s">
        <v>77</v>
      </c>
      <c r="G39" s="295" t="s">
        <v>881</v>
      </c>
      <c r="H39" s="501" t="s">
        <v>6</v>
      </c>
      <c r="I39" s="508" t="s">
        <v>77</v>
      </c>
      <c r="J39" s="501" t="s">
        <v>77</v>
      </c>
      <c r="K39" s="501" t="s">
        <v>77</v>
      </c>
      <c r="L39" s="500" t="str">
        <f t="shared" si="1"/>
        <v/>
      </c>
      <c r="M39" s="508" t="s">
        <v>7</v>
      </c>
      <c r="N39" s="227"/>
      <c r="O39" s="227"/>
      <c r="P39" s="227"/>
      <c r="Q39" s="227"/>
    </row>
    <row r="40" spans="1:17" ht="25.5" x14ac:dyDescent="0.2">
      <c r="A40" s="295" t="s">
        <v>277</v>
      </c>
      <c r="B40" s="295" t="s">
        <v>790</v>
      </c>
      <c r="C40" s="295"/>
      <c r="D40" s="295" t="s">
        <v>876</v>
      </c>
      <c r="E40" s="295" t="s">
        <v>195</v>
      </c>
      <c r="F40" s="295" t="s">
        <v>6</v>
      </c>
      <c r="G40" s="295" t="s">
        <v>886</v>
      </c>
      <c r="H40" s="501" t="s">
        <v>6</v>
      </c>
      <c r="I40" s="508" t="s">
        <v>1770</v>
      </c>
      <c r="J40" s="501" t="s">
        <v>6</v>
      </c>
      <c r="K40" s="501" t="s">
        <v>6</v>
      </c>
      <c r="L40" s="500" t="str">
        <f t="shared" si="1"/>
        <v/>
      </c>
      <c r="M40" s="508" t="s">
        <v>7</v>
      </c>
      <c r="N40" s="227"/>
      <c r="O40" s="227"/>
      <c r="P40" s="227"/>
      <c r="Q40" s="227"/>
    </row>
    <row r="41" spans="1:17" ht="25.5" x14ac:dyDescent="0.2">
      <c r="A41" s="295" t="s">
        <v>277</v>
      </c>
      <c r="B41" s="295" t="s">
        <v>790</v>
      </c>
      <c r="C41" s="295"/>
      <c r="D41" s="295" t="s">
        <v>887</v>
      </c>
      <c r="E41" s="295" t="s">
        <v>195</v>
      </c>
      <c r="F41" s="295" t="s">
        <v>6</v>
      </c>
      <c r="G41" s="295" t="s">
        <v>886</v>
      </c>
      <c r="H41" s="501" t="s">
        <v>6</v>
      </c>
      <c r="I41" s="508" t="s">
        <v>1770</v>
      </c>
      <c r="J41" s="501" t="s">
        <v>6</v>
      </c>
      <c r="K41" s="501" t="s">
        <v>6</v>
      </c>
      <c r="L41" s="500" t="str">
        <f t="shared" si="1"/>
        <v/>
      </c>
      <c r="M41" s="508" t="s">
        <v>7</v>
      </c>
      <c r="N41" s="227"/>
      <c r="O41" s="227"/>
      <c r="P41" s="227"/>
      <c r="Q41" s="227"/>
    </row>
    <row r="42" spans="1:17" ht="25.5" x14ac:dyDescent="0.2">
      <c r="A42" s="295" t="s">
        <v>277</v>
      </c>
      <c r="B42" s="295" t="s">
        <v>790</v>
      </c>
      <c r="C42" s="295"/>
      <c r="D42" s="295" t="s">
        <v>888</v>
      </c>
      <c r="E42" s="295" t="s">
        <v>195</v>
      </c>
      <c r="F42" s="295" t="s">
        <v>77</v>
      </c>
      <c r="G42" s="295" t="s">
        <v>886</v>
      </c>
      <c r="H42" s="501" t="s">
        <v>6</v>
      </c>
      <c r="I42" s="508" t="s">
        <v>1770</v>
      </c>
      <c r="J42" s="501" t="s">
        <v>6</v>
      </c>
      <c r="K42" s="501" t="s">
        <v>6</v>
      </c>
      <c r="L42" s="500" t="str">
        <f t="shared" si="1"/>
        <v/>
      </c>
      <c r="M42" s="508" t="s">
        <v>7</v>
      </c>
      <c r="N42" s="227"/>
      <c r="O42" s="227"/>
      <c r="P42" s="227"/>
      <c r="Q42" s="227"/>
    </row>
    <row r="43" spans="1:17" ht="25.5" x14ac:dyDescent="0.2">
      <c r="A43" s="295" t="s">
        <v>277</v>
      </c>
      <c r="B43" s="295" t="s">
        <v>790</v>
      </c>
      <c r="C43" s="295"/>
      <c r="D43" s="295" t="s">
        <v>878</v>
      </c>
      <c r="E43" s="295" t="s">
        <v>195</v>
      </c>
      <c r="F43" s="295" t="s">
        <v>77</v>
      </c>
      <c r="G43" s="295" t="s">
        <v>886</v>
      </c>
      <c r="H43" s="501" t="s">
        <v>6</v>
      </c>
      <c r="I43" s="508" t="s">
        <v>1769</v>
      </c>
      <c r="J43" s="501" t="s">
        <v>6</v>
      </c>
      <c r="K43" s="501" t="s">
        <v>6</v>
      </c>
      <c r="L43" s="500" t="str">
        <f t="shared" si="1"/>
        <v/>
      </c>
      <c r="M43" s="508" t="s">
        <v>7</v>
      </c>
      <c r="N43" s="227"/>
      <c r="O43" s="227"/>
      <c r="P43" s="227"/>
      <c r="Q43" s="227"/>
    </row>
    <row r="44" spans="1:17" ht="25.5" x14ac:dyDescent="0.2">
      <c r="A44" s="295" t="s">
        <v>277</v>
      </c>
      <c r="B44" s="295" t="s">
        <v>790</v>
      </c>
      <c r="C44" s="295"/>
      <c r="D44" s="295" t="s">
        <v>879</v>
      </c>
      <c r="E44" s="295" t="s">
        <v>196</v>
      </c>
      <c r="F44" s="295" t="s">
        <v>77</v>
      </c>
      <c r="G44" s="295" t="s">
        <v>886</v>
      </c>
      <c r="H44" s="501" t="s">
        <v>6</v>
      </c>
      <c r="I44" s="508" t="s">
        <v>77</v>
      </c>
      <c r="J44" s="501" t="s">
        <v>77</v>
      </c>
      <c r="K44" s="501" t="s">
        <v>77</v>
      </c>
      <c r="L44" s="500" t="str">
        <f t="shared" si="1"/>
        <v/>
      </c>
      <c r="M44" s="508" t="s">
        <v>7</v>
      </c>
      <c r="N44" s="227"/>
      <c r="O44" s="227"/>
      <c r="P44" s="227"/>
      <c r="Q44" s="227"/>
    </row>
    <row r="45" spans="1:17" ht="25.5" x14ac:dyDescent="0.2">
      <c r="A45" s="295" t="s">
        <v>277</v>
      </c>
      <c r="B45" s="295" t="s">
        <v>790</v>
      </c>
      <c r="C45" s="295"/>
      <c r="D45" s="295" t="s">
        <v>880</v>
      </c>
      <c r="E45" s="295" t="s">
        <v>196</v>
      </c>
      <c r="F45" s="295" t="s">
        <v>77</v>
      </c>
      <c r="G45" s="295" t="s">
        <v>886</v>
      </c>
      <c r="H45" s="501" t="s">
        <v>6</v>
      </c>
      <c r="I45" s="508" t="s">
        <v>77</v>
      </c>
      <c r="J45" s="501" t="s">
        <v>77</v>
      </c>
      <c r="K45" s="501" t="s">
        <v>77</v>
      </c>
      <c r="L45" s="500" t="str">
        <f>IF(OR(H45="Y",H45=""),"","X")</f>
        <v/>
      </c>
      <c r="M45" s="508" t="s">
        <v>7</v>
      </c>
      <c r="N45" s="227"/>
      <c r="O45" s="227"/>
      <c r="P45" s="227"/>
      <c r="Q45" s="227"/>
    </row>
    <row r="46" spans="1:17" ht="114.75" x14ac:dyDescent="0.2">
      <c r="A46" s="295" t="s">
        <v>277</v>
      </c>
      <c r="B46" s="295" t="s">
        <v>816</v>
      </c>
      <c r="C46" s="295" t="s">
        <v>817</v>
      </c>
      <c r="D46" s="295" t="s">
        <v>889</v>
      </c>
      <c r="E46" s="295" t="s">
        <v>195</v>
      </c>
      <c r="F46" s="295" t="s">
        <v>6</v>
      </c>
      <c r="G46" s="295" t="s">
        <v>890</v>
      </c>
      <c r="H46" s="501" t="s">
        <v>6</v>
      </c>
      <c r="I46" s="508" t="s">
        <v>767</v>
      </c>
      <c r="J46" s="501" t="s">
        <v>6</v>
      </c>
      <c r="K46" s="501" t="s">
        <v>6</v>
      </c>
      <c r="L46" s="500" t="str">
        <f t="shared" si="1"/>
        <v/>
      </c>
      <c r="M46" s="508" t="s">
        <v>7</v>
      </c>
      <c r="N46" s="227"/>
      <c r="O46" s="227"/>
      <c r="P46" s="227"/>
      <c r="Q46" s="227"/>
    </row>
    <row r="47" spans="1:17" ht="25.5" x14ac:dyDescent="0.2">
      <c r="A47" s="295" t="s">
        <v>277</v>
      </c>
      <c r="B47" s="295" t="s">
        <v>816</v>
      </c>
      <c r="C47" s="295" t="s">
        <v>817</v>
      </c>
      <c r="D47" s="295" t="s">
        <v>891</v>
      </c>
      <c r="E47" s="295" t="s">
        <v>195</v>
      </c>
      <c r="F47" s="295" t="s">
        <v>6</v>
      </c>
      <c r="G47" s="295" t="s">
        <v>892</v>
      </c>
      <c r="H47" s="501" t="s">
        <v>6</v>
      </c>
      <c r="I47" s="508" t="s">
        <v>767</v>
      </c>
      <c r="J47" s="501" t="s">
        <v>6</v>
      </c>
      <c r="K47" s="501" t="s">
        <v>6</v>
      </c>
      <c r="L47" s="500" t="str">
        <f t="shared" si="1"/>
        <v/>
      </c>
      <c r="M47" s="508" t="s">
        <v>7</v>
      </c>
      <c r="N47" s="227"/>
      <c r="O47" s="227"/>
      <c r="P47" s="227"/>
      <c r="Q47" s="227"/>
    </row>
    <row r="48" spans="1:17" ht="25.5" x14ac:dyDescent="0.2">
      <c r="A48" s="295" t="s">
        <v>277</v>
      </c>
      <c r="B48" s="295" t="s">
        <v>816</v>
      </c>
      <c r="C48" s="295" t="s">
        <v>817</v>
      </c>
      <c r="D48" s="295" t="s">
        <v>863</v>
      </c>
      <c r="E48" s="295" t="s">
        <v>196</v>
      </c>
      <c r="F48" s="295" t="s">
        <v>77</v>
      </c>
      <c r="G48" s="295" t="s">
        <v>893</v>
      </c>
      <c r="H48" s="501" t="s">
        <v>6</v>
      </c>
      <c r="I48" s="508" t="s">
        <v>1767</v>
      </c>
      <c r="J48" s="501" t="s">
        <v>77</v>
      </c>
      <c r="K48" s="501" t="s">
        <v>77</v>
      </c>
      <c r="L48" s="500" t="str">
        <f t="shared" si="1"/>
        <v/>
      </c>
      <c r="M48" s="508" t="s">
        <v>7</v>
      </c>
      <c r="N48" s="227"/>
      <c r="O48" s="227"/>
      <c r="P48" s="227"/>
      <c r="Q48" s="227"/>
    </row>
    <row r="49" spans="1:17" x14ac:dyDescent="0.2">
      <c r="A49" s="295" t="s">
        <v>277</v>
      </c>
      <c r="B49" s="295" t="s">
        <v>816</v>
      </c>
      <c r="C49" s="295" t="s">
        <v>817</v>
      </c>
      <c r="D49" s="295" t="s">
        <v>865</v>
      </c>
      <c r="E49" s="295" t="s">
        <v>196</v>
      </c>
      <c r="F49" s="295" t="s">
        <v>77</v>
      </c>
      <c r="G49" s="295" t="s">
        <v>893</v>
      </c>
      <c r="H49" s="501" t="s">
        <v>6</v>
      </c>
      <c r="I49" s="508" t="s">
        <v>767</v>
      </c>
      <c r="J49" s="501" t="s">
        <v>6</v>
      </c>
      <c r="K49" s="501" t="s">
        <v>77</v>
      </c>
      <c r="L49" s="500" t="str">
        <f t="shared" si="1"/>
        <v/>
      </c>
      <c r="M49" s="492" t="s">
        <v>7</v>
      </c>
      <c r="N49" s="227"/>
      <c r="O49" s="227"/>
      <c r="P49" s="227"/>
      <c r="Q49" s="227"/>
    </row>
    <row r="50" spans="1:17" ht="38.25" x14ac:dyDescent="0.2">
      <c r="A50" s="295" t="s">
        <v>277</v>
      </c>
      <c r="B50" s="295" t="s">
        <v>816</v>
      </c>
      <c r="C50" s="295" t="s">
        <v>817</v>
      </c>
      <c r="D50" s="295" t="s">
        <v>866</v>
      </c>
      <c r="E50" s="295" t="s">
        <v>196</v>
      </c>
      <c r="F50" s="295" t="s">
        <v>77</v>
      </c>
      <c r="G50" s="295" t="s">
        <v>894</v>
      </c>
      <c r="H50" s="501" t="s">
        <v>6</v>
      </c>
      <c r="I50" s="508" t="s">
        <v>767</v>
      </c>
      <c r="J50" s="501" t="s">
        <v>6</v>
      </c>
      <c r="K50" s="501" t="s">
        <v>77</v>
      </c>
      <c r="L50" s="500" t="str">
        <f t="shared" si="1"/>
        <v/>
      </c>
      <c r="M50" s="508" t="s">
        <v>7</v>
      </c>
      <c r="N50" s="227"/>
      <c r="O50" s="227"/>
      <c r="P50" s="227"/>
      <c r="Q50" s="227"/>
    </row>
    <row r="51" spans="1:17" x14ac:dyDescent="0.2">
      <c r="A51" s="295" t="s">
        <v>277</v>
      </c>
      <c r="B51" s="295" t="s">
        <v>895</v>
      </c>
      <c r="C51" s="295" t="s">
        <v>826</v>
      </c>
      <c r="D51" s="295" t="s">
        <v>896</v>
      </c>
      <c r="E51" s="295" t="s">
        <v>195</v>
      </c>
      <c r="F51" s="295" t="s">
        <v>6</v>
      </c>
      <c r="G51" s="295"/>
      <c r="H51" s="501" t="s">
        <v>6</v>
      </c>
      <c r="I51" s="508" t="s">
        <v>7</v>
      </c>
      <c r="J51" s="501" t="s">
        <v>6</v>
      </c>
      <c r="K51" s="501" t="s">
        <v>77</v>
      </c>
      <c r="L51" s="500" t="str">
        <f t="shared" si="1"/>
        <v/>
      </c>
      <c r="M51" s="508" t="s">
        <v>1772</v>
      </c>
      <c r="N51" s="227"/>
      <c r="O51" s="227"/>
      <c r="P51" s="227"/>
      <c r="Q51" s="227"/>
    </row>
    <row r="52" spans="1:17" x14ac:dyDescent="0.2">
      <c r="A52" s="295" t="s">
        <v>277</v>
      </c>
      <c r="B52" s="295" t="s">
        <v>895</v>
      </c>
      <c r="C52" s="295" t="s">
        <v>826</v>
      </c>
      <c r="D52" s="295" t="s">
        <v>897</v>
      </c>
      <c r="E52" s="295" t="s">
        <v>196</v>
      </c>
      <c r="F52" s="295" t="s">
        <v>6</v>
      </c>
      <c r="G52" s="295"/>
      <c r="H52" s="501" t="s">
        <v>6</v>
      </c>
      <c r="I52" s="508" t="s">
        <v>7</v>
      </c>
      <c r="J52" s="501" t="s">
        <v>6</v>
      </c>
      <c r="K52" s="501" t="s">
        <v>77</v>
      </c>
      <c r="L52" s="500" t="str">
        <f t="shared" si="1"/>
        <v/>
      </c>
      <c r="M52" s="508" t="s">
        <v>1772</v>
      </c>
      <c r="N52" s="227"/>
      <c r="O52" s="227"/>
      <c r="P52" s="227"/>
      <c r="Q52" s="227"/>
    </row>
    <row r="53" spans="1:17" x14ac:dyDescent="0.2">
      <c r="A53" s="295" t="s">
        <v>277</v>
      </c>
      <c r="B53" s="295" t="s">
        <v>898</v>
      </c>
      <c r="C53" s="295" t="s">
        <v>899</v>
      </c>
      <c r="D53" s="295" t="s">
        <v>900</v>
      </c>
      <c r="E53" s="295" t="s">
        <v>195</v>
      </c>
      <c r="F53" s="295" t="s">
        <v>6</v>
      </c>
      <c r="G53" s="295"/>
      <c r="H53" s="501" t="s">
        <v>6</v>
      </c>
      <c r="I53" s="508" t="s">
        <v>7</v>
      </c>
      <c r="J53" s="501" t="s">
        <v>6</v>
      </c>
      <c r="K53" s="501" t="s">
        <v>77</v>
      </c>
      <c r="L53" s="500" t="str">
        <f t="shared" si="1"/>
        <v/>
      </c>
      <c r="M53" s="508" t="s">
        <v>1772</v>
      </c>
      <c r="N53" s="227"/>
      <c r="O53" s="227"/>
      <c r="P53" s="227"/>
      <c r="Q53" s="227"/>
    </row>
    <row r="54" spans="1:17" ht="76.5" x14ac:dyDescent="0.2">
      <c r="A54" s="295" t="s">
        <v>277</v>
      </c>
      <c r="B54" s="295" t="s">
        <v>898</v>
      </c>
      <c r="C54" s="295" t="s">
        <v>899</v>
      </c>
      <c r="D54" s="295" t="s">
        <v>897</v>
      </c>
      <c r="E54" s="295" t="s">
        <v>196</v>
      </c>
      <c r="F54" s="295" t="s">
        <v>6</v>
      </c>
      <c r="G54" s="295"/>
      <c r="H54" s="501" t="s">
        <v>1753</v>
      </c>
      <c r="I54" s="508" t="s">
        <v>7</v>
      </c>
      <c r="J54" s="501" t="s">
        <v>6</v>
      </c>
      <c r="K54" s="501" t="s">
        <v>77</v>
      </c>
      <c r="L54" s="500" t="str">
        <f t="shared" si="1"/>
        <v>X</v>
      </c>
      <c r="M54" s="508" t="s">
        <v>1771</v>
      </c>
      <c r="N54" s="227"/>
      <c r="O54" s="227"/>
      <c r="P54" s="227"/>
      <c r="Q54" s="227"/>
    </row>
    <row r="55" spans="1:17" x14ac:dyDescent="0.2">
      <c r="A55" s="295" t="s">
        <v>277</v>
      </c>
      <c r="B55" s="295" t="s">
        <v>901</v>
      </c>
      <c r="C55" s="295" t="s">
        <v>902</v>
      </c>
      <c r="D55" s="295" t="s">
        <v>903</v>
      </c>
      <c r="E55" s="295" t="s">
        <v>195</v>
      </c>
      <c r="F55" s="295" t="s">
        <v>6</v>
      </c>
      <c r="G55" s="295"/>
      <c r="H55" s="501" t="s">
        <v>6</v>
      </c>
      <c r="I55" s="508" t="s">
        <v>77</v>
      </c>
      <c r="J55" s="501" t="s">
        <v>6</v>
      </c>
      <c r="K55" s="501" t="s">
        <v>77</v>
      </c>
      <c r="L55" s="500" t="str">
        <f t="shared" si="1"/>
        <v/>
      </c>
      <c r="M55" s="508" t="s">
        <v>1772</v>
      </c>
      <c r="N55" s="227"/>
      <c r="O55" s="227"/>
      <c r="P55" s="227"/>
      <c r="Q55" s="227"/>
    </row>
    <row r="56" spans="1:17" x14ac:dyDescent="0.2">
      <c r="A56" s="295" t="s">
        <v>277</v>
      </c>
      <c r="B56" s="295" t="s">
        <v>901</v>
      </c>
      <c r="C56" s="295" t="s">
        <v>902</v>
      </c>
      <c r="D56" s="295" t="s">
        <v>897</v>
      </c>
      <c r="E56" s="295" t="s">
        <v>196</v>
      </c>
      <c r="F56" s="295" t="s">
        <v>77</v>
      </c>
      <c r="G56" s="295"/>
      <c r="H56" s="501" t="s">
        <v>6</v>
      </c>
      <c r="I56" s="508" t="s">
        <v>77</v>
      </c>
      <c r="J56" s="501" t="s">
        <v>6</v>
      </c>
      <c r="K56" s="501" t="s">
        <v>77</v>
      </c>
      <c r="L56" s="500" t="str">
        <f t="shared" si="1"/>
        <v/>
      </c>
      <c r="M56" s="508" t="s">
        <v>1772</v>
      </c>
      <c r="N56" s="227"/>
      <c r="O56" s="227"/>
      <c r="P56" s="227"/>
      <c r="Q56" s="227"/>
    </row>
    <row r="57" spans="1:17" x14ac:dyDescent="0.2">
      <c r="A57" s="295" t="s">
        <v>277</v>
      </c>
      <c r="B57" s="295" t="s">
        <v>838</v>
      </c>
      <c r="C57" s="295" t="s">
        <v>904</v>
      </c>
      <c r="D57" s="295" t="s">
        <v>905</v>
      </c>
      <c r="E57" s="295" t="s">
        <v>195</v>
      </c>
      <c r="F57" s="295" t="s">
        <v>6</v>
      </c>
      <c r="G57" s="295"/>
      <c r="H57" s="501" t="s">
        <v>6</v>
      </c>
      <c r="I57" s="508" t="s">
        <v>77</v>
      </c>
      <c r="J57" s="501" t="s">
        <v>6</v>
      </c>
      <c r="K57" s="501" t="s">
        <v>77</v>
      </c>
      <c r="L57" s="500" t="str">
        <f t="shared" si="1"/>
        <v/>
      </c>
      <c r="M57" s="508" t="s">
        <v>1772</v>
      </c>
      <c r="N57" s="227"/>
      <c r="O57" s="227"/>
      <c r="P57" s="227"/>
      <c r="Q57" s="227"/>
    </row>
    <row r="58" spans="1:17" x14ac:dyDescent="0.2">
      <c r="A58" s="295" t="s">
        <v>277</v>
      </c>
      <c r="B58" s="295" t="s">
        <v>838</v>
      </c>
      <c r="C58" s="295" t="s">
        <v>904</v>
      </c>
      <c r="D58" s="295" t="s">
        <v>897</v>
      </c>
      <c r="E58" s="295" t="s">
        <v>195</v>
      </c>
      <c r="F58" s="295" t="s">
        <v>6</v>
      </c>
      <c r="G58" s="295"/>
      <c r="H58" s="501" t="s">
        <v>6</v>
      </c>
      <c r="I58" s="508" t="s">
        <v>77</v>
      </c>
      <c r="J58" s="501" t="s">
        <v>6</v>
      </c>
      <c r="K58" s="501" t="s">
        <v>77</v>
      </c>
      <c r="L58" s="500" t="str">
        <f t="shared" si="1"/>
        <v/>
      </c>
      <c r="M58" s="508" t="s">
        <v>1772</v>
      </c>
      <c r="N58" s="227"/>
      <c r="O58" s="227"/>
      <c r="P58" s="227"/>
      <c r="Q58" s="227"/>
    </row>
    <row r="59" spans="1:17" ht="51" x14ac:dyDescent="0.2">
      <c r="A59" s="295" t="s">
        <v>277</v>
      </c>
      <c r="B59" s="295" t="s">
        <v>838</v>
      </c>
      <c r="C59" s="295" t="s">
        <v>904</v>
      </c>
      <c r="D59" s="295" t="s">
        <v>906</v>
      </c>
      <c r="E59" s="295" t="s">
        <v>195</v>
      </c>
      <c r="F59" s="295" t="s">
        <v>6</v>
      </c>
      <c r="G59" s="295"/>
      <c r="H59" s="501" t="s">
        <v>77</v>
      </c>
      <c r="I59" s="508" t="s">
        <v>77</v>
      </c>
      <c r="J59" s="501" t="s">
        <v>7</v>
      </c>
      <c r="K59" s="501" t="s">
        <v>77</v>
      </c>
      <c r="L59" s="500" t="str">
        <f t="shared" si="1"/>
        <v>X</v>
      </c>
      <c r="M59" s="606" t="s">
        <v>1870</v>
      </c>
      <c r="N59" s="227"/>
      <c r="O59" s="227"/>
      <c r="P59" s="227"/>
      <c r="Q59" s="227"/>
    </row>
    <row r="60" spans="1:17" ht="25.5" x14ac:dyDescent="0.2">
      <c r="A60" s="295" t="s">
        <v>277</v>
      </c>
      <c r="B60" s="295" t="s">
        <v>834</v>
      </c>
      <c r="C60" s="295" t="s">
        <v>835</v>
      </c>
      <c r="D60" s="295" t="s">
        <v>907</v>
      </c>
      <c r="E60" s="295" t="s">
        <v>195</v>
      </c>
      <c r="F60" s="295" t="s">
        <v>6</v>
      </c>
      <c r="G60" s="295"/>
      <c r="H60" s="501" t="s">
        <v>6</v>
      </c>
      <c r="I60" s="508" t="s">
        <v>77</v>
      </c>
      <c r="J60" s="501" t="s">
        <v>6</v>
      </c>
      <c r="K60" s="501" t="s">
        <v>77</v>
      </c>
      <c r="L60" s="500" t="str">
        <f t="shared" si="1"/>
        <v/>
      </c>
      <c r="M60" s="508" t="s">
        <v>1772</v>
      </c>
      <c r="N60" s="227"/>
      <c r="O60" s="227"/>
      <c r="P60" s="227"/>
      <c r="Q60" s="227"/>
    </row>
    <row r="61" spans="1:17" x14ac:dyDescent="0.2">
      <c r="A61" s="295" t="s">
        <v>277</v>
      </c>
      <c r="B61" s="295" t="s">
        <v>834</v>
      </c>
      <c r="C61" s="295" t="s">
        <v>835</v>
      </c>
      <c r="D61" s="295" t="s">
        <v>897</v>
      </c>
      <c r="E61" s="295" t="s">
        <v>196</v>
      </c>
      <c r="F61" s="295" t="s">
        <v>77</v>
      </c>
      <c r="G61" s="295"/>
      <c r="H61" s="501" t="s">
        <v>6</v>
      </c>
      <c r="I61" s="508" t="s">
        <v>77</v>
      </c>
      <c r="J61" s="501" t="s">
        <v>6</v>
      </c>
      <c r="K61" s="501" t="s">
        <v>77</v>
      </c>
      <c r="L61" s="500" t="str">
        <f t="shared" si="1"/>
        <v/>
      </c>
      <c r="M61" s="508" t="s">
        <v>1772</v>
      </c>
      <c r="N61" s="227"/>
      <c r="O61" s="227"/>
      <c r="P61" s="227"/>
      <c r="Q61" s="227"/>
    </row>
    <row r="62" spans="1:17" x14ac:dyDescent="0.2">
      <c r="A62" s="1"/>
      <c r="B62" s="1"/>
      <c r="C62" s="299"/>
      <c r="D62" s="1"/>
      <c r="E62" s="1"/>
      <c r="F62" s="1"/>
      <c r="G62" s="1"/>
      <c r="M62" s="510"/>
      <c r="N62" s="227"/>
      <c r="O62" s="227"/>
      <c r="P62" s="227"/>
      <c r="Q62" s="227"/>
    </row>
    <row r="63" spans="1:17" x14ac:dyDescent="0.2">
      <c r="A63" s="1"/>
      <c r="B63" s="1"/>
      <c r="C63" s="299"/>
      <c r="D63" s="1"/>
      <c r="E63" s="1"/>
      <c r="F63" s="1"/>
      <c r="G63" s="1"/>
      <c r="M63" s="510"/>
      <c r="N63" s="227"/>
      <c r="O63" s="227"/>
      <c r="P63" s="227"/>
      <c r="Q63" s="227"/>
    </row>
    <row r="64" spans="1:17" x14ac:dyDescent="0.2">
      <c r="M64" s="510"/>
      <c r="N64" s="227"/>
      <c r="O64" s="227"/>
      <c r="P64" s="227"/>
      <c r="Q64" s="227"/>
    </row>
    <row r="65" spans="13:17" x14ac:dyDescent="0.2">
      <c r="M65" s="510"/>
      <c r="N65" s="227"/>
      <c r="O65" s="227"/>
      <c r="P65" s="227"/>
      <c r="Q65" s="227"/>
    </row>
    <row r="66" spans="13:17" x14ac:dyDescent="0.2">
      <c r="M66" s="510"/>
      <c r="N66" s="227"/>
      <c r="O66" s="227"/>
      <c r="P66" s="227"/>
      <c r="Q66" s="227"/>
    </row>
    <row r="67" spans="13:17" x14ac:dyDescent="0.2">
      <c r="M67" s="510"/>
      <c r="N67" s="227"/>
      <c r="O67" s="227"/>
      <c r="P67" s="227"/>
      <c r="Q67" s="227"/>
    </row>
    <row r="68" spans="13:17" x14ac:dyDescent="0.2">
      <c r="M68" s="510"/>
      <c r="N68" s="227"/>
      <c r="O68" s="227"/>
      <c r="P68" s="227"/>
      <c r="Q68" s="227"/>
    </row>
    <row r="69" spans="13:17" x14ac:dyDescent="0.2">
      <c r="M69" s="510"/>
      <c r="N69" s="227"/>
      <c r="O69" s="227"/>
      <c r="P69" s="227"/>
      <c r="Q69" s="227"/>
    </row>
    <row r="70" spans="13:17" x14ac:dyDescent="0.2">
      <c r="M70" s="510"/>
      <c r="N70" s="227"/>
      <c r="O70" s="227"/>
      <c r="P70" s="227"/>
      <c r="Q70" s="227"/>
    </row>
    <row r="71" spans="13:17" x14ac:dyDescent="0.2">
      <c r="M71" s="510"/>
      <c r="N71" s="227"/>
      <c r="O71" s="227"/>
      <c r="P71" s="227"/>
      <c r="Q71" s="227"/>
    </row>
    <row r="72" spans="13:17" x14ac:dyDescent="0.2">
      <c r="M72" s="510"/>
      <c r="N72" s="227"/>
      <c r="O72" s="227"/>
      <c r="P72" s="227"/>
      <c r="Q72" s="227"/>
    </row>
    <row r="73" spans="13:17" x14ac:dyDescent="0.2">
      <c r="M73" s="510"/>
      <c r="N73" s="227"/>
      <c r="O73" s="227"/>
      <c r="P73" s="227"/>
      <c r="Q73" s="227"/>
    </row>
    <row r="74" spans="13:17" x14ac:dyDescent="0.2">
      <c r="M74" s="510"/>
      <c r="N74" s="227"/>
      <c r="O74" s="227"/>
      <c r="P74" s="227"/>
      <c r="Q74" s="227"/>
    </row>
    <row r="75" spans="13:17" x14ac:dyDescent="0.2">
      <c r="M75" s="510"/>
      <c r="N75" s="227"/>
      <c r="O75" s="227"/>
      <c r="P75" s="227"/>
      <c r="Q75" s="227"/>
    </row>
    <row r="76" spans="13:17" x14ac:dyDescent="0.2">
      <c r="M76" s="510"/>
      <c r="N76" s="227"/>
      <c r="O76" s="227"/>
      <c r="P76" s="227"/>
      <c r="Q76" s="227"/>
    </row>
    <row r="77" spans="13:17" x14ac:dyDescent="0.2">
      <c r="M77" s="510"/>
      <c r="N77" s="227"/>
      <c r="O77" s="227"/>
      <c r="P77" s="227"/>
      <c r="Q77" s="227"/>
    </row>
    <row r="78" spans="13:17" x14ac:dyDescent="0.2">
      <c r="M78" s="510"/>
      <c r="N78" s="227"/>
      <c r="O78" s="227"/>
      <c r="P78" s="227"/>
      <c r="Q78" s="227"/>
    </row>
    <row r="79" spans="13:17" x14ac:dyDescent="0.2">
      <c r="M79" s="510"/>
      <c r="N79" s="227"/>
      <c r="O79" s="227"/>
      <c r="P79" s="227"/>
      <c r="Q79" s="227"/>
    </row>
    <row r="80" spans="13:17" x14ac:dyDescent="0.2">
      <c r="M80" s="510"/>
      <c r="N80" s="227"/>
      <c r="O80" s="227"/>
      <c r="P80" s="227"/>
      <c r="Q80" s="227"/>
    </row>
    <row r="81" spans="13:17" x14ac:dyDescent="0.2">
      <c r="M81" s="510"/>
      <c r="N81" s="227"/>
      <c r="O81" s="227"/>
      <c r="P81" s="227"/>
      <c r="Q81" s="227"/>
    </row>
    <row r="82" spans="13:17" x14ac:dyDescent="0.2">
      <c r="M82" s="510"/>
      <c r="N82" s="227"/>
      <c r="O82" s="227"/>
      <c r="P82" s="227"/>
      <c r="Q82" s="227"/>
    </row>
    <row r="83" spans="13:17" x14ac:dyDescent="0.2">
      <c r="M83" s="510"/>
      <c r="N83" s="227"/>
      <c r="O83" s="227"/>
      <c r="P83" s="227"/>
      <c r="Q83" s="227"/>
    </row>
    <row r="84" spans="13:17" x14ac:dyDescent="0.2">
      <c r="M84" s="510"/>
      <c r="N84" s="227"/>
      <c r="O84" s="227"/>
      <c r="P84" s="227"/>
      <c r="Q84" s="227"/>
    </row>
    <row r="85" spans="13:17" x14ac:dyDescent="0.2">
      <c r="M85" s="510"/>
      <c r="N85" s="227"/>
      <c r="O85" s="227"/>
      <c r="P85" s="227"/>
      <c r="Q85" s="227"/>
    </row>
    <row r="86" spans="13:17" x14ac:dyDescent="0.2">
      <c r="M86" s="510"/>
      <c r="N86" s="227"/>
      <c r="O86" s="227"/>
      <c r="P86" s="227"/>
      <c r="Q86" s="227"/>
    </row>
    <row r="87" spans="13:17" x14ac:dyDescent="0.2">
      <c r="M87" s="510"/>
      <c r="N87" s="227"/>
      <c r="O87" s="227"/>
      <c r="P87" s="227"/>
      <c r="Q87" s="227"/>
    </row>
    <row r="88" spans="13:17" x14ac:dyDescent="0.2">
      <c r="M88" s="510"/>
      <c r="N88" s="227"/>
      <c r="O88" s="227"/>
      <c r="P88" s="227"/>
      <c r="Q88" s="227"/>
    </row>
    <row r="89" spans="13:17" x14ac:dyDescent="0.2">
      <c r="M89" s="510"/>
      <c r="N89" s="227"/>
      <c r="O89" s="227"/>
      <c r="P89" s="227"/>
      <c r="Q89" s="227"/>
    </row>
    <row r="90" spans="13:17" x14ac:dyDescent="0.2">
      <c r="M90" s="510"/>
      <c r="N90" s="227"/>
      <c r="O90" s="227"/>
      <c r="P90" s="227"/>
      <c r="Q90" s="227"/>
    </row>
    <row r="91" spans="13:17" x14ac:dyDescent="0.2">
      <c r="M91" s="510"/>
      <c r="N91" s="227"/>
      <c r="O91" s="227"/>
      <c r="P91" s="227"/>
      <c r="Q91" s="227"/>
    </row>
    <row r="92" spans="13:17" x14ac:dyDescent="0.2">
      <c r="M92" s="510"/>
      <c r="N92" s="227"/>
      <c r="O92" s="227"/>
      <c r="P92" s="227"/>
      <c r="Q92" s="227"/>
    </row>
    <row r="93" spans="13:17" x14ac:dyDescent="0.2">
      <c r="M93" s="510"/>
      <c r="N93" s="227"/>
      <c r="O93" s="227"/>
      <c r="P93" s="227"/>
      <c r="Q93" s="227"/>
    </row>
    <row r="94" spans="13:17" x14ac:dyDescent="0.2">
      <c r="M94" s="510"/>
      <c r="N94" s="227"/>
      <c r="O94" s="227"/>
      <c r="P94" s="227"/>
      <c r="Q94" s="227"/>
    </row>
    <row r="95" spans="13:17" x14ac:dyDescent="0.2">
      <c r="M95" s="510"/>
      <c r="N95" s="227"/>
      <c r="O95" s="227"/>
      <c r="P95" s="227"/>
      <c r="Q95" s="227"/>
    </row>
    <row r="96" spans="13:17" x14ac:dyDescent="0.2">
      <c r="M96" s="510"/>
      <c r="N96" s="227"/>
      <c r="O96" s="227"/>
      <c r="P96" s="227"/>
      <c r="Q96" s="227"/>
    </row>
    <row r="97" spans="13:17" x14ac:dyDescent="0.2">
      <c r="M97" s="510"/>
      <c r="N97" s="227"/>
      <c r="O97" s="227"/>
      <c r="P97" s="227"/>
      <c r="Q97" s="227"/>
    </row>
    <row r="98" spans="13:17" x14ac:dyDescent="0.2">
      <c r="M98" s="510"/>
      <c r="N98" s="227"/>
      <c r="O98" s="227"/>
      <c r="P98" s="227"/>
      <c r="Q98" s="227"/>
    </row>
    <row r="99" spans="13:17" x14ac:dyDescent="0.2">
      <c r="M99" s="510"/>
      <c r="N99" s="227"/>
      <c r="O99" s="227"/>
      <c r="P99" s="227"/>
      <c r="Q99" s="227"/>
    </row>
    <row r="100" spans="13:17" x14ac:dyDescent="0.2">
      <c r="M100" s="510"/>
      <c r="N100" s="227"/>
      <c r="O100" s="227"/>
      <c r="P100" s="227"/>
      <c r="Q100" s="227"/>
    </row>
    <row r="101" spans="13:17" x14ac:dyDescent="0.2">
      <c r="M101" s="510"/>
      <c r="N101" s="227"/>
      <c r="O101" s="227"/>
      <c r="P101" s="227"/>
      <c r="Q101" s="227"/>
    </row>
    <row r="102" spans="13:17" x14ac:dyDescent="0.2">
      <c r="M102" s="510"/>
      <c r="N102" s="227"/>
      <c r="O102" s="227"/>
      <c r="P102" s="227"/>
      <c r="Q102" s="227"/>
    </row>
    <row r="103" spans="13:17" x14ac:dyDescent="0.2">
      <c r="M103" s="510"/>
      <c r="N103" s="227"/>
      <c r="O103" s="227"/>
      <c r="P103" s="227"/>
      <c r="Q103" s="227"/>
    </row>
    <row r="104" spans="13:17" x14ac:dyDescent="0.2">
      <c r="M104" s="510"/>
      <c r="N104" s="227"/>
      <c r="O104" s="227"/>
      <c r="P104" s="227"/>
      <c r="Q104" s="227"/>
    </row>
    <row r="105" spans="13:17" x14ac:dyDescent="0.2">
      <c r="M105" s="510"/>
      <c r="N105" s="227"/>
      <c r="O105" s="227"/>
      <c r="P105" s="227"/>
      <c r="Q105" s="227"/>
    </row>
    <row r="106" spans="13:17" x14ac:dyDescent="0.2">
      <c r="M106" s="510"/>
      <c r="N106" s="227"/>
      <c r="O106" s="227"/>
      <c r="P106" s="227"/>
      <c r="Q106" s="227"/>
    </row>
    <row r="107" spans="13:17" x14ac:dyDescent="0.2">
      <c r="M107" s="510"/>
      <c r="N107" s="227"/>
      <c r="O107" s="227"/>
      <c r="P107" s="227"/>
      <c r="Q107" s="227"/>
    </row>
    <row r="108" spans="13:17" x14ac:dyDescent="0.2">
      <c r="M108" s="510"/>
      <c r="N108" s="227"/>
      <c r="O108" s="227"/>
      <c r="P108" s="227"/>
      <c r="Q108" s="227"/>
    </row>
    <row r="109" spans="13:17" x14ac:dyDescent="0.2">
      <c r="M109" s="510"/>
      <c r="N109" s="227"/>
      <c r="O109" s="227"/>
      <c r="P109" s="227"/>
      <c r="Q109" s="227"/>
    </row>
    <row r="110" spans="13:17" x14ac:dyDescent="0.2">
      <c r="M110" s="510"/>
      <c r="N110" s="227"/>
      <c r="O110" s="227"/>
      <c r="P110" s="227"/>
      <c r="Q110" s="227"/>
    </row>
    <row r="111" spans="13:17" x14ac:dyDescent="0.2">
      <c r="M111" s="510"/>
      <c r="N111" s="227"/>
      <c r="O111" s="227"/>
      <c r="P111" s="227"/>
      <c r="Q111" s="227"/>
    </row>
    <row r="112" spans="13:17" x14ac:dyDescent="0.2">
      <c r="M112" s="510"/>
      <c r="N112" s="227"/>
      <c r="O112" s="227"/>
      <c r="P112" s="227"/>
      <c r="Q112" s="227"/>
    </row>
    <row r="113" spans="13:17" x14ac:dyDescent="0.2">
      <c r="M113" s="510"/>
      <c r="N113" s="227"/>
      <c r="O113" s="227"/>
      <c r="P113" s="227"/>
      <c r="Q113" s="227"/>
    </row>
    <row r="114" spans="13:17" x14ac:dyDescent="0.2">
      <c r="M114" s="510"/>
      <c r="N114" s="227"/>
      <c r="O114" s="227"/>
      <c r="P114" s="227"/>
      <c r="Q114" s="227"/>
    </row>
    <row r="115" spans="13:17" x14ac:dyDescent="0.2">
      <c r="M115" s="510"/>
      <c r="N115" s="227"/>
      <c r="O115" s="227"/>
      <c r="P115" s="227"/>
      <c r="Q115" s="227"/>
    </row>
    <row r="116" spans="13:17" x14ac:dyDescent="0.2">
      <c r="M116" s="510"/>
      <c r="N116" s="227"/>
      <c r="O116" s="227"/>
      <c r="P116" s="227"/>
      <c r="Q116" s="227"/>
    </row>
    <row r="117" spans="13:17" x14ac:dyDescent="0.2">
      <c r="M117" s="510"/>
      <c r="N117" s="227"/>
      <c r="O117" s="227"/>
      <c r="P117" s="227"/>
      <c r="Q117" s="227"/>
    </row>
    <row r="118" spans="13:17" x14ac:dyDescent="0.2">
      <c r="M118" s="510"/>
      <c r="N118" s="227"/>
      <c r="O118" s="227"/>
      <c r="P118" s="227"/>
      <c r="Q118" s="227"/>
    </row>
    <row r="119" spans="13:17" x14ac:dyDescent="0.2">
      <c r="M119" s="510"/>
      <c r="N119" s="227"/>
      <c r="O119" s="227"/>
      <c r="P119" s="227"/>
      <c r="Q119" s="227"/>
    </row>
    <row r="120" spans="13:17" x14ac:dyDescent="0.2">
      <c r="M120" s="510"/>
      <c r="N120" s="227"/>
      <c r="O120" s="227"/>
      <c r="P120" s="227"/>
      <c r="Q120" s="227"/>
    </row>
    <row r="121" spans="13:17" x14ac:dyDescent="0.2">
      <c r="M121" s="510"/>
      <c r="N121" s="227"/>
      <c r="O121" s="227"/>
      <c r="P121" s="227"/>
      <c r="Q121" s="227"/>
    </row>
    <row r="122" spans="13:17" x14ac:dyDescent="0.2">
      <c r="M122" s="510"/>
      <c r="N122" s="227"/>
      <c r="O122" s="227"/>
      <c r="P122" s="227"/>
      <c r="Q122" s="227"/>
    </row>
    <row r="123" spans="13:17" x14ac:dyDescent="0.2">
      <c r="M123" s="510"/>
      <c r="N123" s="227"/>
      <c r="O123" s="227"/>
      <c r="P123" s="227"/>
      <c r="Q123" s="227"/>
    </row>
    <row r="124" spans="13:17" x14ac:dyDescent="0.2">
      <c r="M124" s="510"/>
      <c r="N124" s="227"/>
      <c r="O124" s="227"/>
      <c r="P124" s="227"/>
      <c r="Q124" s="227"/>
    </row>
    <row r="125" spans="13:17" x14ac:dyDescent="0.2">
      <c r="M125" s="510"/>
      <c r="N125" s="227"/>
      <c r="O125" s="227"/>
      <c r="P125" s="227"/>
      <c r="Q125" s="227"/>
    </row>
    <row r="126" spans="13:17" x14ac:dyDescent="0.2">
      <c r="M126" s="510"/>
      <c r="N126" s="227"/>
      <c r="O126" s="227"/>
      <c r="P126" s="227"/>
      <c r="Q126" s="227"/>
    </row>
    <row r="127" spans="13:17" x14ac:dyDescent="0.2">
      <c r="M127" s="510"/>
      <c r="N127" s="227"/>
      <c r="O127" s="227"/>
      <c r="P127" s="227"/>
      <c r="Q127" s="227"/>
    </row>
    <row r="128" spans="13:17" x14ac:dyDescent="0.2">
      <c r="M128" s="510"/>
      <c r="N128" s="227"/>
      <c r="O128" s="227"/>
      <c r="P128" s="227"/>
      <c r="Q128" s="227"/>
    </row>
    <row r="129" spans="13:17" x14ac:dyDescent="0.2">
      <c r="M129" s="510"/>
      <c r="N129" s="227"/>
      <c r="O129" s="227"/>
      <c r="P129" s="227"/>
      <c r="Q129" s="227"/>
    </row>
    <row r="130" spans="13:17" x14ac:dyDescent="0.2">
      <c r="M130" s="510"/>
      <c r="N130" s="227"/>
      <c r="O130" s="227"/>
      <c r="P130" s="227"/>
      <c r="Q130" s="227"/>
    </row>
    <row r="131" spans="13:17" x14ac:dyDescent="0.2">
      <c r="M131" s="510"/>
      <c r="N131" s="227"/>
      <c r="O131" s="227"/>
      <c r="P131" s="227"/>
      <c r="Q131" s="227"/>
    </row>
    <row r="132" spans="13:17" x14ac:dyDescent="0.2">
      <c r="M132" s="510"/>
      <c r="N132" s="227"/>
      <c r="O132" s="227"/>
      <c r="P132" s="227"/>
      <c r="Q132" s="227"/>
    </row>
    <row r="133" spans="13:17" x14ac:dyDescent="0.2">
      <c r="M133" s="510"/>
      <c r="N133" s="227"/>
      <c r="O133" s="227"/>
      <c r="P133" s="227"/>
      <c r="Q133" s="227"/>
    </row>
    <row r="134" spans="13:17" x14ac:dyDescent="0.2">
      <c r="M134" s="510"/>
      <c r="N134" s="227"/>
      <c r="O134" s="227"/>
      <c r="P134" s="227"/>
      <c r="Q134" s="227"/>
    </row>
    <row r="135" spans="13:17" x14ac:dyDescent="0.2">
      <c r="M135" s="510"/>
      <c r="N135" s="227"/>
      <c r="O135" s="227"/>
      <c r="P135" s="227"/>
      <c r="Q135" s="227"/>
    </row>
    <row r="136" spans="13:17" x14ac:dyDescent="0.2">
      <c r="M136" s="510"/>
      <c r="N136" s="227"/>
      <c r="O136" s="227"/>
      <c r="P136" s="227"/>
      <c r="Q136" s="227"/>
    </row>
    <row r="137" spans="13:17" x14ac:dyDescent="0.2">
      <c r="M137" s="510"/>
      <c r="N137" s="227"/>
      <c r="O137" s="227"/>
      <c r="P137" s="227"/>
      <c r="Q137" s="227"/>
    </row>
    <row r="138" spans="13:17" x14ac:dyDescent="0.2">
      <c r="M138" s="510"/>
      <c r="N138" s="227"/>
      <c r="O138" s="227"/>
      <c r="P138" s="227"/>
      <c r="Q138" s="227"/>
    </row>
    <row r="139" spans="13:17" x14ac:dyDescent="0.2">
      <c r="M139" s="510"/>
      <c r="N139" s="227"/>
      <c r="O139" s="227"/>
      <c r="P139" s="227"/>
      <c r="Q139" s="227"/>
    </row>
    <row r="140" spans="13:17" x14ac:dyDescent="0.2">
      <c r="M140" s="510"/>
      <c r="N140" s="227"/>
      <c r="O140" s="227"/>
      <c r="P140" s="227"/>
      <c r="Q140" s="227"/>
    </row>
    <row r="141" spans="13:17" x14ac:dyDescent="0.2">
      <c r="M141" s="510"/>
      <c r="N141" s="227"/>
      <c r="O141" s="227"/>
      <c r="P141" s="227"/>
      <c r="Q141" s="227"/>
    </row>
    <row r="142" spans="13:17" x14ac:dyDescent="0.2">
      <c r="M142" s="510"/>
      <c r="N142" s="227"/>
      <c r="O142" s="227"/>
      <c r="P142" s="227"/>
      <c r="Q142" s="227"/>
    </row>
    <row r="143" spans="13:17" x14ac:dyDescent="0.2">
      <c r="M143" s="510"/>
      <c r="N143" s="227"/>
      <c r="O143" s="227"/>
      <c r="P143" s="227"/>
      <c r="Q143" s="227"/>
    </row>
    <row r="144" spans="13:17" x14ac:dyDescent="0.2">
      <c r="M144" s="510"/>
      <c r="N144" s="227"/>
      <c r="O144" s="227"/>
      <c r="P144" s="227"/>
      <c r="Q144" s="227"/>
    </row>
    <row r="145" spans="13:17" x14ac:dyDescent="0.2">
      <c r="M145" s="510"/>
      <c r="N145" s="227"/>
      <c r="O145" s="227"/>
      <c r="P145" s="227"/>
      <c r="Q145" s="227"/>
    </row>
    <row r="146" spans="13:17" x14ac:dyDescent="0.2">
      <c r="M146" s="510"/>
      <c r="N146" s="227"/>
      <c r="O146" s="227"/>
      <c r="P146" s="227"/>
      <c r="Q146" s="227"/>
    </row>
    <row r="147" spans="13:17" x14ac:dyDescent="0.2">
      <c r="M147" s="510"/>
      <c r="N147" s="227"/>
      <c r="O147" s="227"/>
      <c r="P147" s="227"/>
      <c r="Q147" s="227"/>
    </row>
    <row r="148" spans="13:17" x14ac:dyDescent="0.2">
      <c r="M148" s="510"/>
      <c r="N148" s="227"/>
      <c r="O148" s="227"/>
      <c r="P148" s="227"/>
      <c r="Q148" s="227"/>
    </row>
    <row r="149" spans="13:17" x14ac:dyDescent="0.2">
      <c r="M149" s="510"/>
      <c r="N149" s="227"/>
      <c r="O149" s="227"/>
      <c r="P149" s="227"/>
      <c r="Q149" s="227"/>
    </row>
    <row r="150" spans="13:17" x14ac:dyDescent="0.2">
      <c r="M150" s="510"/>
      <c r="N150" s="227"/>
      <c r="O150" s="227"/>
      <c r="P150" s="227"/>
      <c r="Q150" s="227"/>
    </row>
    <row r="151" spans="13:17" x14ac:dyDescent="0.2">
      <c r="M151" s="510"/>
      <c r="N151" s="227"/>
      <c r="O151" s="227"/>
      <c r="P151" s="227"/>
      <c r="Q151" s="227"/>
    </row>
    <row r="152" spans="13:17" x14ac:dyDescent="0.2">
      <c r="M152" s="510"/>
      <c r="N152" s="227"/>
      <c r="O152" s="227"/>
      <c r="P152" s="227"/>
      <c r="Q152" s="227"/>
    </row>
    <row r="153" spans="13:17" x14ac:dyDescent="0.2">
      <c r="M153" s="510"/>
      <c r="N153" s="227"/>
      <c r="O153" s="227"/>
      <c r="P153" s="227"/>
      <c r="Q153" s="227"/>
    </row>
    <row r="154" spans="13:17" x14ac:dyDescent="0.2">
      <c r="M154" s="510"/>
      <c r="N154" s="227"/>
      <c r="O154" s="227"/>
      <c r="P154" s="227"/>
      <c r="Q154" s="227"/>
    </row>
    <row r="155" spans="13:17" x14ac:dyDescent="0.2">
      <c r="M155" s="510"/>
      <c r="N155" s="227"/>
      <c r="O155" s="227"/>
      <c r="P155" s="227"/>
      <c r="Q155" s="227"/>
    </row>
    <row r="156" spans="13:17" x14ac:dyDescent="0.2">
      <c r="M156" s="510"/>
      <c r="N156" s="227"/>
      <c r="O156" s="227"/>
      <c r="P156" s="227"/>
      <c r="Q156" s="227"/>
    </row>
    <row r="157" spans="13:17" x14ac:dyDescent="0.2">
      <c r="M157" s="510"/>
      <c r="N157" s="227"/>
      <c r="O157" s="227"/>
      <c r="P157" s="227"/>
      <c r="Q157" s="227"/>
    </row>
    <row r="158" spans="13:17" x14ac:dyDescent="0.2">
      <c r="M158" s="510"/>
      <c r="N158" s="227"/>
      <c r="O158" s="227"/>
      <c r="P158" s="227"/>
      <c r="Q158" s="227"/>
    </row>
    <row r="159" spans="13:17" x14ac:dyDescent="0.2">
      <c r="M159" s="510"/>
      <c r="N159" s="227"/>
      <c r="O159" s="227"/>
      <c r="P159" s="227"/>
      <c r="Q159" s="227"/>
    </row>
    <row r="160" spans="13:17" x14ac:dyDescent="0.2">
      <c r="M160" s="510"/>
      <c r="N160" s="227"/>
      <c r="O160" s="227"/>
      <c r="P160" s="227"/>
      <c r="Q160" s="227"/>
    </row>
    <row r="161" spans="13:17" x14ac:dyDescent="0.2">
      <c r="M161" s="510"/>
      <c r="N161" s="227"/>
      <c r="O161" s="227"/>
      <c r="P161" s="227"/>
      <c r="Q161" s="227"/>
    </row>
    <row r="162" spans="13:17" x14ac:dyDescent="0.2">
      <c r="M162" s="510"/>
      <c r="N162" s="227"/>
      <c r="O162" s="227"/>
      <c r="P162" s="227"/>
      <c r="Q162" s="227"/>
    </row>
    <row r="163" spans="13:17" x14ac:dyDescent="0.2">
      <c r="M163" s="510"/>
      <c r="N163" s="227"/>
      <c r="O163" s="227"/>
      <c r="P163" s="227"/>
      <c r="Q163" s="227"/>
    </row>
    <row r="164" spans="13:17" x14ac:dyDescent="0.2">
      <c r="M164" s="510"/>
      <c r="N164" s="227"/>
      <c r="O164" s="227"/>
      <c r="P164" s="227"/>
      <c r="Q164" s="227"/>
    </row>
    <row r="165" spans="13:17" x14ac:dyDescent="0.2">
      <c r="M165" s="510"/>
      <c r="N165" s="227"/>
      <c r="O165" s="227"/>
      <c r="P165" s="227"/>
      <c r="Q165" s="227"/>
    </row>
    <row r="166" spans="13:17" x14ac:dyDescent="0.2">
      <c r="M166" s="510"/>
      <c r="N166" s="227"/>
      <c r="O166" s="227"/>
      <c r="P166" s="227"/>
      <c r="Q166" s="227"/>
    </row>
    <row r="167" spans="13:17" x14ac:dyDescent="0.2">
      <c r="M167" s="510"/>
      <c r="N167" s="227"/>
      <c r="O167" s="227"/>
      <c r="P167" s="227"/>
      <c r="Q167" s="227"/>
    </row>
    <row r="168" spans="13:17" x14ac:dyDescent="0.2">
      <c r="M168" s="510"/>
      <c r="N168" s="227"/>
      <c r="O168" s="227"/>
      <c r="P168" s="227"/>
      <c r="Q168" s="227"/>
    </row>
    <row r="169" spans="13:17" x14ac:dyDescent="0.2">
      <c r="M169" s="510"/>
      <c r="N169" s="227"/>
      <c r="O169" s="227"/>
      <c r="P169" s="227"/>
      <c r="Q169" s="227"/>
    </row>
    <row r="170" spans="13:17" x14ac:dyDescent="0.2">
      <c r="M170" s="510"/>
      <c r="N170" s="227"/>
      <c r="O170" s="227"/>
      <c r="P170" s="227"/>
      <c r="Q170" s="227"/>
    </row>
    <row r="171" spans="13:17" x14ac:dyDescent="0.2">
      <c r="M171" s="510"/>
      <c r="N171" s="227"/>
      <c r="O171" s="227"/>
      <c r="P171" s="227"/>
      <c r="Q171" s="227"/>
    </row>
    <row r="172" spans="13:17" x14ac:dyDescent="0.2">
      <c r="M172" s="510"/>
      <c r="N172" s="227"/>
      <c r="O172" s="227"/>
      <c r="P172" s="227"/>
      <c r="Q172" s="227"/>
    </row>
    <row r="173" spans="13:17" x14ac:dyDescent="0.2">
      <c r="M173" s="510"/>
      <c r="N173" s="227"/>
      <c r="O173" s="227"/>
      <c r="P173" s="227"/>
      <c r="Q173" s="227"/>
    </row>
    <row r="174" spans="13:17" x14ac:dyDescent="0.2">
      <c r="M174" s="510"/>
      <c r="N174" s="227"/>
      <c r="O174" s="227"/>
      <c r="P174" s="227"/>
      <c r="Q174" s="227"/>
    </row>
    <row r="175" spans="13:17" x14ac:dyDescent="0.2">
      <c r="M175" s="510"/>
      <c r="N175" s="227"/>
      <c r="O175" s="227"/>
      <c r="P175" s="227"/>
      <c r="Q175" s="227"/>
    </row>
    <row r="176" spans="13:17" x14ac:dyDescent="0.2">
      <c r="M176" s="510"/>
      <c r="N176" s="227"/>
      <c r="O176" s="227"/>
      <c r="P176" s="227"/>
      <c r="Q176" s="227"/>
    </row>
    <row r="177" spans="13:17" x14ac:dyDescent="0.2">
      <c r="M177" s="510"/>
      <c r="N177" s="227"/>
      <c r="O177" s="227"/>
      <c r="P177" s="227"/>
      <c r="Q177" s="227"/>
    </row>
    <row r="178" spans="13:17" x14ac:dyDescent="0.2">
      <c r="M178" s="510"/>
      <c r="N178" s="227"/>
      <c r="O178" s="227"/>
      <c r="P178" s="227"/>
      <c r="Q178" s="227"/>
    </row>
    <row r="179" spans="13:17" x14ac:dyDescent="0.2">
      <c r="M179" s="510"/>
      <c r="N179" s="227"/>
      <c r="O179" s="227"/>
      <c r="P179" s="227"/>
      <c r="Q179" s="227"/>
    </row>
    <row r="180" spans="13:17" x14ac:dyDescent="0.2">
      <c r="M180" s="510"/>
      <c r="N180" s="227"/>
      <c r="O180" s="227"/>
      <c r="P180" s="227"/>
      <c r="Q180" s="227"/>
    </row>
    <row r="181" spans="13:17" x14ac:dyDescent="0.2">
      <c r="M181" s="510"/>
      <c r="N181" s="227"/>
      <c r="O181" s="227"/>
      <c r="P181" s="227"/>
      <c r="Q181" s="227"/>
    </row>
    <row r="182" spans="13:17" x14ac:dyDescent="0.2">
      <c r="M182" s="510"/>
      <c r="N182" s="227"/>
      <c r="O182" s="227"/>
      <c r="P182" s="227"/>
      <c r="Q182" s="227"/>
    </row>
    <row r="183" spans="13:17" x14ac:dyDescent="0.2">
      <c r="M183" s="510"/>
      <c r="N183" s="227"/>
      <c r="O183" s="227"/>
      <c r="P183" s="227"/>
      <c r="Q183" s="227"/>
    </row>
    <row r="184" spans="13:17" x14ac:dyDescent="0.2">
      <c r="M184" s="510"/>
      <c r="N184" s="227"/>
      <c r="O184" s="227"/>
      <c r="P184" s="227"/>
      <c r="Q184" s="227"/>
    </row>
    <row r="185" spans="13:17" x14ac:dyDescent="0.2">
      <c r="M185" s="510"/>
      <c r="N185" s="227"/>
      <c r="O185" s="227"/>
      <c r="P185" s="227"/>
      <c r="Q185" s="227"/>
    </row>
    <row r="186" spans="13:17" x14ac:dyDescent="0.2">
      <c r="M186" s="510"/>
      <c r="N186" s="227"/>
      <c r="O186" s="227"/>
      <c r="P186" s="227"/>
      <c r="Q186" s="227"/>
    </row>
    <row r="187" spans="13:17" x14ac:dyDescent="0.2">
      <c r="M187" s="510"/>
      <c r="N187" s="227"/>
      <c r="O187" s="227"/>
      <c r="P187" s="227"/>
      <c r="Q187" s="227"/>
    </row>
    <row r="188" spans="13:17" x14ac:dyDescent="0.2">
      <c r="M188" s="510"/>
      <c r="N188" s="227"/>
      <c r="O188" s="227"/>
      <c r="P188" s="227"/>
      <c r="Q188" s="227"/>
    </row>
    <row r="189" spans="13:17" x14ac:dyDescent="0.2">
      <c r="M189" s="510"/>
      <c r="N189" s="227"/>
      <c r="O189" s="227"/>
      <c r="P189" s="227"/>
      <c r="Q189" s="227"/>
    </row>
    <row r="190" spans="13:17" x14ac:dyDescent="0.2">
      <c r="M190" s="510"/>
      <c r="N190" s="227"/>
      <c r="O190" s="227"/>
      <c r="P190" s="227"/>
      <c r="Q190" s="227"/>
    </row>
    <row r="191" spans="13:17" x14ac:dyDescent="0.2">
      <c r="M191" s="510"/>
      <c r="N191" s="227"/>
      <c r="O191" s="227"/>
      <c r="P191" s="227"/>
      <c r="Q191" s="227"/>
    </row>
    <row r="192" spans="13:17" x14ac:dyDescent="0.2">
      <c r="M192" s="510"/>
      <c r="N192" s="227"/>
      <c r="O192" s="227"/>
      <c r="P192" s="227"/>
      <c r="Q192" s="227"/>
    </row>
    <row r="193" spans="13:17" x14ac:dyDescent="0.2">
      <c r="M193" s="510"/>
      <c r="N193" s="227"/>
      <c r="O193" s="227"/>
      <c r="P193" s="227"/>
      <c r="Q193" s="227"/>
    </row>
    <row r="194" spans="13:17" x14ac:dyDescent="0.2">
      <c r="M194" s="510"/>
      <c r="N194" s="227"/>
      <c r="O194" s="227"/>
      <c r="P194" s="227"/>
      <c r="Q194" s="227"/>
    </row>
    <row r="195" spans="13:17" x14ac:dyDescent="0.2">
      <c r="M195" s="510"/>
      <c r="N195" s="227"/>
      <c r="O195" s="227"/>
      <c r="P195" s="227"/>
      <c r="Q195" s="227"/>
    </row>
    <row r="196" spans="13:17" x14ac:dyDescent="0.2">
      <c r="M196" s="510"/>
      <c r="N196" s="227"/>
      <c r="O196" s="227"/>
      <c r="P196" s="227"/>
      <c r="Q196" s="227"/>
    </row>
    <row r="197" spans="13:17" x14ac:dyDescent="0.2">
      <c r="M197" s="510"/>
      <c r="N197" s="227"/>
      <c r="O197" s="227"/>
      <c r="P197" s="227"/>
      <c r="Q197" s="227"/>
    </row>
    <row r="198" spans="13:17" x14ac:dyDescent="0.2">
      <c r="M198" s="510"/>
      <c r="N198" s="227"/>
      <c r="O198" s="227"/>
      <c r="P198" s="227"/>
      <c r="Q198" s="227"/>
    </row>
    <row r="199" spans="13:17" x14ac:dyDescent="0.2">
      <c r="M199" s="510"/>
      <c r="N199" s="227"/>
      <c r="O199" s="227"/>
      <c r="P199" s="227"/>
      <c r="Q199" s="227"/>
    </row>
    <row r="200" spans="13:17" x14ac:dyDescent="0.2">
      <c r="M200" s="510"/>
      <c r="N200" s="227"/>
      <c r="O200" s="227"/>
      <c r="P200" s="227"/>
      <c r="Q200" s="227"/>
    </row>
    <row r="201" spans="13:17" x14ac:dyDescent="0.2">
      <c r="M201" s="510"/>
      <c r="N201" s="227"/>
      <c r="O201" s="227"/>
      <c r="P201" s="227"/>
      <c r="Q201" s="227"/>
    </row>
    <row r="202" spans="13:17" x14ac:dyDescent="0.2">
      <c r="M202" s="510"/>
      <c r="N202" s="227"/>
      <c r="O202" s="227"/>
      <c r="P202" s="227"/>
      <c r="Q202" s="227"/>
    </row>
    <row r="203" spans="13:17" x14ac:dyDescent="0.2">
      <c r="M203" s="510"/>
      <c r="N203" s="227"/>
      <c r="O203" s="227"/>
      <c r="P203" s="227"/>
      <c r="Q203" s="227"/>
    </row>
    <row r="204" spans="13:17" x14ac:dyDescent="0.2">
      <c r="M204" s="510"/>
      <c r="N204" s="227"/>
      <c r="O204" s="227"/>
      <c r="P204" s="227"/>
      <c r="Q204" s="227"/>
    </row>
    <row r="205" spans="13:17" x14ac:dyDescent="0.2">
      <c r="M205" s="510"/>
      <c r="N205" s="227"/>
      <c r="O205" s="227"/>
      <c r="P205" s="227"/>
      <c r="Q205" s="227"/>
    </row>
    <row r="206" spans="13:17" x14ac:dyDescent="0.2">
      <c r="M206" s="510"/>
      <c r="N206" s="227"/>
      <c r="O206" s="227"/>
      <c r="P206" s="227"/>
      <c r="Q206" s="227"/>
    </row>
    <row r="207" spans="13:17" x14ac:dyDescent="0.2">
      <c r="M207" s="510"/>
      <c r="N207" s="227"/>
      <c r="O207" s="227"/>
      <c r="P207" s="227"/>
      <c r="Q207" s="227"/>
    </row>
    <row r="208" spans="13:17" x14ac:dyDescent="0.2">
      <c r="M208" s="510"/>
      <c r="N208" s="227"/>
      <c r="O208" s="227"/>
      <c r="P208" s="227"/>
      <c r="Q208" s="227"/>
    </row>
    <row r="209" spans="13:17" x14ac:dyDescent="0.2">
      <c r="M209" s="510"/>
      <c r="N209" s="227"/>
      <c r="O209" s="227"/>
      <c r="P209" s="227"/>
      <c r="Q209" s="227"/>
    </row>
    <row r="210" spans="13:17" x14ac:dyDescent="0.2">
      <c r="M210" s="510"/>
      <c r="N210" s="227"/>
      <c r="O210" s="227"/>
      <c r="P210" s="227"/>
      <c r="Q210" s="227"/>
    </row>
    <row r="211" spans="13:17" x14ac:dyDescent="0.2">
      <c r="M211" s="510"/>
      <c r="N211" s="227"/>
      <c r="O211" s="227"/>
      <c r="P211" s="227"/>
      <c r="Q211" s="227"/>
    </row>
    <row r="212" spans="13:17" x14ac:dyDescent="0.2">
      <c r="M212" s="510"/>
      <c r="N212" s="227"/>
      <c r="O212" s="227"/>
      <c r="P212" s="227"/>
      <c r="Q212" s="227"/>
    </row>
    <row r="213" spans="13:17" x14ac:dyDescent="0.2">
      <c r="M213" s="510"/>
      <c r="N213" s="227"/>
      <c r="O213" s="227"/>
      <c r="P213" s="227"/>
      <c r="Q213" s="227"/>
    </row>
    <row r="214" spans="13:17" x14ac:dyDescent="0.2">
      <c r="M214" s="510"/>
      <c r="N214" s="227"/>
      <c r="O214" s="227"/>
      <c r="P214" s="227"/>
      <c r="Q214" s="227"/>
    </row>
    <row r="215" spans="13:17" x14ac:dyDescent="0.2">
      <c r="M215" s="510"/>
      <c r="N215" s="227"/>
      <c r="O215" s="227"/>
      <c r="P215" s="227"/>
      <c r="Q215" s="227"/>
    </row>
    <row r="216" spans="13:17" x14ac:dyDescent="0.2">
      <c r="M216" s="510"/>
      <c r="N216" s="227"/>
      <c r="O216" s="227"/>
      <c r="P216" s="227"/>
      <c r="Q216" s="227"/>
    </row>
    <row r="217" spans="13:17" x14ac:dyDescent="0.2">
      <c r="M217" s="510"/>
      <c r="N217" s="227"/>
      <c r="O217" s="227"/>
      <c r="P217" s="227"/>
      <c r="Q217" s="227"/>
    </row>
    <row r="218" spans="13:17" x14ac:dyDescent="0.2">
      <c r="M218" s="510"/>
      <c r="N218" s="227"/>
      <c r="O218" s="227"/>
      <c r="P218" s="227"/>
      <c r="Q218" s="227"/>
    </row>
    <row r="219" spans="13:17" x14ac:dyDescent="0.2">
      <c r="M219" s="510"/>
      <c r="N219" s="227"/>
      <c r="O219" s="227"/>
      <c r="P219" s="227"/>
      <c r="Q219" s="227"/>
    </row>
    <row r="220" spans="13:17" x14ac:dyDescent="0.2">
      <c r="M220" s="510"/>
      <c r="N220" s="227"/>
      <c r="O220" s="227"/>
      <c r="P220" s="227"/>
      <c r="Q220" s="227"/>
    </row>
    <row r="221" spans="13:17" x14ac:dyDescent="0.2">
      <c r="M221" s="510"/>
      <c r="N221" s="227"/>
      <c r="O221" s="227"/>
      <c r="P221" s="227"/>
      <c r="Q221" s="227"/>
    </row>
    <row r="222" spans="13:17" x14ac:dyDescent="0.2">
      <c r="M222" s="510"/>
      <c r="N222" s="227"/>
      <c r="O222" s="227"/>
      <c r="P222" s="227"/>
      <c r="Q222" s="227"/>
    </row>
    <row r="223" spans="13:17" x14ac:dyDescent="0.2">
      <c r="M223" s="510"/>
      <c r="N223" s="227"/>
      <c r="O223" s="227"/>
      <c r="P223" s="227"/>
      <c r="Q223" s="227"/>
    </row>
    <row r="224" spans="13:17" x14ac:dyDescent="0.2">
      <c r="M224" s="510"/>
      <c r="N224" s="227"/>
      <c r="O224" s="227"/>
      <c r="P224" s="227"/>
      <c r="Q224" s="227"/>
    </row>
    <row r="225" spans="13:17" x14ac:dyDescent="0.2">
      <c r="M225" s="510"/>
      <c r="N225" s="227"/>
      <c r="O225" s="227"/>
      <c r="P225" s="227"/>
      <c r="Q225" s="227"/>
    </row>
    <row r="226" spans="13:17" x14ac:dyDescent="0.2">
      <c r="M226" s="510"/>
      <c r="N226" s="227"/>
      <c r="O226" s="227"/>
      <c r="P226" s="227"/>
      <c r="Q226" s="227"/>
    </row>
    <row r="227" spans="13:17" x14ac:dyDescent="0.2">
      <c r="M227" s="510"/>
      <c r="N227" s="227"/>
      <c r="O227" s="227"/>
      <c r="P227" s="227"/>
      <c r="Q227" s="227"/>
    </row>
    <row r="228" spans="13:17" x14ac:dyDescent="0.2">
      <c r="M228" s="510"/>
      <c r="N228" s="227"/>
      <c r="O228" s="227"/>
      <c r="P228" s="227"/>
      <c r="Q228" s="227"/>
    </row>
    <row r="229" spans="13:17" x14ac:dyDescent="0.2">
      <c r="M229" s="510"/>
      <c r="N229" s="227"/>
      <c r="O229" s="227"/>
      <c r="P229" s="227"/>
      <c r="Q229" s="227"/>
    </row>
    <row r="230" spans="13:17" x14ac:dyDescent="0.2">
      <c r="M230" s="510"/>
      <c r="N230" s="227"/>
      <c r="O230" s="227"/>
      <c r="P230" s="227"/>
      <c r="Q230" s="227"/>
    </row>
    <row r="231" spans="13:17" x14ac:dyDescent="0.2">
      <c r="M231" s="510"/>
      <c r="N231" s="227"/>
      <c r="O231" s="227"/>
      <c r="P231" s="227"/>
      <c r="Q231" s="227"/>
    </row>
    <row r="232" spans="13:17" x14ac:dyDescent="0.2">
      <c r="M232" s="510"/>
      <c r="N232" s="227"/>
      <c r="O232" s="227"/>
      <c r="P232" s="227"/>
      <c r="Q232" s="227"/>
    </row>
    <row r="233" spans="13:17" x14ac:dyDescent="0.2">
      <c r="M233" s="510"/>
      <c r="N233" s="227"/>
      <c r="O233" s="227"/>
      <c r="P233" s="227"/>
      <c r="Q233" s="227"/>
    </row>
    <row r="234" spans="13:17" x14ac:dyDescent="0.2">
      <c r="M234" s="510"/>
      <c r="N234" s="227"/>
      <c r="O234" s="227"/>
      <c r="P234" s="227"/>
      <c r="Q234" s="227"/>
    </row>
    <row r="235" spans="13:17" x14ac:dyDescent="0.2">
      <c r="M235" s="510"/>
      <c r="N235" s="227"/>
      <c r="O235" s="227"/>
      <c r="P235" s="227"/>
      <c r="Q235" s="227"/>
    </row>
    <row r="236" spans="13:17" x14ac:dyDescent="0.2">
      <c r="M236" s="510"/>
      <c r="N236" s="227"/>
      <c r="O236" s="227"/>
      <c r="P236" s="227"/>
      <c r="Q236" s="227"/>
    </row>
    <row r="237" spans="13:17" x14ac:dyDescent="0.2">
      <c r="M237" s="510"/>
      <c r="N237" s="227"/>
      <c r="O237" s="227"/>
      <c r="P237" s="227"/>
      <c r="Q237" s="227"/>
    </row>
    <row r="238" spans="13:17" x14ac:dyDescent="0.2">
      <c r="M238" s="510"/>
      <c r="N238" s="227"/>
      <c r="O238" s="227"/>
      <c r="P238" s="227"/>
      <c r="Q238" s="227"/>
    </row>
    <row r="239" spans="13:17" x14ac:dyDescent="0.2">
      <c r="M239" s="510"/>
      <c r="N239" s="227"/>
      <c r="O239" s="227"/>
      <c r="P239" s="227"/>
      <c r="Q239" s="227"/>
    </row>
    <row r="240" spans="13:17" x14ac:dyDescent="0.2">
      <c r="M240" s="510"/>
      <c r="N240" s="227"/>
      <c r="O240" s="227"/>
      <c r="P240" s="227"/>
      <c r="Q240" s="227"/>
    </row>
    <row r="241" spans="13:17" x14ac:dyDescent="0.2">
      <c r="M241" s="510"/>
      <c r="N241" s="227"/>
      <c r="O241" s="227"/>
      <c r="P241" s="227"/>
      <c r="Q241" s="227"/>
    </row>
    <row r="242" spans="13:17" x14ac:dyDescent="0.2">
      <c r="M242" s="510"/>
      <c r="N242" s="227"/>
      <c r="O242" s="227"/>
      <c r="P242" s="227"/>
      <c r="Q242" s="227"/>
    </row>
    <row r="243" spans="13:17" x14ac:dyDescent="0.2">
      <c r="M243" s="510"/>
      <c r="N243" s="227"/>
      <c r="O243" s="227"/>
      <c r="P243" s="227"/>
      <c r="Q243" s="227"/>
    </row>
    <row r="244" spans="13:17" x14ac:dyDescent="0.2">
      <c r="M244" s="510"/>
      <c r="N244" s="227"/>
      <c r="O244" s="227"/>
      <c r="P244" s="227"/>
      <c r="Q244" s="227"/>
    </row>
    <row r="245" spans="13:17" x14ac:dyDescent="0.2">
      <c r="M245" s="510"/>
      <c r="N245" s="227"/>
      <c r="O245" s="227"/>
      <c r="P245" s="227"/>
      <c r="Q245" s="227"/>
    </row>
    <row r="246" spans="13:17" x14ac:dyDescent="0.2">
      <c r="M246" s="510"/>
      <c r="N246" s="227"/>
      <c r="O246" s="227"/>
      <c r="P246" s="227"/>
      <c r="Q246" s="227"/>
    </row>
    <row r="247" spans="13:17" x14ac:dyDescent="0.2">
      <c r="M247" s="510"/>
      <c r="N247" s="227"/>
      <c r="O247" s="227"/>
      <c r="P247" s="227"/>
      <c r="Q247" s="227"/>
    </row>
    <row r="248" spans="13:17" x14ac:dyDescent="0.2">
      <c r="M248" s="510"/>
      <c r="N248" s="227"/>
      <c r="O248" s="227"/>
      <c r="P248" s="227"/>
      <c r="Q248" s="227"/>
    </row>
    <row r="249" spans="13:17" x14ac:dyDescent="0.2">
      <c r="M249" s="510"/>
      <c r="N249" s="227"/>
      <c r="O249" s="227"/>
      <c r="P249" s="227"/>
      <c r="Q249" s="227"/>
    </row>
    <row r="250" spans="13:17" x14ac:dyDescent="0.2">
      <c r="M250" s="510"/>
      <c r="N250" s="227"/>
      <c r="O250" s="227"/>
      <c r="P250" s="227"/>
      <c r="Q250" s="227"/>
    </row>
    <row r="251" spans="13:17" x14ac:dyDescent="0.2">
      <c r="M251" s="510"/>
      <c r="N251" s="227"/>
      <c r="O251" s="227"/>
      <c r="P251" s="227"/>
      <c r="Q251" s="227"/>
    </row>
    <row r="252" spans="13:17" x14ac:dyDescent="0.2">
      <c r="M252" s="510"/>
      <c r="N252" s="227"/>
      <c r="O252" s="227"/>
      <c r="P252" s="227"/>
      <c r="Q252" s="227"/>
    </row>
    <row r="253" spans="13:17" x14ac:dyDescent="0.2">
      <c r="M253" s="510"/>
      <c r="N253" s="227"/>
      <c r="O253" s="227"/>
      <c r="P253" s="227"/>
      <c r="Q253" s="227"/>
    </row>
    <row r="254" spans="13:17" x14ac:dyDescent="0.2">
      <c r="M254" s="510"/>
      <c r="N254" s="227"/>
      <c r="O254" s="227"/>
      <c r="P254" s="227"/>
      <c r="Q254" s="227"/>
    </row>
    <row r="255" spans="13:17" x14ac:dyDescent="0.2">
      <c r="M255" s="510"/>
      <c r="N255" s="227"/>
      <c r="O255" s="227"/>
      <c r="P255" s="227"/>
      <c r="Q255" s="227"/>
    </row>
    <row r="256" spans="13:17" x14ac:dyDescent="0.2">
      <c r="M256" s="510"/>
      <c r="N256" s="227"/>
      <c r="O256" s="227"/>
      <c r="P256" s="227"/>
      <c r="Q256" s="227"/>
    </row>
    <row r="257" spans="13:17" x14ac:dyDescent="0.2">
      <c r="M257" s="510"/>
      <c r="N257" s="227"/>
      <c r="O257" s="227"/>
      <c r="P257" s="227"/>
      <c r="Q257" s="227"/>
    </row>
    <row r="258" spans="13:17" x14ac:dyDescent="0.2">
      <c r="M258" s="510"/>
      <c r="N258" s="227"/>
      <c r="O258" s="227"/>
      <c r="P258" s="227"/>
      <c r="Q258" s="227"/>
    </row>
    <row r="259" spans="13:17" x14ac:dyDescent="0.2">
      <c r="M259" s="510"/>
      <c r="N259" s="227"/>
      <c r="O259" s="227"/>
      <c r="P259" s="227"/>
      <c r="Q259" s="227"/>
    </row>
    <row r="260" spans="13:17" x14ac:dyDescent="0.2">
      <c r="M260" s="510"/>
      <c r="N260" s="227"/>
      <c r="O260" s="227"/>
      <c r="P260" s="227"/>
      <c r="Q260" s="227"/>
    </row>
    <row r="261" spans="13:17" x14ac:dyDescent="0.2">
      <c r="M261" s="510"/>
      <c r="N261" s="227"/>
      <c r="O261" s="227"/>
      <c r="P261" s="227"/>
      <c r="Q261" s="227"/>
    </row>
    <row r="262" spans="13:17" x14ac:dyDescent="0.2">
      <c r="M262" s="510"/>
      <c r="N262" s="227"/>
      <c r="O262" s="227"/>
      <c r="P262" s="227"/>
      <c r="Q262" s="227"/>
    </row>
    <row r="263" spans="13:17" x14ac:dyDescent="0.2">
      <c r="M263" s="510"/>
      <c r="N263" s="227"/>
      <c r="O263" s="227"/>
      <c r="P263" s="227"/>
      <c r="Q263" s="227"/>
    </row>
    <row r="264" spans="13:17" x14ac:dyDescent="0.2">
      <c r="M264" s="510"/>
      <c r="N264" s="227"/>
      <c r="O264" s="227"/>
      <c r="P264" s="227"/>
      <c r="Q264" s="227"/>
    </row>
    <row r="265" spans="13:17" x14ac:dyDescent="0.2">
      <c r="M265" s="510"/>
      <c r="N265" s="227"/>
      <c r="O265" s="227"/>
      <c r="P265" s="227"/>
      <c r="Q265" s="227"/>
    </row>
    <row r="266" spans="13:17" x14ac:dyDescent="0.2">
      <c r="M266" s="510"/>
      <c r="N266" s="227"/>
      <c r="O266" s="227"/>
      <c r="P266" s="227"/>
      <c r="Q266" s="227"/>
    </row>
    <row r="267" spans="13:17" x14ac:dyDescent="0.2">
      <c r="M267" s="510"/>
      <c r="N267" s="227"/>
      <c r="O267" s="227"/>
      <c r="P267" s="227"/>
      <c r="Q267" s="227"/>
    </row>
    <row r="268" spans="13:17" x14ac:dyDescent="0.2">
      <c r="M268" s="510"/>
      <c r="N268" s="227"/>
      <c r="O268" s="227"/>
      <c r="P268" s="227"/>
      <c r="Q268" s="227"/>
    </row>
    <row r="269" spans="13:17" x14ac:dyDescent="0.2">
      <c r="M269" s="510"/>
      <c r="N269" s="227"/>
      <c r="O269" s="227"/>
      <c r="P269" s="227"/>
      <c r="Q269" s="227"/>
    </row>
    <row r="270" spans="13:17" x14ac:dyDescent="0.2">
      <c r="M270" s="510"/>
      <c r="N270" s="227"/>
      <c r="O270" s="227"/>
      <c r="P270" s="227"/>
      <c r="Q270" s="227"/>
    </row>
    <row r="271" spans="13:17" x14ac:dyDescent="0.2">
      <c r="M271" s="510"/>
      <c r="N271" s="227"/>
      <c r="O271" s="227"/>
      <c r="P271" s="227"/>
      <c r="Q271" s="227"/>
    </row>
    <row r="272" spans="13:17" x14ac:dyDescent="0.2">
      <c r="M272" s="510"/>
      <c r="N272" s="227"/>
      <c r="O272" s="227"/>
      <c r="P272" s="227"/>
      <c r="Q272" s="227"/>
    </row>
    <row r="273" spans="13:17" x14ac:dyDescent="0.2">
      <c r="M273" s="510"/>
      <c r="N273" s="227"/>
      <c r="O273" s="227"/>
      <c r="P273" s="227"/>
      <c r="Q273" s="227"/>
    </row>
    <row r="274" spans="13:17" x14ac:dyDescent="0.2">
      <c r="M274" s="510"/>
      <c r="N274" s="227"/>
      <c r="O274" s="227"/>
      <c r="P274" s="227"/>
      <c r="Q274" s="227"/>
    </row>
    <row r="275" spans="13:17" x14ac:dyDescent="0.2">
      <c r="M275" s="510"/>
      <c r="N275" s="227"/>
      <c r="O275" s="227"/>
      <c r="P275" s="227"/>
      <c r="Q275" s="227"/>
    </row>
    <row r="276" spans="13:17" x14ac:dyDescent="0.2">
      <c r="M276" s="510"/>
      <c r="N276" s="227"/>
      <c r="O276" s="227"/>
      <c r="P276" s="227"/>
      <c r="Q276" s="227"/>
    </row>
    <row r="277" spans="13:17" x14ac:dyDescent="0.2">
      <c r="M277" s="510"/>
      <c r="N277" s="227"/>
      <c r="O277" s="227"/>
      <c r="P277" s="227"/>
      <c r="Q277" s="227"/>
    </row>
    <row r="278" spans="13:17" x14ac:dyDescent="0.2">
      <c r="M278" s="510"/>
      <c r="N278" s="227"/>
      <c r="O278" s="227"/>
      <c r="P278" s="227"/>
      <c r="Q278" s="227"/>
    </row>
    <row r="279" spans="13:17" x14ac:dyDescent="0.2">
      <c r="M279" s="510"/>
      <c r="N279" s="227"/>
      <c r="O279" s="227"/>
      <c r="P279" s="227"/>
      <c r="Q279" s="227"/>
    </row>
    <row r="280" spans="13:17" x14ac:dyDescent="0.2">
      <c r="M280" s="510"/>
      <c r="N280" s="227"/>
      <c r="O280" s="227"/>
      <c r="P280" s="227"/>
      <c r="Q280" s="227"/>
    </row>
    <row r="281" spans="13:17" x14ac:dyDescent="0.2">
      <c r="M281" s="510"/>
      <c r="N281" s="227"/>
      <c r="O281" s="227"/>
      <c r="P281" s="227"/>
      <c r="Q281" s="227"/>
    </row>
    <row r="282" spans="13:17" x14ac:dyDescent="0.2">
      <c r="M282" s="510"/>
      <c r="N282" s="227"/>
      <c r="O282" s="227"/>
      <c r="P282" s="227"/>
      <c r="Q282" s="227"/>
    </row>
    <row r="283" spans="13:17" x14ac:dyDescent="0.2">
      <c r="M283" s="510"/>
      <c r="N283" s="227"/>
      <c r="O283" s="227"/>
      <c r="P283" s="227"/>
      <c r="Q283" s="227"/>
    </row>
    <row r="284" spans="13:17" x14ac:dyDescent="0.2">
      <c r="M284" s="510"/>
      <c r="N284" s="227"/>
      <c r="O284" s="227"/>
      <c r="P284" s="227"/>
      <c r="Q284" s="227"/>
    </row>
    <row r="285" spans="13:17" x14ac:dyDescent="0.2">
      <c r="M285" s="510"/>
      <c r="N285" s="227"/>
      <c r="O285" s="227"/>
      <c r="P285" s="227"/>
      <c r="Q285" s="227"/>
    </row>
    <row r="286" spans="13:17" x14ac:dyDescent="0.2">
      <c r="M286" s="510"/>
      <c r="N286" s="227"/>
      <c r="O286" s="227"/>
      <c r="P286" s="227"/>
      <c r="Q286" s="227"/>
    </row>
    <row r="287" spans="13:17" x14ac:dyDescent="0.2">
      <c r="M287" s="510"/>
      <c r="N287" s="227"/>
      <c r="O287" s="227"/>
      <c r="P287" s="227"/>
      <c r="Q287" s="227"/>
    </row>
    <row r="288" spans="13:17" x14ac:dyDescent="0.2">
      <c r="M288" s="510"/>
      <c r="N288" s="227"/>
      <c r="O288" s="227"/>
      <c r="P288" s="227"/>
      <c r="Q288" s="227"/>
    </row>
    <row r="289" spans="13:17" x14ac:dyDescent="0.2">
      <c r="M289" s="510"/>
      <c r="N289" s="227"/>
      <c r="O289" s="227"/>
      <c r="P289" s="227"/>
      <c r="Q289" s="227"/>
    </row>
    <row r="290" spans="13:17" x14ac:dyDescent="0.2">
      <c r="M290" s="510"/>
      <c r="N290" s="227"/>
      <c r="O290" s="227"/>
      <c r="P290" s="227"/>
      <c r="Q290" s="227"/>
    </row>
    <row r="291" spans="13:17" x14ac:dyDescent="0.2">
      <c r="M291" s="510"/>
      <c r="N291" s="227"/>
      <c r="O291" s="227"/>
      <c r="P291" s="227"/>
      <c r="Q291" s="227"/>
    </row>
    <row r="292" spans="13:17" x14ac:dyDescent="0.2">
      <c r="M292" s="510"/>
      <c r="N292" s="227"/>
      <c r="O292" s="227"/>
      <c r="P292" s="227"/>
      <c r="Q292" s="227"/>
    </row>
    <row r="293" spans="13:17" x14ac:dyDescent="0.2">
      <c r="M293" s="510"/>
      <c r="N293" s="227"/>
      <c r="O293" s="227"/>
      <c r="P293" s="227"/>
      <c r="Q293" s="227"/>
    </row>
    <row r="294" spans="13:17" x14ac:dyDescent="0.2">
      <c r="M294" s="510"/>
      <c r="N294" s="227"/>
      <c r="O294" s="227"/>
      <c r="P294" s="227"/>
      <c r="Q294" s="227"/>
    </row>
    <row r="295" spans="13:17" x14ac:dyDescent="0.2">
      <c r="M295" s="510"/>
      <c r="N295" s="227"/>
      <c r="O295" s="227"/>
      <c r="P295" s="227"/>
      <c r="Q295" s="227"/>
    </row>
    <row r="296" spans="13:17" x14ac:dyDescent="0.2">
      <c r="M296" s="510"/>
      <c r="N296" s="227"/>
      <c r="O296" s="227"/>
      <c r="P296" s="227"/>
      <c r="Q296" s="227"/>
    </row>
    <row r="297" spans="13:17" x14ac:dyDescent="0.2">
      <c r="M297" s="510"/>
      <c r="N297" s="227"/>
      <c r="O297" s="227"/>
      <c r="P297" s="227"/>
      <c r="Q297" s="227"/>
    </row>
    <row r="298" spans="13:17" x14ac:dyDescent="0.2">
      <c r="M298" s="510"/>
      <c r="N298" s="227"/>
      <c r="O298" s="227"/>
      <c r="P298" s="227"/>
      <c r="Q298" s="227"/>
    </row>
    <row r="299" spans="13:17" x14ac:dyDescent="0.2">
      <c r="M299" s="510"/>
      <c r="N299" s="227"/>
      <c r="O299" s="227"/>
      <c r="P299" s="227"/>
      <c r="Q299" s="227"/>
    </row>
    <row r="300" spans="13:17" x14ac:dyDescent="0.2">
      <c r="M300" s="510"/>
      <c r="N300" s="227"/>
      <c r="O300" s="227"/>
      <c r="P300" s="227"/>
      <c r="Q300" s="227"/>
    </row>
    <row r="301" spans="13:17" x14ac:dyDescent="0.2">
      <c r="M301" s="510"/>
      <c r="N301" s="227"/>
      <c r="O301" s="227"/>
      <c r="P301" s="227"/>
      <c r="Q301" s="227"/>
    </row>
    <row r="302" spans="13:17" x14ac:dyDescent="0.2">
      <c r="M302" s="510"/>
      <c r="N302" s="227"/>
      <c r="O302" s="227"/>
      <c r="P302" s="227"/>
      <c r="Q302" s="227"/>
    </row>
    <row r="303" spans="13:17" x14ac:dyDescent="0.2">
      <c r="M303" s="510"/>
      <c r="N303" s="227"/>
      <c r="O303" s="227"/>
      <c r="P303" s="227"/>
      <c r="Q303" s="227"/>
    </row>
    <row r="304" spans="13:17" x14ac:dyDescent="0.2">
      <c r="M304" s="510"/>
      <c r="N304" s="227"/>
      <c r="O304" s="227"/>
      <c r="P304" s="227"/>
      <c r="Q304" s="227"/>
    </row>
    <row r="305" spans="13:17" x14ac:dyDescent="0.2">
      <c r="M305" s="510"/>
      <c r="N305" s="227"/>
      <c r="O305" s="227"/>
      <c r="P305" s="227"/>
      <c r="Q305" s="227"/>
    </row>
    <row r="306" spans="13:17" x14ac:dyDescent="0.2">
      <c r="M306" s="510"/>
      <c r="N306" s="227"/>
      <c r="O306" s="227"/>
      <c r="P306" s="227"/>
      <c r="Q306" s="227"/>
    </row>
    <row r="307" spans="13:17" x14ac:dyDescent="0.2">
      <c r="M307" s="510"/>
      <c r="N307" s="227"/>
      <c r="O307" s="227"/>
      <c r="P307" s="227"/>
      <c r="Q307" s="227"/>
    </row>
    <row r="308" spans="13:17" x14ac:dyDescent="0.2">
      <c r="M308" s="510"/>
      <c r="N308" s="227"/>
      <c r="O308" s="227"/>
      <c r="P308" s="227"/>
      <c r="Q308" s="227"/>
    </row>
    <row r="309" spans="13:17" x14ac:dyDescent="0.2">
      <c r="M309" s="510"/>
      <c r="N309" s="227"/>
      <c r="O309" s="227"/>
      <c r="P309" s="227"/>
      <c r="Q309" s="227"/>
    </row>
    <row r="310" spans="13:17" x14ac:dyDescent="0.2">
      <c r="M310" s="510"/>
      <c r="N310" s="227"/>
      <c r="O310" s="227"/>
      <c r="P310" s="227"/>
      <c r="Q310" s="227"/>
    </row>
    <row r="311" spans="13:17" x14ac:dyDescent="0.2">
      <c r="M311" s="510"/>
      <c r="N311" s="227"/>
      <c r="O311" s="227"/>
      <c r="P311" s="227"/>
      <c r="Q311" s="227"/>
    </row>
    <row r="312" spans="13:17" x14ac:dyDescent="0.2">
      <c r="M312" s="510"/>
      <c r="N312" s="227"/>
      <c r="O312" s="227"/>
      <c r="P312" s="227"/>
      <c r="Q312" s="227"/>
    </row>
    <row r="313" spans="13:17" x14ac:dyDescent="0.2">
      <c r="M313" s="510"/>
      <c r="N313" s="227"/>
      <c r="O313" s="227"/>
      <c r="P313" s="227"/>
      <c r="Q313" s="227"/>
    </row>
    <row r="314" spans="13:17" x14ac:dyDescent="0.2">
      <c r="M314" s="510"/>
      <c r="N314" s="227"/>
      <c r="O314" s="227"/>
      <c r="P314" s="227"/>
      <c r="Q314" s="227"/>
    </row>
    <row r="315" spans="13:17" x14ac:dyDescent="0.2">
      <c r="M315" s="510"/>
      <c r="N315" s="227"/>
      <c r="O315" s="227"/>
      <c r="P315" s="227"/>
      <c r="Q315" s="227"/>
    </row>
    <row r="316" spans="13:17" x14ac:dyDescent="0.2">
      <c r="M316" s="510"/>
      <c r="N316" s="227"/>
      <c r="O316" s="227"/>
      <c r="P316" s="227"/>
      <c r="Q316" s="227"/>
    </row>
    <row r="317" spans="13:17" x14ac:dyDescent="0.2">
      <c r="M317" s="510"/>
      <c r="N317" s="227"/>
      <c r="O317" s="227"/>
      <c r="P317" s="227"/>
      <c r="Q317" s="227"/>
    </row>
    <row r="318" spans="13:17" x14ac:dyDescent="0.2">
      <c r="M318" s="510"/>
      <c r="N318" s="227"/>
      <c r="O318" s="227"/>
      <c r="P318" s="227"/>
      <c r="Q318" s="227"/>
    </row>
    <row r="319" spans="13:17" x14ac:dyDescent="0.2">
      <c r="M319" s="510"/>
      <c r="N319" s="227"/>
      <c r="O319" s="227"/>
      <c r="P319" s="227"/>
      <c r="Q319" s="227"/>
    </row>
    <row r="320" spans="13:17" x14ac:dyDescent="0.2">
      <c r="M320" s="510"/>
      <c r="N320" s="227"/>
      <c r="O320" s="227"/>
      <c r="P320" s="227"/>
      <c r="Q320" s="227"/>
    </row>
    <row r="321" spans="13:17" x14ac:dyDescent="0.2">
      <c r="M321" s="510"/>
      <c r="N321" s="227"/>
      <c r="O321" s="227"/>
      <c r="P321" s="227"/>
      <c r="Q321" s="227"/>
    </row>
    <row r="322" spans="13:17" x14ac:dyDescent="0.2">
      <c r="M322" s="510"/>
      <c r="N322" s="227"/>
      <c r="O322" s="227"/>
      <c r="P322" s="227"/>
      <c r="Q322" s="227"/>
    </row>
    <row r="323" spans="13:17" x14ac:dyDescent="0.2">
      <c r="M323" s="510"/>
      <c r="N323" s="227"/>
      <c r="O323" s="227"/>
      <c r="P323" s="227"/>
      <c r="Q323" s="227"/>
    </row>
    <row r="324" spans="13:17" x14ac:dyDescent="0.2">
      <c r="M324" s="510"/>
      <c r="N324" s="227"/>
      <c r="O324" s="227"/>
      <c r="P324" s="227"/>
      <c r="Q324" s="227"/>
    </row>
    <row r="325" spans="13:17" x14ac:dyDescent="0.2">
      <c r="M325" s="510"/>
      <c r="N325" s="227"/>
      <c r="O325" s="227"/>
      <c r="P325" s="227"/>
      <c r="Q325" s="227"/>
    </row>
    <row r="326" spans="13:17" x14ac:dyDescent="0.2">
      <c r="M326" s="510"/>
      <c r="N326" s="227"/>
      <c r="O326" s="227"/>
      <c r="P326" s="227"/>
      <c r="Q326" s="227"/>
    </row>
    <row r="327" spans="13:17" x14ac:dyDescent="0.2">
      <c r="M327" s="510"/>
      <c r="N327" s="227"/>
      <c r="O327" s="227"/>
      <c r="P327" s="227"/>
      <c r="Q327" s="227"/>
    </row>
    <row r="328" spans="13:17" x14ac:dyDescent="0.2">
      <c r="M328" s="510"/>
      <c r="N328" s="227"/>
      <c r="O328" s="227"/>
      <c r="P328" s="227"/>
      <c r="Q328" s="227"/>
    </row>
    <row r="329" spans="13:17" x14ac:dyDescent="0.2">
      <c r="M329" s="510"/>
      <c r="N329" s="227"/>
      <c r="O329" s="227"/>
      <c r="P329" s="227"/>
      <c r="Q329" s="227"/>
    </row>
    <row r="330" spans="13:17" x14ac:dyDescent="0.2">
      <c r="M330" s="510"/>
      <c r="N330" s="227"/>
      <c r="O330" s="227"/>
      <c r="P330" s="227"/>
      <c r="Q330" s="227"/>
    </row>
    <row r="331" spans="13:17" x14ac:dyDescent="0.2">
      <c r="M331" s="510"/>
      <c r="N331" s="227"/>
      <c r="O331" s="227"/>
      <c r="P331" s="227"/>
      <c r="Q331" s="227"/>
    </row>
    <row r="332" spans="13:17" x14ac:dyDescent="0.2">
      <c r="M332" s="510"/>
      <c r="N332" s="227"/>
      <c r="O332" s="227"/>
      <c r="P332" s="227"/>
      <c r="Q332" s="227"/>
    </row>
    <row r="333" spans="13:17" x14ac:dyDescent="0.2">
      <c r="M333" s="510"/>
      <c r="N333" s="227"/>
      <c r="O333" s="227"/>
      <c r="P333" s="227"/>
      <c r="Q333" s="227"/>
    </row>
    <row r="334" spans="13:17" x14ac:dyDescent="0.2">
      <c r="M334" s="510"/>
      <c r="N334" s="227"/>
      <c r="O334" s="227"/>
      <c r="P334" s="227"/>
      <c r="Q334" s="227"/>
    </row>
    <row r="335" spans="13:17" x14ac:dyDescent="0.2">
      <c r="M335" s="510"/>
      <c r="N335" s="227"/>
      <c r="O335" s="227"/>
      <c r="P335" s="227"/>
      <c r="Q335" s="227"/>
    </row>
    <row r="336" spans="13:17" x14ac:dyDescent="0.2">
      <c r="M336" s="510"/>
      <c r="N336" s="227"/>
      <c r="O336" s="227"/>
      <c r="P336" s="227"/>
      <c r="Q336" s="227"/>
    </row>
    <row r="337" spans="13:17" x14ac:dyDescent="0.2">
      <c r="M337" s="510"/>
      <c r="N337" s="227"/>
      <c r="O337" s="227"/>
      <c r="P337" s="227"/>
      <c r="Q337" s="227"/>
    </row>
    <row r="338" spans="13:17" x14ac:dyDescent="0.2">
      <c r="M338" s="510"/>
      <c r="N338" s="227"/>
      <c r="O338" s="227"/>
      <c r="P338" s="227"/>
      <c r="Q338" s="227"/>
    </row>
    <row r="339" spans="13:17" x14ac:dyDescent="0.2">
      <c r="M339" s="510"/>
      <c r="N339" s="227"/>
      <c r="O339" s="227"/>
      <c r="P339" s="227"/>
      <c r="Q339" s="227"/>
    </row>
    <row r="340" spans="13:17" x14ac:dyDescent="0.2">
      <c r="M340" s="510"/>
      <c r="N340" s="227"/>
      <c r="O340" s="227"/>
      <c r="P340" s="227"/>
      <c r="Q340" s="227"/>
    </row>
    <row r="341" spans="13:17" x14ac:dyDescent="0.2">
      <c r="M341" s="510"/>
      <c r="N341" s="227"/>
      <c r="O341" s="227"/>
      <c r="P341" s="227"/>
      <c r="Q341" s="227"/>
    </row>
    <row r="342" spans="13:17" x14ac:dyDescent="0.2">
      <c r="M342" s="510"/>
      <c r="N342" s="227"/>
      <c r="O342" s="227"/>
      <c r="P342" s="227"/>
      <c r="Q342" s="227"/>
    </row>
    <row r="343" spans="13:17" x14ac:dyDescent="0.2">
      <c r="M343" s="510"/>
      <c r="N343" s="227"/>
      <c r="O343" s="227"/>
      <c r="P343" s="227"/>
      <c r="Q343" s="227"/>
    </row>
    <row r="344" spans="13:17" x14ac:dyDescent="0.2">
      <c r="M344" s="510"/>
      <c r="N344" s="227"/>
      <c r="O344" s="227"/>
      <c r="P344" s="227"/>
      <c r="Q344" s="227"/>
    </row>
    <row r="345" spans="13:17" x14ac:dyDescent="0.2">
      <c r="M345" s="510"/>
      <c r="N345" s="227"/>
      <c r="O345" s="227"/>
      <c r="P345" s="227"/>
      <c r="Q345" s="227"/>
    </row>
    <row r="346" spans="13:17" x14ac:dyDescent="0.2">
      <c r="M346" s="510"/>
      <c r="N346" s="227"/>
      <c r="O346" s="227"/>
      <c r="P346" s="227"/>
      <c r="Q346" s="227"/>
    </row>
    <row r="347" spans="13:17" x14ac:dyDescent="0.2">
      <c r="M347" s="510"/>
      <c r="N347" s="227"/>
      <c r="O347" s="227"/>
      <c r="P347" s="227"/>
      <c r="Q347" s="227"/>
    </row>
    <row r="348" spans="13:17" x14ac:dyDescent="0.2">
      <c r="M348" s="510"/>
      <c r="N348" s="227"/>
      <c r="O348" s="227"/>
      <c r="P348" s="227"/>
      <c r="Q348" s="227"/>
    </row>
    <row r="349" spans="13:17" x14ac:dyDescent="0.2">
      <c r="M349" s="510"/>
      <c r="N349" s="227"/>
      <c r="O349" s="227"/>
      <c r="P349" s="227"/>
      <c r="Q349" s="227"/>
    </row>
    <row r="350" spans="13:17" x14ac:dyDescent="0.2">
      <c r="M350" s="510"/>
      <c r="N350" s="227"/>
      <c r="O350" s="227"/>
      <c r="P350" s="227"/>
      <c r="Q350" s="227"/>
    </row>
    <row r="351" spans="13:17" x14ac:dyDescent="0.2">
      <c r="M351" s="510"/>
      <c r="N351" s="227"/>
      <c r="O351" s="227"/>
      <c r="P351" s="227"/>
      <c r="Q351" s="227"/>
    </row>
    <row r="352" spans="13:17" x14ac:dyDescent="0.2">
      <c r="M352" s="510"/>
      <c r="N352" s="227"/>
      <c r="O352" s="227"/>
      <c r="P352" s="227"/>
      <c r="Q352" s="227"/>
    </row>
    <row r="353" spans="13:17" x14ac:dyDescent="0.2">
      <c r="M353" s="510"/>
      <c r="N353" s="227"/>
      <c r="O353" s="227"/>
      <c r="P353" s="227"/>
      <c r="Q353" s="227"/>
    </row>
    <row r="354" spans="13:17" x14ac:dyDescent="0.2">
      <c r="M354" s="510"/>
      <c r="N354" s="227"/>
      <c r="O354" s="227"/>
      <c r="P354" s="227"/>
      <c r="Q354" s="227"/>
    </row>
    <row r="355" spans="13:17" x14ac:dyDescent="0.2">
      <c r="M355" s="510"/>
      <c r="N355" s="227"/>
      <c r="O355" s="227"/>
      <c r="P355" s="227"/>
      <c r="Q355" s="227"/>
    </row>
    <row r="356" spans="13:17" x14ac:dyDescent="0.2">
      <c r="M356" s="510"/>
      <c r="N356" s="227"/>
      <c r="O356" s="227"/>
      <c r="P356" s="227"/>
      <c r="Q356" s="227"/>
    </row>
    <row r="357" spans="13:17" x14ac:dyDescent="0.2">
      <c r="M357" s="510"/>
      <c r="N357" s="227"/>
      <c r="O357" s="227"/>
      <c r="P357" s="227"/>
      <c r="Q357" s="227"/>
    </row>
    <row r="358" spans="13:17" x14ac:dyDescent="0.2">
      <c r="M358" s="510"/>
      <c r="N358" s="227"/>
      <c r="O358" s="227"/>
      <c r="P358" s="227"/>
      <c r="Q358" s="227"/>
    </row>
    <row r="359" spans="13:17" x14ac:dyDescent="0.2">
      <c r="M359" s="510"/>
      <c r="N359" s="227"/>
      <c r="O359" s="227"/>
      <c r="P359" s="227"/>
      <c r="Q359" s="227"/>
    </row>
    <row r="360" spans="13:17" x14ac:dyDescent="0.2">
      <c r="M360" s="510"/>
      <c r="N360" s="227"/>
      <c r="O360" s="227"/>
      <c r="P360" s="227"/>
      <c r="Q360" s="227"/>
    </row>
    <row r="361" spans="13:17" x14ac:dyDescent="0.2">
      <c r="M361" s="510"/>
      <c r="N361" s="227"/>
      <c r="O361" s="227"/>
      <c r="P361" s="227"/>
      <c r="Q361" s="227"/>
    </row>
    <row r="362" spans="13:17" x14ac:dyDescent="0.2">
      <c r="M362" s="510"/>
      <c r="N362" s="227"/>
      <c r="O362" s="227"/>
      <c r="P362" s="227"/>
      <c r="Q362" s="227"/>
    </row>
    <row r="363" spans="13:17" x14ac:dyDescent="0.2">
      <c r="M363" s="510"/>
      <c r="N363" s="227"/>
      <c r="O363" s="227"/>
      <c r="P363" s="227"/>
      <c r="Q363" s="227"/>
    </row>
    <row r="364" spans="13:17" x14ac:dyDescent="0.2">
      <c r="M364" s="510"/>
      <c r="N364" s="227"/>
      <c r="O364" s="227"/>
      <c r="P364" s="227"/>
      <c r="Q364" s="227"/>
    </row>
    <row r="365" spans="13:17" x14ac:dyDescent="0.2">
      <c r="M365" s="510"/>
      <c r="N365" s="227"/>
      <c r="O365" s="227"/>
      <c r="P365" s="227"/>
      <c r="Q365" s="227"/>
    </row>
    <row r="366" spans="13:17" x14ac:dyDescent="0.2">
      <c r="M366" s="510"/>
      <c r="N366" s="227"/>
      <c r="O366" s="227"/>
      <c r="P366" s="227"/>
      <c r="Q366" s="227"/>
    </row>
    <row r="367" spans="13:17" x14ac:dyDescent="0.2">
      <c r="M367" s="510"/>
      <c r="N367" s="227"/>
      <c r="O367" s="227"/>
      <c r="P367" s="227"/>
      <c r="Q367" s="227"/>
    </row>
    <row r="368" spans="13:17" x14ac:dyDescent="0.2">
      <c r="M368" s="510"/>
      <c r="N368" s="227"/>
      <c r="O368" s="227"/>
      <c r="P368" s="227"/>
      <c r="Q368" s="227"/>
    </row>
    <row r="369" spans="13:17" x14ac:dyDescent="0.2">
      <c r="M369" s="510"/>
      <c r="N369" s="227"/>
      <c r="O369" s="227"/>
      <c r="P369" s="227"/>
      <c r="Q369" s="227"/>
    </row>
    <row r="370" spans="13:17" x14ac:dyDescent="0.2">
      <c r="M370" s="510"/>
      <c r="N370" s="227"/>
      <c r="O370" s="227"/>
      <c r="P370" s="227"/>
      <c r="Q370" s="227"/>
    </row>
    <row r="371" spans="13:17" x14ac:dyDescent="0.2">
      <c r="M371" s="510"/>
      <c r="N371" s="227"/>
      <c r="O371" s="227"/>
      <c r="P371" s="227"/>
      <c r="Q371" s="227"/>
    </row>
    <row r="372" spans="13:17" x14ac:dyDescent="0.2">
      <c r="M372" s="510"/>
      <c r="N372" s="227"/>
      <c r="O372" s="227"/>
      <c r="P372" s="227"/>
      <c r="Q372" s="227"/>
    </row>
    <row r="373" spans="13:17" x14ac:dyDescent="0.2">
      <c r="M373" s="510"/>
      <c r="N373" s="227"/>
      <c r="O373" s="227"/>
      <c r="P373" s="227"/>
      <c r="Q373" s="227"/>
    </row>
    <row r="374" spans="13:17" x14ac:dyDescent="0.2">
      <c r="M374" s="510"/>
      <c r="N374" s="227"/>
      <c r="O374" s="227"/>
      <c r="P374" s="227"/>
      <c r="Q374" s="227"/>
    </row>
    <row r="375" spans="13:17" x14ac:dyDescent="0.2">
      <c r="M375" s="510"/>
      <c r="N375" s="227"/>
      <c r="O375" s="227"/>
      <c r="P375" s="227"/>
      <c r="Q375" s="227"/>
    </row>
    <row r="376" spans="13:17" x14ac:dyDescent="0.2">
      <c r="M376" s="510"/>
      <c r="N376" s="227"/>
      <c r="O376" s="227"/>
      <c r="P376" s="227"/>
      <c r="Q376" s="227"/>
    </row>
    <row r="377" spans="13:17" x14ac:dyDescent="0.2">
      <c r="M377" s="510"/>
      <c r="N377" s="227"/>
      <c r="O377" s="227"/>
      <c r="P377" s="227"/>
      <c r="Q377" s="227"/>
    </row>
    <row r="378" spans="13:17" x14ac:dyDescent="0.2">
      <c r="M378" s="510"/>
      <c r="N378" s="227"/>
      <c r="O378" s="227"/>
      <c r="P378" s="227"/>
      <c r="Q378" s="227"/>
    </row>
    <row r="379" spans="13:17" x14ac:dyDescent="0.2">
      <c r="M379" s="510"/>
      <c r="N379" s="227"/>
      <c r="O379" s="227"/>
      <c r="P379" s="227"/>
      <c r="Q379" s="227"/>
    </row>
    <row r="380" spans="13:17" x14ac:dyDescent="0.2">
      <c r="M380" s="510"/>
      <c r="N380" s="227"/>
      <c r="O380" s="227"/>
      <c r="P380" s="227"/>
      <c r="Q380" s="227"/>
    </row>
    <row r="381" spans="13:17" x14ac:dyDescent="0.2">
      <c r="M381" s="510"/>
      <c r="N381" s="227"/>
      <c r="O381" s="227"/>
      <c r="P381" s="227"/>
      <c r="Q381" s="227"/>
    </row>
    <row r="382" spans="13:17" x14ac:dyDescent="0.2">
      <c r="M382" s="510"/>
      <c r="N382" s="227"/>
      <c r="O382" s="227"/>
      <c r="P382" s="227"/>
      <c r="Q382" s="227"/>
    </row>
    <row r="383" spans="13:17" x14ac:dyDescent="0.2">
      <c r="M383" s="510"/>
      <c r="N383" s="227"/>
      <c r="O383" s="227"/>
      <c r="P383" s="227"/>
      <c r="Q383" s="227"/>
    </row>
    <row r="384" spans="13:17" x14ac:dyDescent="0.2">
      <c r="M384" s="510"/>
      <c r="N384" s="227"/>
      <c r="O384" s="227"/>
      <c r="P384" s="227"/>
      <c r="Q384" s="227"/>
    </row>
    <row r="385" spans="13:17" x14ac:dyDescent="0.2">
      <c r="M385" s="510"/>
      <c r="N385" s="227"/>
      <c r="O385" s="227"/>
      <c r="P385" s="227"/>
      <c r="Q385" s="227"/>
    </row>
    <row r="386" spans="13:17" x14ac:dyDescent="0.2">
      <c r="M386" s="510"/>
      <c r="N386" s="227"/>
      <c r="O386" s="227"/>
      <c r="P386" s="227"/>
      <c r="Q386" s="227"/>
    </row>
    <row r="387" spans="13:17" x14ac:dyDescent="0.2">
      <c r="M387" s="510"/>
      <c r="N387" s="227"/>
      <c r="O387" s="227"/>
      <c r="P387" s="227"/>
      <c r="Q387" s="227"/>
    </row>
    <row r="388" spans="13:17" x14ac:dyDescent="0.2">
      <c r="M388" s="510"/>
      <c r="N388" s="227"/>
      <c r="O388" s="227"/>
      <c r="P388" s="227"/>
      <c r="Q388" s="227"/>
    </row>
    <row r="389" spans="13:17" x14ac:dyDescent="0.2">
      <c r="M389" s="510"/>
      <c r="N389" s="227"/>
      <c r="O389" s="227"/>
      <c r="P389" s="227"/>
      <c r="Q389" s="227"/>
    </row>
    <row r="390" spans="13:17" x14ac:dyDescent="0.2">
      <c r="M390" s="510"/>
      <c r="N390" s="227"/>
      <c r="O390" s="227"/>
      <c r="P390" s="227"/>
      <c r="Q390" s="227"/>
    </row>
    <row r="391" spans="13:17" x14ac:dyDescent="0.2">
      <c r="M391" s="510"/>
      <c r="N391" s="227"/>
      <c r="O391" s="227"/>
      <c r="P391" s="227"/>
      <c r="Q391" s="227"/>
    </row>
    <row r="392" spans="13:17" x14ac:dyDescent="0.2">
      <c r="M392" s="510"/>
      <c r="N392" s="227"/>
      <c r="O392" s="227"/>
      <c r="P392" s="227"/>
      <c r="Q392" s="227"/>
    </row>
    <row r="393" spans="13:17" x14ac:dyDescent="0.2">
      <c r="M393" s="510"/>
      <c r="N393" s="227"/>
      <c r="O393" s="227"/>
      <c r="P393" s="227"/>
      <c r="Q393" s="227"/>
    </row>
    <row r="394" spans="13:17" x14ac:dyDescent="0.2">
      <c r="M394" s="510"/>
      <c r="N394" s="227"/>
      <c r="O394" s="227"/>
      <c r="P394" s="227"/>
      <c r="Q394" s="227"/>
    </row>
    <row r="395" spans="13:17" x14ac:dyDescent="0.2">
      <c r="M395" s="510"/>
      <c r="N395" s="227"/>
      <c r="O395" s="227"/>
      <c r="P395" s="227"/>
      <c r="Q395" s="227"/>
    </row>
    <row r="396" spans="13:17" x14ac:dyDescent="0.2">
      <c r="M396" s="510"/>
      <c r="N396" s="227"/>
      <c r="O396" s="227"/>
      <c r="P396" s="227"/>
      <c r="Q396" s="227"/>
    </row>
    <row r="397" spans="13:17" x14ac:dyDescent="0.2">
      <c r="M397" s="510"/>
      <c r="N397" s="227"/>
      <c r="O397" s="227"/>
      <c r="P397" s="227"/>
      <c r="Q397" s="227"/>
    </row>
    <row r="398" spans="13:17" x14ac:dyDescent="0.2">
      <c r="M398" s="510"/>
      <c r="N398" s="227"/>
      <c r="O398" s="227"/>
      <c r="P398" s="227"/>
      <c r="Q398" s="227"/>
    </row>
    <row r="399" spans="13:17" x14ac:dyDescent="0.2">
      <c r="M399" s="510"/>
      <c r="N399" s="227"/>
      <c r="O399" s="227"/>
      <c r="P399" s="227"/>
      <c r="Q399" s="227"/>
    </row>
    <row r="400" spans="13:17" x14ac:dyDescent="0.2">
      <c r="M400" s="510"/>
      <c r="N400" s="227"/>
      <c r="O400" s="227"/>
      <c r="P400" s="227"/>
      <c r="Q400" s="227"/>
    </row>
    <row r="401" spans="13:17" x14ac:dyDescent="0.2">
      <c r="M401" s="510"/>
      <c r="N401" s="227"/>
      <c r="O401" s="227"/>
      <c r="P401" s="227"/>
      <c r="Q401" s="227"/>
    </row>
    <row r="402" spans="13:17" x14ac:dyDescent="0.2">
      <c r="M402" s="510"/>
      <c r="N402" s="227"/>
      <c r="O402" s="227"/>
      <c r="P402" s="227"/>
      <c r="Q402" s="227"/>
    </row>
    <row r="403" spans="13:17" x14ac:dyDescent="0.2">
      <c r="M403" s="510"/>
      <c r="N403" s="227"/>
      <c r="O403" s="227"/>
      <c r="P403" s="227"/>
      <c r="Q403" s="227"/>
    </row>
    <row r="404" spans="13:17" x14ac:dyDescent="0.2">
      <c r="M404" s="510"/>
      <c r="N404" s="227"/>
      <c r="O404" s="227"/>
      <c r="P404" s="227"/>
      <c r="Q404" s="227"/>
    </row>
    <row r="405" spans="13:17" x14ac:dyDescent="0.2">
      <c r="M405" s="510"/>
      <c r="N405" s="227"/>
      <c r="O405" s="227"/>
      <c r="P405" s="227"/>
      <c r="Q405" s="227"/>
    </row>
    <row r="406" spans="13:17" x14ac:dyDescent="0.2">
      <c r="M406" s="510"/>
      <c r="N406" s="227"/>
      <c r="O406" s="227"/>
      <c r="P406" s="227"/>
      <c r="Q406" s="227"/>
    </row>
    <row r="407" spans="13:17" x14ac:dyDescent="0.2">
      <c r="M407" s="510"/>
      <c r="N407" s="227"/>
      <c r="O407" s="227"/>
      <c r="P407" s="227"/>
      <c r="Q407" s="227"/>
    </row>
    <row r="408" spans="13:17" x14ac:dyDescent="0.2">
      <c r="M408" s="510"/>
      <c r="N408" s="227"/>
      <c r="O408" s="227"/>
      <c r="P408" s="227"/>
      <c r="Q408" s="227"/>
    </row>
    <row r="409" spans="13:17" x14ac:dyDescent="0.2">
      <c r="M409" s="510"/>
      <c r="N409" s="227"/>
      <c r="O409" s="227"/>
      <c r="P409" s="227"/>
      <c r="Q409" s="227"/>
    </row>
    <row r="410" spans="13:17" x14ac:dyDescent="0.2">
      <c r="M410" s="510"/>
      <c r="N410" s="227"/>
      <c r="O410" s="227"/>
      <c r="P410" s="227"/>
      <c r="Q410" s="227"/>
    </row>
    <row r="411" spans="13:17" x14ac:dyDescent="0.2">
      <c r="M411" s="510"/>
      <c r="N411" s="227"/>
      <c r="O411" s="227"/>
      <c r="P411" s="227"/>
      <c r="Q411" s="227"/>
    </row>
    <row r="412" spans="13:17" x14ac:dyDescent="0.2">
      <c r="M412" s="510"/>
      <c r="N412" s="227"/>
      <c r="O412" s="227"/>
      <c r="P412" s="227"/>
      <c r="Q412" s="227"/>
    </row>
    <row r="413" spans="13:17" x14ac:dyDescent="0.2">
      <c r="M413" s="510"/>
      <c r="N413" s="227"/>
      <c r="O413" s="227"/>
      <c r="P413" s="227"/>
      <c r="Q413" s="227"/>
    </row>
    <row r="414" spans="13:17" x14ac:dyDescent="0.2">
      <c r="M414" s="510"/>
      <c r="N414" s="227"/>
      <c r="O414" s="227"/>
      <c r="P414" s="227"/>
      <c r="Q414" s="227"/>
    </row>
    <row r="415" spans="13:17" x14ac:dyDescent="0.2">
      <c r="M415" s="510"/>
      <c r="N415" s="227"/>
      <c r="O415" s="227"/>
      <c r="P415" s="227"/>
      <c r="Q415" s="227"/>
    </row>
    <row r="416" spans="13:17" x14ac:dyDescent="0.2">
      <c r="M416" s="510"/>
      <c r="N416" s="227"/>
      <c r="O416" s="227"/>
      <c r="P416" s="227"/>
      <c r="Q416" s="227"/>
    </row>
    <row r="417" spans="13:17" x14ac:dyDescent="0.2">
      <c r="M417" s="510"/>
      <c r="N417" s="227"/>
      <c r="O417" s="227"/>
      <c r="P417" s="227"/>
      <c r="Q417" s="227"/>
    </row>
    <row r="418" spans="13:17" x14ac:dyDescent="0.2">
      <c r="M418" s="510"/>
      <c r="N418" s="227"/>
      <c r="O418" s="227"/>
      <c r="P418" s="227"/>
      <c r="Q418" s="227"/>
    </row>
    <row r="419" spans="13:17" x14ac:dyDescent="0.2">
      <c r="M419" s="510"/>
      <c r="N419" s="227"/>
      <c r="O419" s="227"/>
      <c r="P419" s="227"/>
      <c r="Q419" s="227"/>
    </row>
    <row r="420" spans="13:17" x14ac:dyDescent="0.2">
      <c r="M420" s="510"/>
      <c r="N420" s="227"/>
      <c r="O420" s="227"/>
      <c r="P420" s="227"/>
      <c r="Q420" s="227"/>
    </row>
    <row r="421" spans="13:17" x14ac:dyDescent="0.2">
      <c r="M421" s="510"/>
      <c r="N421" s="227"/>
      <c r="O421" s="227"/>
      <c r="P421" s="227"/>
      <c r="Q421" s="227"/>
    </row>
    <row r="422" spans="13:17" x14ac:dyDescent="0.2">
      <c r="M422" s="510"/>
      <c r="N422" s="227"/>
      <c r="O422" s="227"/>
      <c r="P422" s="227"/>
      <c r="Q422" s="227"/>
    </row>
    <row r="423" spans="13:17" x14ac:dyDescent="0.2">
      <c r="M423" s="510"/>
      <c r="N423" s="227"/>
      <c r="O423" s="227"/>
      <c r="P423" s="227"/>
      <c r="Q423" s="227"/>
    </row>
    <row r="424" spans="13:17" x14ac:dyDescent="0.2">
      <c r="M424" s="510"/>
      <c r="N424" s="227"/>
      <c r="O424" s="227"/>
      <c r="P424" s="227"/>
      <c r="Q424" s="227"/>
    </row>
    <row r="425" spans="13:17" x14ac:dyDescent="0.2">
      <c r="M425" s="510"/>
      <c r="N425" s="227"/>
      <c r="O425" s="227"/>
      <c r="P425" s="227"/>
      <c r="Q425" s="227"/>
    </row>
    <row r="426" spans="13:17" x14ac:dyDescent="0.2">
      <c r="M426" s="510"/>
      <c r="N426" s="227"/>
      <c r="O426" s="227"/>
      <c r="P426" s="227"/>
      <c r="Q426" s="227"/>
    </row>
    <row r="427" spans="13:17" x14ac:dyDescent="0.2">
      <c r="M427" s="510"/>
      <c r="N427" s="227"/>
      <c r="O427" s="227"/>
      <c r="P427" s="227"/>
      <c r="Q427" s="227"/>
    </row>
    <row r="428" spans="13:17" x14ac:dyDescent="0.2">
      <c r="M428" s="510"/>
      <c r="N428" s="227"/>
      <c r="O428" s="227"/>
      <c r="P428" s="227"/>
      <c r="Q428" s="227"/>
    </row>
    <row r="429" spans="13:17" x14ac:dyDescent="0.2">
      <c r="M429" s="510"/>
      <c r="N429" s="227"/>
      <c r="O429" s="227"/>
      <c r="P429" s="227"/>
      <c r="Q429" s="227"/>
    </row>
    <row r="430" spans="13:17" x14ac:dyDescent="0.2">
      <c r="M430" s="510"/>
      <c r="N430" s="227"/>
      <c r="O430" s="227"/>
      <c r="P430" s="227"/>
      <c r="Q430" s="227"/>
    </row>
    <row r="431" spans="13:17" x14ac:dyDescent="0.2">
      <c r="M431" s="510"/>
      <c r="N431" s="227"/>
      <c r="O431" s="227"/>
      <c r="P431" s="227"/>
      <c r="Q431" s="227"/>
    </row>
    <row r="432" spans="13:17" x14ac:dyDescent="0.2">
      <c r="M432" s="510"/>
      <c r="N432" s="227"/>
      <c r="O432" s="227"/>
      <c r="P432" s="227"/>
      <c r="Q432" s="227"/>
    </row>
    <row r="433" spans="13:17" x14ac:dyDescent="0.2">
      <c r="M433" s="510"/>
      <c r="N433" s="227"/>
      <c r="O433" s="227"/>
      <c r="P433" s="227"/>
      <c r="Q433" s="227"/>
    </row>
    <row r="434" spans="13:17" x14ac:dyDescent="0.2">
      <c r="M434" s="510"/>
      <c r="N434" s="227"/>
      <c r="O434" s="227"/>
      <c r="P434" s="227"/>
      <c r="Q434" s="227"/>
    </row>
    <row r="435" spans="13:17" x14ac:dyDescent="0.2">
      <c r="M435" s="510"/>
      <c r="N435" s="227"/>
      <c r="O435" s="227"/>
      <c r="P435" s="227"/>
      <c r="Q435" s="227"/>
    </row>
    <row r="436" spans="13:17" x14ac:dyDescent="0.2">
      <c r="M436" s="510"/>
      <c r="N436" s="227"/>
      <c r="O436" s="227"/>
      <c r="P436" s="227"/>
      <c r="Q436" s="227"/>
    </row>
    <row r="437" spans="13:17" x14ac:dyDescent="0.2">
      <c r="M437" s="510"/>
      <c r="N437" s="227"/>
      <c r="O437" s="227"/>
      <c r="P437" s="227"/>
      <c r="Q437" s="227"/>
    </row>
    <row r="438" spans="13:17" x14ac:dyDescent="0.2">
      <c r="M438" s="510"/>
      <c r="N438" s="227"/>
      <c r="O438" s="227"/>
      <c r="P438" s="227"/>
      <c r="Q438" s="227"/>
    </row>
  </sheetData>
  <dataConsolidate/>
  <mergeCells count="1">
    <mergeCell ref="G22:G26"/>
  </mergeCells>
  <dataValidations count="2">
    <dataValidation type="list" allowBlank="1" showInputMessage="1" showErrorMessage="1" sqref="J1:N1">
      <formula1>$BB$3:$BB$3</formula1>
    </dataValidation>
    <dataValidation type="list" allowBlank="1" showInputMessage="1" showErrorMessage="1" sqref="B1:E1">
      <formula1>$BN$1:$BN$4</formula1>
    </dataValidation>
  </dataValidations>
  <pageMargins left="0.70866141732283472" right="0.70866141732283472" top="0.74803149606299213" bottom="0.74803149606299213" header="0.31496062992125984" footer="0.31496062992125984"/>
  <pageSetup paperSize="9" scale="89" orientation="landscape"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Y463"/>
  <sheetViews>
    <sheetView topLeftCell="M1" zoomScale="80" zoomScaleNormal="80" workbookViewId="0">
      <pane ySplit="4" topLeftCell="A5" activePane="bottomLeft" state="frozen"/>
      <selection pane="bottomLeft" activeCell="Q44" sqref="Q44"/>
    </sheetView>
  </sheetViews>
  <sheetFormatPr defaultColWidth="8.85546875" defaultRowHeight="12.75" x14ac:dyDescent="0.2"/>
  <cols>
    <col min="1" max="1" width="5.7109375" style="19" customWidth="1"/>
    <col min="2" max="2" width="13" style="19" customWidth="1"/>
    <col min="3" max="3" width="21.140625" style="19" customWidth="1"/>
    <col min="4" max="4" width="18.5703125" style="19" customWidth="1"/>
    <col min="5" max="5" width="23.28515625" style="19" customWidth="1"/>
    <col min="6" max="6" width="19.28515625" style="19" customWidth="1"/>
    <col min="7" max="7" width="29.140625" style="19" customWidth="1"/>
    <col min="8" max="8" width="24" style="19" customWidth="1"/>
    <col min="9" max="9" width="25.7109375" style="19" customWidth="1"/>
    <col min="10" max="10" width="41.42578125" style="19" customWidth="1"/>
    <col min="11" max="11" width="30.140625" style="19" bestFit="1" customWidth="1"/>
    <col min="12" max="12" width="35.85546875" style="19" bestFit="1" customWidth="1"/>
    <col min="13" max="13" width="28.28515625" style="19" bestFit="1" customWidth="1"/>
    <col min="14" max="14" width="20" style="19" customWidth="1"/>
    <col min="15" max="15" width="57" style="19" customWidth="1"/>
    <col min="16" max="16" width="21.140625" style="19" customWidth="1"/>
    <col min="17" max="17" width="21.85546875" style="19" customWidth="1"/>
    <col min="18" max="19" width="21.140625" style="628" customWidth="1"/>
    <col min="20" max="20" width="28.42578125" style="19" customWidth="1"/>
    <col min="21" max="24" width="8.85546875" style="19"/>
    <col min="25" max="25" width="52.7109375" style="19" customWidth="1"/>
    <col min="26" max="16384" width="8.85546875" style="19"/>
  </cols>
  <sheetData>
    <row r="1" spans="1:25" ht="13.5" thickBot="1" x14ac:dyDescent="0.25">
      <c r="A1" s="21" t="s">
        <v>80</v>
      </c>
    </row>
    <row r="2" spans="1:25" x14ac:dyDescent="0.2">
      <c r="A2" s="273"/>
      <c r="B2" s="5"/>
      <c r="C2" s="273"/>
      <c r="S2" s="629" t="s">
        <v>56</v>
      </c>
      <c r="T2" s="88" t="s">
        <v>50</v>
      </c>
    </row>
    <row r="3" spans="1:25" ht="13.5" thickBot="1" x14ac:dyDescent="0.25">
      <c r="A3" s="47"/>
      <c r="B3" s="47"/>
      <c r="C3" s="47"/>
      <c r="D3" s="47"/>
      <c r="E3" s="47"/>
      <c r="F3" s="47"/>
      <c r="G3" s="47"/>
      <c r="H3" s="47"/>
      <c r="I3" s="47"/>
      <c r="J3" s="47"/>
      <c r="S3" s="607" t="s">
        <v>55</v>
      </c>
      <c r="T3" s="150">
        <v>2019</v>
      </c>
    </row>
    <row r="4" spans="1:25" ht="97.5" customHeight="1" thickBot="1" x14ac:dyDescent="0.25">
      <c r="A4" s="108" t="s">
        <v>0</v>
      </c>
      <c r="B4" s="108" t="s">
        <v>81</v>
      </c>
      <c r="C4" s="101" t="s">
        <v>1</v>
      </c>
      <c r="D4" s="186" t="s">
        <v>82</v>
      </c>
      <c r="E4" s="186" t="s">
        <v>83</v>
      </c>
      <c r="F4" s="102" t="s">
        <v>84</v>
      </c>
      <c r="G4" s="103" t="s">
        <v>85</v>
      </c>
      <c r="H4" s="108" t="s">
        <v>86</v>
      </c>
      <c r="I4" s="108" t="s">
        <v>87</v>
      </c>
      <c r="J4" s="108" t="s">
        <v>88</v>
      </c>
      <c r="K4" s="108" t="s">
        <v>90</v>
      </c>
      <c r="L4" s="108" t="s">
        <v>91</v>
      </c>
      <c r="M4" s="108" t="s">
        <v>92</v>
      </c>
      <c r="N4" s="108" t="s">
        <v>93</v>
      </c>
      <c r="O4" s="108" t="s">
        <v>4</v>
      </c>
      <c r="P4" s="166" t="s">
        <v>256</v>
      </c>
      <c r="Q4" s="166" t="s">
        <v>89</v>
      </c>
      <c r="R4" s="166" t="s">
        <v>94</v>
      </c>
      <c r="S4" s="166" t="s">
        <v>272</v>
      </c>
      <c r="T4" s="166" t="s">
        <v>95</v>
      </c>
    </row>
    <row r="5" spans="1:25" ht="36.75" customHeight="1" x14ac:dyDescent="0.2">
      <c r="A5" s="239" t="s">
        <v>277</v>
      </c>
      <c r="B5" s="300" t="s">
        <v>278</v>
      </c>
      <c r="C5" s="300" t="s">
        <v>279</v>
      </c>
      <c r="D5" s="325" t="s">
        <v>100</v>
      </c>
      <c r="E5" s="529" t="s">
        <v>1781</v>
      </c>
      <c r="F5" s="301" t="s">
        <v>97</v>
      </c>
      <c r="G5" s="302" t="s">
        <v>282</v>
      </c>
      <c r="H5" s="303" t="s">
        <v>283</v>
      </c>
      <c r="I5" s="304" t="s">
        <v>6</v>
      </c>
      <c r="J5" s="304" t="s">
        <v>284</v>
      </c>
      <c r="K5" s="305">
        <v>1</v>
      </c>
      <c r="L5" s="265" t="s">
        <v>77</v>
      </c>
      <c r="M5" s="265" t="s">
        <v>7</v>
      </c>
      <c r="N5" s="265" t="s">
        <v>7</v>
      </c>
      <c r="O5" s="306"/>
      <c r="P5" s="530" t="s">
        <v>6</v>
      </c>
      <c r="Q5" s="531" t="s">
        <v>7</v>
      </c>
      <c r="R5" s="531" t="s">
        <v>7</v>
      </c>
      <c r="S5" s="532" t="s">
        <v>7</v>
      </c>
      <c r="T5" s="167"/>
      <c r="U5" s="1"/>
    </row>
    <row r="6" spans="1:25" ht="36.75" customHeight="1" x14ac:dyDescent="0.2">
      <c r="A6" s="239" t="s">
        <v>277</v>
      </c>
      <c r="B6" s="300" t="s">
        <v>278</v>
      </c>
      <c r="C6" s="300" t="s">
        <v>279</v>
      </c>
      <c r="D6" s="325" t="s">
        <v>100</v>
      </c>
      <c r="E6" s="529" t="s">
        <v>1781</v>
      </c>
      <c r="F6" s="301" t="s">
        <v>97</v>
      </c>
      <c r="G6" s="302" t="s">
        <v>285</v>
      </c>
      <c r="H6" s="303" t="s">
        <v>283</v>
      </c>
      <c r="I6" s="304" t="s">
        <v>6</v>
      </c>
      <c r="J6" s="304" t="s">
        <v>284</v>
      </c>
      <c r="K6" s="305">
        <v>1</v>
      </c>
      <c r="L6" s="265" t="s">
        <v>77</v>
      </c>
      <c r="M6" s="265" t="s">
        <v>7</v>
      </c>
      <c r="N6" s="265" t="s">
        <v>7</v>
      </c>
      <c r="O6" s="184"/>
      <c r="P6" s="530" t="s">
        <v>6</v>
      </c>
      <c r="Q6" s="531" t="s">
        <v>7</v>
      </c>
      <c r="R6" s="531" t="s">
        <v>7</v>
      </c>
      <c r="S6" s="532" t="s">
        <v>7</v>
      </c>
      <c r="T6" s="168"/>
    </row>
    <row r="7" spans="1:25" ht="36.75" customHeight="1" x14ac:dyDescent="0.2">
      <c r="A7" s="239" t="s">
        <v>277</v>
      </c>
      <c r="B7" s="300" t="s">
        <v>278</v>
      </c>
      <c r="C7" s="300" t="s">
        <v>279</v>
      </c>
      <c r="D7" s="325" t="s">
        <v>100</v>
      </c>
      <c r="E7" s="529" t="s">
        <v>1781</v>
      </c>
      <c r="F7" s="307" t="s">
        <v>286</v>
      </c>
      <c r="G7" s="302" t="s">
        <v>908</v>
      </c>
      <c r="H7" s="303" t="s">
        <v>287</v>
      </c>
      <c r="I7" s="304" t="s">
        <v>6</v>
      </c>
      <c r="J7" s="304" t="s">
        <v>284</v>
      </c>
      <c r="K7" s="305">
        <v>1</v>
      </c>
      <c r="L7" s="265" t="s">
        <v>77</v>
      </c>
      <c r="M7" s="265" t="s">
        <v>7</v>
      </c>
      <c r="N7" s="265" t="s">
        <v>7</v>
      </c>
      <c r="O7" s="306"/>
      <c r="P7" s="530" t="s">
        <v>6</v>
      </c>
      <c r="Q7" s="531" t="s">
        <v>7</v>
      </c>
      <c r="R7" s="531" t="s">
        <v>7</v>
      </c>
      <c r="S7" s="532" t="s">
        <v>7</v>
      </c>
      <c r="T7" s="168"/>
    </row>
    <row r="8" spans="1:25" ht="36.75" customHeight="1" x14ac:dyDescent="0.2">
      <c r="A8" s="239" t="s">
        <v>277</v>
      </c>
      <c r="B8" s="300" t="s">
        <v>278</v>
      </c>
      <c r="C8" s="300" t="s">
        <v>279</v>
      </c>
      <c r="D8" s="325" t="s">
        <v>100</v>
      </c>
      <c r="E8" s="529" t="s">
        <v>1781</v>
      </c>
      <c r="F8" s="307" t="s">
        <v>286</v>
      </c>
      <c r="G8" s="302" t="s">
        <v>909</v>
      </c>
      <c r="H8" s="303" t="s">
        <v>288</v>
      </c>
      <c r="I8" s="304" t="s">
        <v>6</v>
      </c>
      <c r="J8" s="304" t="s">
        <v>284</v>
      </c>
      <c r="K8" s="305">
        <v>1</v>
      </c>
      <c r="L8" s="265" t="s">
        <v>77</v>
      </c>
      <c r="M8" s="265" t="s">
        <v>7</v>
      </c>
      <c r="N8" s="265" t="s">
        <v>7</v>
      </c>
      <c r="O8" s="184"/>
      <c r="P8" s="530" t="s">
        <v>6</v>
      </c>
      <c r="Q8" s="531" t="s">
        <v>7</v>
      </c>
      <c r="R8" s="531" t="s">
        <v>7</v>
      </c>
      <c r="S8" s="532" t="s">
        <v>7</v>
      </c>
      <c r="T8" s="168"/>
    </row>
    <row r="9" spans="1:25" ht="36.75" customHeight="1" x14ac:dyDescent="0.2">
      <c r="A9" s="239" t="s">
        <v>277</v>
      </c>
      <c r="B9" s="300" t="s">
        <v>278</v>
      </c>
      <c r="C9" s="300" t="s">
        <v>279</v>
      </c>
      <c r="D9" s="325" t="s">
        <v>100</v>
      </c>
      <c r="E9" s="529" t="s">
        <v>1781</v>
      </c>
      <c r="F9" s="307" t="s">
        <v>286</v>
      </c>
      <c r="G9" s="302" t="s">
        <v>910</v>
      </c>
      <c r="H9" s="303" t="s">
        <v>289</v>
      </c>
      <c r="I9" s="304" t="s">
        <v>6</v>
      </c>
      <c r="J9" s="304" t="s">
        <v>284</v>
      </c>
      <c r="K9" s="305">
        <v>1</v>
      </c>
      <c r="L9" s="265" t="s">
        <v>77</v>
      </c>
      <c r="M9" s="265" t="s">
        <v>7</v>
      </c>
      <c r="N9" s="265" t="s">
        <v>7</v>
      </c>
      <c r="O9" s="184"/>
      <c r="P9" s="530" t="s">
        <v>6</v>
      </c>
      <c r="Q9" s="531" t="s">
        <v>7</v>
      </c>
      <c r="R9" s="531" t="s">
        <v>7</v>
      </c>
      <c r="S9" s="532" t="s">
        <v>7</v>
      </c>
      <c r="T9" s="168"/>
    </row>
    <row r="10" spans="1:25" ht="36.75" customHeight="1" x14ac:dyDescent="0.2">
      <c r="A10" s="239" t="s">
        <v>277</v>
      </c>
      <c r="B10" s="300" t="s">
        <v>278</v>
      </c>
      <c r="C10" s="300" t="s">
        <v>279</v>
      </c>
      <c r="D10" s="325" t="s">
        <v>100</v>
      </c>
      <c r="E10" s="529" t="s">
        <v>1781</v>
      </c>
      <c r="F10" s="307" t="s">
        <v>286</v>
      </c>
      <c r="G10" s="302" t="s">
        <v>911</v>
      </c>
      <c r="H10" s="303" t="s">
        <v>290</v>
      </c>
      <c r="I10" s="304" t="s">
        <v>6</v>
      </c>
      <c r="J10" s="304" t="s">
        <v>284</v>
      </c>
      <c r="K10" s="305">
        <v>1</v>
      </c>
      <c r="L10" s="265" t="s">
        <v>77</v>
      </c>
      <c r="M10" s="265" t="s">
        <v>7</v>
      </c>
      <c r="N10" s="265" t="s">
        <v>7</v>
      </c>
      <c r="O10" s="184"/>
      <c r="P10" s="530" t="s">
        <v>6</v>
      </c>
      <c r="Q10" s="531" t="s">
        <v>7</v>
      </c>
      <c r="R10" s="531" t="s">
        <v>7</v>
      </c>
      <c r="S10" s="532" t="s">
        <v>7</v>
      </c>
      <c r="T10" s="267"/>
    </row>
    <row r="11" spans="1:25" ht="36.75" customHeight="1" x14ac:dyDescent="0.2">
      <c r="A11" s="239" t="s">
        <v>277</v>
      </c>
      <c r="B11" s="300" t="s">
        <v>278</v>
      </c>
      <c r="C11" s="300" t="s">
        <v>279</v>
      </c>
      <c r="D11" s="325" t="s">
        <v>100</v>
      </c>
      <c r="E11" s="529" t="s">
        <v>1781</v>
      </c>
      <c r="F11" s="307" t="s">
        <v>286</v>
      </c>
      <c r="G11" s="302" t="s">
        <v>912</v>
      </c>
      <c r="H11" s="303" t="s">
        <v>291</v>
      </c>
      <c r="I11" s="304" t="s">
        <v>6</v>
      </c>
      <c r="J11" s="304" t="s">
        <v>284</v>
      </c>
      <c r="K11" s="305">
        <v>1</v>
      </c>
      <c r="L11" s="265" t="s">
        <v>77</v>
      </c>
      <c r="M11" s="265" t="s">
        <v>7</v>
      </c>
      <c r="N11" s="265" t="s">
        <v>7</v>
      </c>
      <c r="O11" s="184"/>
      <c r="P11" s="530" t="s">
        <v>6</v>
      </c>
      <c r="Q11" s="531" t="s">
        <v>7</v>
      </c>
      <c r="R11" s="531" t="s">
        <v>7</v>
      </c>
      <c r="S11" s="532" t="s">
        <v>7</v>
      </c>
      <c r="T11" s="283"/>
      <c r="U11" s="30"/>
      <c r="V11" s="30"/>
      <c r="W11" s="30"/>
      <c r="X11" s="30"/>
      <c r="Y11" s="30"/>
    </row>
    <row r="12" spans="1:25" ht="36.75" customHeight="1" x14ac:dyDescent="0.2">
      <c r="A12" s="239" t="s">
        <v>277</v>
      </c>
      <c r="B12" s="300" t="s">
        <v>278</v>
      </c>
      <c r="C12" s="300" t="s">
        <v>279</v>
      </c>
      <c r="D12" s="325" t="s">
        <v>100</v>
      </c>
      <c r="E12" s="529" t="s">
        <v>1781</v>
      </c>
      <c r="F12" s="307" t="s">
        <v>303</v>
      </c>
      <c r="G12" s="308" t="s">
        <v>300</v>
      </c>
      <c r="H12" s="309" t="s">
        <v>304</v>
      </c>
      <c r="I12" s="304" t="s">
        <v>6</v>
      </c>
      <c r="J12" s="304" t="s">
        <v>284</v>
      </c>
      <c r="K12" s="305">
        <v>1</v>
      </c>
      <c r="L12" s="265" t="s">
        <v>77</v>
      </c>
      <c r="M12" s="265" t="s">
        <v>7</v>
      </c>
      <c r="N12" s="265" t="s">
        <v>7</v>
      </c>
      <c r="O12" s="184"/>
      <c r="P12" s="530" t="s">
        <v>6</v>
      </c>
      <c r="Q12" s="531" t="s">
        <v>7</v>
      </c>
      <c r="R12" s="531" t="s">
        <v>7</v>
      </c>
      <c r="S12" s="532" t="s">
        <v>7</v>
      </c>
      <c r="T12" s="283"/>
      <c r="U12" s="30"/>
      <c r="V12" s="30"/>
      <c r="W12" s="30"/>
      <c r="X12" s="30"/>
      <c r="Y12" s="30"/>
    </row>
    <row r="13" spans="1:25" ht="36.75" customHeight="1" x14ac:dyDescent="0.2">
      <c r="A13" s="239" t="s">
        <v>277</v>
      </c>
      <c r="B13" s="300" t="s">
        <v>278</v>
      </c>
      <c r="C13" s="300" t="s">
        <v>279</v>
      </c>
      <c r="D13" s="325" t="s">
        <v>100</v>
      </c>
      <c r="E13" s="529" t="s">
        <v>1781</v>
      </c>
      <c r="F13" s="307" t="s">
        <v>303</v>
      </c>
      <c r="G13" s="308" t="s">
        <v>292</v>
      </c>
      <c r="H13" s="309" t="s">
        <v>304</v>
      </c>
      <c r="I13" s="304" t="s">
        <v>6</v>
      </c>
      <c r="J13" s="304" t="s">
        <v>284</v>
      </c>
      <c r="K13" s="305">
        <v>1</v>
      </c>
      <c r="L13" s="265" t="s">
        <v>77</v>
      </c>
      <c r="M13" s="265" t="s">
        <v>7</v>
      </c>
      <c r="N13" s="265" t="s">
        <v>7</v>
      </c>
      <c r="O13" s="184"/>
      <c r="P13" s="530" t="s">
        <v>6</v>
      </c>
      <c r="Q13" s="531" t="s">
        <v>7</v>
      </c>
      <c r="R13" s="531" t="s">
        <v>7</v>
      </c>
      <c r="S13" s="532" t="s">
        <v>7</v>
      </c>
      <c r="T13" s="283"/>
      <c r="U13" s="30"/>
      <c r="V13" s="30"/>
      <c r="W13" s="30"/>
      <c r="X13" s="30"/>
      <c r="Y13" s="30"/>
    </row>
    <row r="14" spans="1:25" ht="36.75" customHeight="1" x14ac:dyDescent="0.2">
      <c r="A14" s="239" t="s">
        <v>277</v>
      </c>
      <c r="B14" s="300" t="s">
        <v>278</v>
      </c>
      <c r="C14" s="300" t="s">
        <v>279</v>
      </c>
      <c r="D14" s="325" t="s">
        <v>100</v>
      </c>
      <c r="E14" s="529" t="s">
        <v>1781</v>
      </c>
      <c r="F14" s="307" t="s">
        <v>303</v>
      </c>
      <c r="G14" s="308" t="s">
        <v>294</v>
      </c>
      <c r="H14" s="309" t="s">
        <v>304</v>
      </c>
      <c r="I14" s="304" t="s">
        <v>6</v>
      </c>
      <c r="J14" s="304" t="s">
        <v>284</v>
      </c>
      <c r="K14" s="305">
        <v>1</v>
      </c>
      <c r="L14" s="265" t="s">
        <v>77</v>
      </c>
      <c r="M14" s="265" t="s">
        <v>7</v>
      </c>
      <c r="N14" s="265" t="s">
        <v>7</v>
      </c>
      <c r="O14" s="184"/>
      <c r="P14" s="530" t="s">
        <v>6</v>
      </c>
      <c r="Q14" s="531" t="s">
        <v>7</v>
      </c>
      <c r="R14" s="531" t="s">
        <v>7</v>
      </c>
      <c r="S14" s="532" t="s">
        <v>7</v>
      </c>
      <c r="T14" s="283"/>
      <c r="U14" s="30"/>
      <c r="V14" s="30"/>
      <c r="W14" s="30"/>
      <c r="X14" s="30"/>
      <c r="Y14" s="30"/>
    </row>
    <row r="15" spans="1:25" ht="36.75" customHeight="1" x14ac:dyDescent="0.2">
      <c r="A15" s="239" t="s">
        <v>277</v>
      </c>
      <c r="B15" s="300" t="s">
        <v>278</v>
      </c>
      <c r="C15" s="300" t="s">
        <v>279</v>
      </c>
      <c r="D15" s="325" t="s">
        <v>100</v>
      </c>
      <c r="E15" s="529" t="s">
        <v>1781</v>
      </c>
      <c r="F15" s="307" t="s">
        <v>303</v>
      </c>
      <c r="G15" s="308" t="s">
        <v>282</v>
      </c>
      <c r="H15" s="309" t="s">
        <v>304</v>
      </c>
      <c r="I15" s="304" t="s">
        <v>6</v>
      </c>
      <c r="J15" s="304" t="s">
        <v>284</v>
      </c>
      <c r="K15" s="305">
        <v>1</v>
      </c>
      <c r="L15" s="265" t="s">
        <v>77</v>
      </c>
      <c r="M15" s="265" t="s">
        <v>7</v>
      </c>
      <c r="N15" s="265" t="s">
        <v>7</v>
      </c>
      <c r="O15" s="184"/>
      <c r="P15" s="530" t="s">
        <v>6</v>
      </c>
      <c r="Q15" s="531" t="s">
        <v>7</v>
      </c>
      <c r="R15" s="531" t="s">
        <v>7</v>
      </c>
      <c r="S15" s="532" t="s">
        <v>7</v>
      </c>
      <c r="T15" s="283"/>
      <c r="U15" s="30"/>
      <c r="V15" s="30"/>
      <c r="W15" s="30"/>
      <c r="X15" s="30"/>
      <c r="Y15" s="30"/>
    </row>
    <row r="16" spans="1:25" ht="36.75" customHeight="1" x14ac:dyDescent="0.2">
      <c r="A16" s="239" t="s">
        <v>277</v>
      </c>
      <c r="B16" s="300" t="s">
        <v>278</v>
      </c>
      <c r="C16" s="300" t="s">
        <v>279</v>
      </c>
      <c r="D16" s="325" t="s">
        <v>100</v>
      </c>
      <c r="E16" s="529" t="s">
        <v>1781</v>
      </c>
      <c r="F16" s="307" t="s">
        <v>303</v>
      </c>
      <c r="G16" s="308" t="s">
        <v>285</v>
      </c>
      <c r="H16" s="309" t="s">
        <v>304</v>
      </c>
      <c r="I16" s="304" t="s">
        <v>6</v>
      </c>
      <c r="J16" s="304" t="s">
        <v>284</v>
      </c>
      <c r="K16" s="305">
        <v>1</v>
      </c>
      <c r="L16" s="265" t="s">
        <v>77</v>
      </c>
      <c r="M16" s="265" t="s">
        <v>7</v>
      </c>
      <c r="N16" s="265" t="s">
        <v>7</v>
      </c>
      <c r="O16" s="184"/>
      <c r="P16" s="530" t="s">
        <v>6</v>
      </c>
      <c r="Q16" s="531" t="s">
        <v>7</v>
      </c>
      <c r="R16" s="531" t="s">
        <v>7</v>
      </c>
      <c r="S16" s="532" t="s">
        <v>7</v>
      </c>
      <c r="T16" s="283"/>
      <c r="U16" s="30"/>
      <c r="V16" s="30"/>
      <c r="W16" s="30"/>
      <c r="X16" s="30"/>
      <c r="Y16" s="30"/>
    </row>
    <row r="17" spans="1:25" ht="36.75" customHeight="1" x14ac:dyDescent="0.2">
      <c r="A17" s="239" t="s">
        <v>277</v>
      </c>
      <c r="B17" s="300" t="s">
        <v>278</v>
      </c>
      <c r="C17" s="300" t="s">
        <v>279</v>
      </c>
      <c r="D17" s="325" t="s">
        <v>100</v>
      </c>
      <c r="E17" s="529" t="s">
        <v>1781</v>
      </c>
      <c r="F17" s="307" t="s">
        <v>296</v>
      </c>
      <c r="G17" s="310" t="s">
        <v>300</v>
      </c>
      <c r="H17" s="303" t="s">
        <v>293</v>
      </c>
      <c r="I17" s="304" t="s">
        <v>6</v>
      </c>
      <c r="J17" s="304" t="s">
        <v>284</v>
      </c>
      <c r="K17" s="305">
        <v>1</v>
      </c>
      <c r="L17" s="265" t="s">
        <v>77</v>
      </c>
      <c r="M17" s="265" t="s">
        <v>7</v>
      </c>
      <c r="N17" s="265" t="s">
        <v>7</v>
      </c>
      <c r="O17" s="184"/>
      <c r="P17" s="530" t="s">
        <v>6</v>
      </c>
      <c r="Q17" s="531" t="s">
        <v>7</v>
      </c>
      <c r="R17" s="531" t="s">
        <v>7</v>
      </c>
      <c r="S17" s="532" t="s">
        <v>7</v>
      </c>
      <c r="T17" s="283"/>
      <c r="U17" s="30"/>
      <c r="V17" s="30"/>
      <c r="W17" s="30"/>
      <c r="X17" s="30"/>
      <c r="Y17" s="30"/>
    </row>
    <row r="18" spans="1:25" ht="36.75" customHeight="1" x14ac:dyDescent="0.2">
      <c r="A18" s="239" t="s">
        <v>277</v>
      </c>
      <c r="B18" s="300" t="s">
        <v>278</v>
      </c>
      <c r="C18" s="300" t="s">
        <v>279</v>
      </c>
      <c r="D18" s="325" t="s">
        <v>100</v>
      </c>
      <c r="E18" s="529" t="s">
        <v>1781</v>
      </c>
      <c r="F18" s="307" t="s">
        <v>296</v>
      </c>
      <c r="G18" s="310" t="s">
        <v>292</v>
      </c>
      <c r="H18" s="303" t="s">
        <v>293</v>
      </c>
      <c r="I18" s="304" t="s">
        <v>6</v>
      </c>
      <c r="J18" s="304" t="s">
        <v>284</v>
      </c>
      <c r="K18" s="305">
        <v>1</v>
      </c>
      <c r="L18" s="265" t="s">
        <v>77</v>
      </c>
      <c r="M18" s="265" t="s">
        <v>7</v>
      </c>
      <c r="N18" s="265" t="s">
        <v>7</v>
      </c>
      <c r="O18" s="184"/>
      <c r="P18" s="530" t="s">
        <v>6</v>
      </c>
      <c r="Q18" s="531" t="s">
        <v>7</v>
      </c>
      <c r="R18" s="531" t="s">
        <v>7</v>
      </c>
      <c r="S18" s="532" t="s">
        <v>7</v>
      </c>
      <c r="T18" s="283"/>
      <c r="U18" s="30"/>
      <c r="V18" s="30"/>
      <c r="W18" s="30"/>
      <c r="X18" s="30"/>
      <c r="Y18" s="30"/>
    </row>
    <row r="19" spans="1:25" ht="36.75" customHeight="1" x14ac:dyDescent="0.2">
      <c r="A19" s="239" t="s">
        <v>277</v>
      </c>
      <c r="B19" s="300" t="s">
        <v>278</v>
      </c>
      <c r="C19" s="300" t="s">
        <v>279</v>
      </c>
      <c r="D19" s="325" t="s">
        <v>100</v>
      </c>
      <c r="E19" s="529" t="s">
        <v>1781</v>
      </c>
      <c r="F19" s="307" t="s">
        <v>296</v>
      </c>
      <c r="G19" s="310" t="s">
        <v>294</v>
      </c>
      <c r="H19" s="303" t="s">
        <v>293</v>
      </c>
      <c r="I19" s="304" t="s">
        <v>6</v>
      </c>
      <c r="J19" s="304" t="s">
        <v>284</v>
      </c>
      <c r="K19" s="305">
        <v>1</v>
      </c>
      <c r="L19" s="265" t="s">
        <v>77</v>
      </c>
      <c r="M19" s="265" t="s">
        <v>7</v>
      </c>
      <c r="N19" s="265" t="s">
        <v>7</v>
      </c>
      <c r="O19" s="184"/>
      <c r="P19" s="530" t="s">
        <v>6</v>
      </c>
      <c r="Q19" s="531" t="s">
        <v>7</v>
      </c>
      <c r="R19" s="531" t="s">
        <v>7</v>
      </c>
      <c r="S19" s="532" t="s">
        <v>7</v>
      </c>
      <c r="T19" s="283"/>
      <c r="U19" s="30"/>
      <c r="V19" s="30"/>
      <c r="W19" s="30"/>
      <c r="X19" s="30"/>
      <c r="Y19" s="30"/>
    </row>
    <row r="20" spans="1:25" ht="36.75" customHeight="1" x14ac:dyDescent="0.2">
      <c r="A20" s="239" t="s">
        <v>277</v>
      </c>
      <c r="B20" s="300" t="s">
        <v>278</v>
      </c>
      <c r="C20" s="300" t="s">
        <v>279</v>
      </c>
      <c r="D20" s="325" t="s">
        <v>100</v>
      </c>
      <c r="E20" s="529" t="s">
        <v>1781</v>
      </c>
      <c r="F20" s="307" t="s">
        <v>296</v>
      </c>
      <c r="G20" s="310" t="s">
        <v>282</v>
      </c>
      <c r="H20" s="303" t="s">
        <v>295</v>
      </c>
      <c r="I20" s="304" t="s">
        <v>6</v>
      </c>
      <c r="J20" s="304" t="s">
        <v>284</v>
      </c>
      <c r="K20" s="305">
        <v>1</v>
      </c>
      <c r="L20" s="265" t="s">
        <v>77</v>
      </c>
      <c r="M20" s="265" t="s">
        <v>7</v>
      </c>
      <c r="N20" s="265" t="s">
        <v>7</v>
      </c>
      <c r="O20" s="184"/>
      <c r="P20" s="530" t="s">
        <v>6</v>
      </c>
      <c r="Q20" s="531" t="s">
        <v>7</v>
      </c>
      <c r="R20" s="531" t="s">
        <v>7</v>
      </c>
      <c r="S20" s="532" t="s">
        <v>7</v>
      </c>
      <c r="T20" s="284"/>
      <c r="U20" s="30"/>
      <c r="V20" s="30"/>
      <c r="W20" s="30"/>
      <c r="X20" s="30"/>
      <c r="Y20" s="30"/>
    </row>
    <row r="21" spans="1:25" ht="36.75" customHeight="1" x14ac:dyDescent="0.2">
      <c r="A21" s="239" t="s">
        <v>277</v>
      </c>
      <c r="B21" s="300" t="s">
        <v>278</v>
      </c>
      <c r="C21" s="300" t="s">
        <v>279</v>
      </c>
      <c r="D21" s="325" t="s">
        <v>100</v>
      </c>
      <c r="E21" s="529" t="s">
        <v>1781</v>
      </c>
      <c r="F21" s="307" t="s">
        <v>296</v>
      </c>
      <c r="G21" s="310" t="s">
        <v>285</v>
      </c>
      <c r="H21" s="303" t="s">
        <v>297</v>
      </c>
      <c r="I21" s="304" t="s">
        <v>6</v>
      </c>
      <c r="J21" s="304" t="s">
        <v>284</v>
      </c>
      <c r="K21" s="305">
        <v>1</v>
      </c>
      <c r="L21" s="265" t="s">
        <v>77</v>
      </c>
      <c r="M21" s="265" t="s">
        <v>7</v>
      </c>
      <c r="N21" s="265" t="s">
        <v>7</v>
      </c>
      <c r="O21" s="184"/>
      <c r="P21" s="530" t="s">
        <v>6</v>
      </c>
      <c r="Q21" s="531" t="s">
        <v>7</v>
      </c>
      <c r="R21" s="531" t="s">
        <v>7</v>
      </c>
      <c r="S21" s="532" t="s">
        <v>7</v>
      </c>
      <c r="T21" s="204"/>
      <c r="U21" s="30"/>
    </row>
    <row r="22" spans="1:25" ht="36.75" customHeight="1" x14ac:dyDescent="0.2">
      <c r="A22" s="239" t="s">
        <v>277</v>
      </c>
      <c r="B22" s="300" t="s">
        <v>278</v>
      </c>
      <c r="C22" s="300" t="s">
        <v>279</v>
      </c>
      <c r="D22" s="325" t="s">
        <v>100</v>
      </c>
      <c r="E22" s="529" t="s">
        <v>1781</v>
      </c>
      <c r="F22" s="311" t="s">
        <v>296</v>
      </c>
      <c r="G22" s="312" t="s">
        <v>298</v>
      </c>
      <c r="H22" s="303" t="s">
        <v>299</v>
      </c>
      <c r="I22" s="304" t="s">
        <v>6</v>
      </c>
      <c r="J22" s="304" t="s">
        <v>284</v>
      </c>
      <c r="K22" s="305">
        <v>1</v>
      </c>
      <c r="L22" s="265" t="s">
        <v>77</v>
      </c>
      <c r="M22" s="265" t="s">
        <v>7</v>
      </c>
      <c r="N22" s="265" t="s">
        <v>7</v>
      </c>
      <c r="O22" s="184"/>
      <c r="P22" s="530" t="s">
        <v>6</v>
      </c>
      <c r="Q22" s="531" t="s">
        <v>7</v>
      </c>
      <c r="R22" s="531" t="s">
        <v>7</v>
      </c>
      <c r="S22" s="532" t="s">
        <v>7</v>
      </c>
      <c r="T22" s="204"/>
      <c r="U22" s="30"/>
    </row>
    <row r="23" spans="1:25" ht="36.75" customHeight="1" x14ac:dyDescent="0.2">
      <c r="A23" s="239" t="s">
        <v>277</v>
      </c>
      <c r="B23" s="300" t="s">
        <v>278</v>
      </c>
      <c r="C23" s="300" t="s">
        <v>279</v>
      </c>
      <c r="D23" s="325" t="s">
        <v>100</v>
      </c>
      <c r="E23" s="529" t="s">
        <v>1781</v>
      </c>
      <c r="F23" s="313" t="s">
        <v>99</v>
      </c>
      <c r="G23" s="314" t="s">
        <v>300</v>
      </c>
      <c r="H23" s="303" t="s">
        <v>301</v>
      </c>
      <c r="I23" s="304" t="s">
        <v>6</v>
      </c>
      <c r="J23" s="304" t="s">
        <v>284</v>
      </c>
      <c r="K23" s="305">
        <v>1</v>
      </c>
      <c r="L23" s="265" t="s">
        <v>77</v>
      </c>
      <c r="M23" s="265" t="s">
        <v>7</v>
      </c>
      <c r="N23" s="265" t="s">
        <v>7</v>
      </c>
      <c r="O23" s="184"/>
      <c r="P23" s="530" t="s">
        <v>6</v>
      </c>
      <c r="Q23" s="531" t="s">
        <v>7</v>
      </c>
      <c r="R23" s="531" t="s">
        <v>7</v>
      </c>
      <c r="S23" s="532" t="s">
        <v>7</v>
      </c>
      <c r="T23" s="204"/>
      <c r="U23" s="30"/>
    </row>
    <row r="24" spans="1:25" ht="36.75" customHeight="1" x14ac:dyDescent="0.2">
      <c r="A24" s="239" t="s">
        <v>277</v>
      </c>
      <c r="B24" s="300" t="s">
        <v>278</v>
      </c>
      <c r="C24" s="300" t="s">
        <v>279</v>
      </c>
      <c r="D24" s="325" t="s">
        <v>100</v>
      </c>
      <c r="E24" s="529" t="s">
        <v>1781</v>
      </c>
      <c r="F24" s="307" t="s">
        <v>99</v>
      </c>
      <c r="G24" s="310" t="s">
        <v>292</v>
      </c>
      <c r="H24" s="303" t="s">
        <v>302</v>
      </c>
      <c r="I24" s="304" t="s">
        <v>6</v>
      </c>
      <c r="J24" s="304" t="s">
        <v>284</v>
      </c>
      <c r="K24" s="305">
        <v>1</v>
      </c>
      <c r="L24" s="265" t="s">
        <v>77</v>
      </c>
      <c r="M24" s="265" t="s">
        <v>7</v>
      </c>
      <c r="N24" s="265" t="s">
        <v>7</v>
      </c>
      <c r="O24" s="184"/>
      <c r="P24" s="530" t="s">
        <v>6</v>
      </c>
      <c r="Q24" s="531" t="s">
        <v>7</v>
      </c>
      <c r="R24" s="531" t="s">
        <v>7</v>
      </c>
      <c r="S24" s="532" t="s">
        <v>7</v>
      </c>
      <c r="T24" s="204"/>
      <c r="U24" s="30"/>
    </row>
    <row r="25" spans="1:25" ht="36.75" customHeight="1" x14ac:dyDescent="0.2">
      <c r="A25" s="239" t="s">
        <v>277</v>
      </c>
      <c r="B25" s="300" t="s">
        <v>278</v>
      </c>
      <c r="C25" s="300" t="s">
        <v>279</v>
      </c>
      <c r="D25" s="325" t="s">
        <v>100</v>
      </c>
      <c r="E25" s="529" t="s">
        <v>1781</v>
      </c>
      <c r="F25" s="307" t="s">
        <v>99</v>
      </c>
      <c r="G25" s="310" t="s">
        <v>294</v>
      </c>
      <c r="H25" s="303" t="s">
        <v>913</v>
      </c>
      <c r="I25" s="304" t="s">
        <v>6</v>
      </c>
      <c r="J25" s="304" t="s">
        <v>284</v>
      </c>
      <c r="K25" s="305">
        <v>1</v>
      </c>
      <c r="L25" s="265" t="s">
        <v>77</v>
      </c>
      <c r="M25" s="265" t="s">
        <v>7</v>
      </c>
      <c r="N25" s="265" t="s">
        <v>7</v>
      </c>
      <c r="O25" s="184"/>
      <c r="P25" s="530" t="s">
        <v>6</v>
      </c>
      <c r="Q25" s="531" t="s">
        <v>7</v>
      </c>
      <c r="R25" s="531" t="s">
        <v>7</v>
      </c>
      <c r="S25" s="532" t="s">
        <v>7</v>
      </c>
      <c r="T25" s="204"/>
      <c r="U25" s="30"/>
    </row>
    <row r="26" spans="1:25" ht="36.75" customHeight="1" x14ac:dyDescent="0.2">
      <c r="A26" s="239" t="s">
        <v>277</v>
      </c>
      <c r="B26" s="300" t="s">
        <v>278</v>
      </c>
      <c r="C26" s="300" t="s">
        <v>279</v>
      </c>
      <c r="D26" s="325" t="s">
        <v>100</v>
      </c>
      <c r="E26" s="529" t="s">
        <v>1781</v>
      </c>
      <c r="F26" s="307" t="s">
        <v>99</v>
      </c>
      <c r="G26" s="310" t="s">
        <v>282</v>
      </c>
      <c r="H26" s="303" t="s">
        <v>301</v>
      </c>
      <c r="I26" s="304" t="s">
        <v>6</v>
      </c>
      <c r="J26" s="304" t="s">
        <v>284</v>
      </c>
      <c r="K26" s="305">
        <v>1</v>
      </c>
      <c r="L26" s="265" t="s">
        <v>77</v>
      </c>
      <c r="M26" s="265" t="s">
        <v>7</v>
      </c>
      <c r="N26" s="265" t="s">
        <v>7</v>
      </c>
      <c r="O26" s="184"/>
      <c r="P26" s="530" t="s">
        <v>6</v>
      </c>
      <c r="Q26" s="531" t="s">
        <v>7</v>
      </c>
      <c r="R26" s="531" t="s">
        <v>7</v>
      </c>
      <c r="S26" s="532" t="s">
        <v>7</v>
      </c>
      <c r="T26" s="204"/>
      <c r="U26" s="30"/>
    </row>
    <row r="27" spans="1:25" ht="36.75" customHeight="1" x14ac:dyDescent="0.2">
      <c r="A27" s="239" t="s">
        <v>277</v>
      </c>
      <c r="B27" s="300" t="s">
        <v>278</v>
      </c>
      <c r="C27" s="300" t="s">
        <v>279</v>
      </c>
      <c r="D27" s="325" t="s">
        <v>100</v>
      </c>
      <c r="E27" s="529" t="s">
        <v>1781</v>
      </c>
      <c r="F27" s="307" t="s">
        <v>99</v>
      </c>
      <c r="G27" s="310" t="s">
        <v>285</v>
      </c>
      <c r="H27" s="303" t="s">
        <v>301</v>
      </c>
      <c r="I27" s="304" t="s">
        <v>6</v>
      </c>
      <c r="J27" s="304" t="s">
        <v>284</v>
      </c>
      <c r="K27" s="305">
        <v>1</v>
      </c>
      <c r="L27" s="265" t="s">
        <v>77</v>
      </c>
      <c r="M27" s="265" t="s">
        <v>7</v>
      </c>
      <c r="N27" s="265" t="s">
        <v>7</v>
      </c>
      <c r="O27" s="184"/>
      <c r="P27" s="530" t="s">
        <v>6</v>
      </c>
      <c r="Q27" s="531" t="s">
        <v>7</v>
      </c>
      <c r="R27" s="531" t="s">
        <v>7</v>
      </c>
      <c r="S27" s="532" t="s">
        <v>7</v>
      </c>
      <c r="T27" s="204"/>
      <c r="U27" s="30"/>
    </row>
    <row r="28" spans="1:25" ht="36.75" customHeight="1" x14ac:dyDescent="0.2">
      <c r="A28" s="239" t="s">
        <v>277</v>
      </c>
      <c r="B28" s="300" t="s">
        <v>278</v>
      </c>
      <c r="C28" s="300" t="s">
        <v>279</v>
      </c>
      <c r="D28" s="325" t="s">
        <v>100</v>
      </c>
      <c r="E28" s="529" t="s">
        <v>1781</v>
      </c>
      <c r="F28" s="307" t="s">
        <v>305</v>
      </c>
      <c r="G28" s="310" t="s">
        <v>300</v>
      </c>
      <c r="H28" s="309" t="s">
        <v>306</v>
      </c>
      <c r="I28" s="304" t="s">
        <v>6</v>
      </c>
      <c r="J28" s="304" t="s">
        <v>284</v>
      </c>
      <c r="K28" s="305">
        <v>1</v>
      </c>
      <c r="L28" s="265" t="s">
        <v>77</v>
      </c>
      <c r="M28" s="265" t="s">
        <v>7</v>
      </c>
      <c r="N28" s="265" t="s">
        <v>7</v>
      </c>
      <c r="O28" s="184"/>
      <c r="P28" s="530" t="s">
        <v>6</v>
      </c>
      <c r="Q28" s="531" t="s">
        <v>7</v>
      </c>
      <c r="R28" s="531" t="s">
        <v>7</v>
      </c>
      <c r="S28" s="532" t="s">
        <v>7</v>
      </c>
      <c r="T28" s="204"/>
      <c r="U28" s="30"/>
    </row>
    <row r="29" spans="1:25" ht="36.75" customHeight="1" x14ac:dyDescent="0.2">
      <c r="A29" s="239" t="s">
        <v>277</v>
      </c>
      <c r="B29" s="300" t="s">
        <v>278</v>
      </c>
      <c r="C29" s="300" t="s">
        <v>279</v>
      </c>
      <c r="D29" s="325" t="s">
        <v>100</v>
      </c>
      <c r="E29" s="529" t="s">
        <v>1781</v>
      </c>
      <c r="F29" s="307" t="s">
        <v>305</v>
      </c>
      <c r="G29" s="310" t="s">
        <v>292</v>
      </c>
      <c r="H29" s="303" t="s">
        <v>307</v>
      </c>
      <c r="I29" s="304" t="s">
        <v>6</v>
      </c>
      <c r="J29" s="304" t="s">
        <v>284</v>
      </c>
      <c r="K29" s="305">
        <v>1</v>
      </c>
      <c r="L29" s="265" t="s">
        <v>77</v>
      </c>
      <c r="M29" s="265" t="s">
        <v>7</v>
      </c>
      <c r="N29" s="265" t="s">
        <v>7</v>
      </c>
      <c r="O29" s="184"/>
      <c r="P29" s="530" t="s">
        <v>6</v>
      </c>
      <c r="Q29" s="531" t="s">
        <v>7</v>
      </c>
      <c r="R29" s="531" t="s">
        <v>7</v>
      </c>
      <c r="S29" s="532" t="s">
        <v>7</v>
      </c>
      <c r="T29" s="204"/>
      <c r="U29" s="30"/>
    </row>
    <row r="30" spans="1:25" ht="36.75" customHeight="1" x14ac:dyDescent="0.2">
      <c r="A30" s="239" t="s">
        <v>277</v>
      </c>
      <c r="B30" s="300" t="s">
        <v>278</v>
      </c>
      <c r="C30" s="300" t="s">
        <v>279</v>
      </c>
      <c r="D30" s="325" t="s">
        <v>100</v>
      </c>
      <c r="E30" s="529" t="s">
        <v>1781</v>
      </c>
      <c r="F30" s="307" t="s">
        <v>305</v>
      </c>
      <c r="G30" s="310" t="s">
        <v>294</v>
      </c>
      <c r="H30" s="303" t="s">
        <v>307</v>
      </c>
      <c r="I30" s="304" t="s">
        <v>6</v>
      </c>
      <c r="J30" s="304" t="s">
        <v>284</v>
      </c>
      <c r="K30" s="305">
        <v>1</v>
      </c>
      <c r="L30" s="265" t="s">
        <v>77</v>
      </c>
      <c r="M30" s="265" t="s">
        <v>7</v>
      </c>
      <c r="N30" s="265" t="s">
        <v>7</v>
      </c>
      <c r="O30" s="184"/>
      <c r="P30" s="530" t="s">
        <v>6</v>
      </c>
      <c r="Q30" s="531" t="s">
        <v>7</v>
      </c>
      <c r="R30" s="531" t="s">
        <v>7</v>
      </c>
      <c r="S30" s="532" t="s">
        <v>7</v>
      </c>
      <c r="T30" s="204"/>
      <c r="U30" s="30"/>
    </row>
    <row r="31" spans="1:25" ht="36.75" customHeight="1" x14ac:dyDescent="0.2">
      <c r="A31" s="239" t="s">
        <v>277</v>
      </c>
      <c r="B31" s="300" t="s">
        <v>278</v>
      </c>
      <c r="C31" s="300" t="s">
        <v>279</v>
      </c>
      <c r="D31" s="325" t="s">
        <v>100</v>
      </c>
      <c r="E31" s="529" t="s">
        <v>1781</v>
      </c>
      <c r="F31" s="307" t="s">
        <v>305</v>
      </c>
      <c r="G31" s="310" t="s">
        <v>282</v>
      </c>
      <c r="H31" s="309" t="s">
        <v>306</v>
      </c>
      <c r="I31" s="304" t="s">
        <v>6</v>
      </c>
      <c r="J31" s="304" t="s">
        <v>284</v>
      </c>
      <c r="K31" s="305">
        <v>1</v>
      </c>
      <c r="L31" s="265" t="s">
        <v>77</v>
      </c>
      <c r="M31" s="265" t="s">
        <v>7</v>
      </c>
      <c r="N31" s="265" t="s">
        <v>7</v>
      </c>
      <c r="O31" s="184"/>
      <c r="P31" s="530" t="s">
        <v>6</v>
      </c>
      <c r="Q31" s="531" t="s">
        <v>7</v>
      </c>
      <c r="R31" s="531" t="s">
        <v>7</v>
      </c>
      <c r="S31" s="532" t="s">
        <v>7</v>
      </c>
      <c r="T31" s="204"/>
    </row>
    <row r="32" spans="1:25" ht="36.75" customHeight="1" x14ac:dyDescent="0.2">
      <c r="A32" s="239" t="s">
        <v>277</v>
      </c>
      <c r="B32" s="300" t="s">
        <v>278</v>
      </c>
      <c r="C32" s="300" t="s">
        <v>279</v>
      </c>
      <c r="D32" s="325" t="s">
        <v>100</v>
      </c>
      <c r="E32" s="529" t="s">
        <v>1781</v>
      </c>
      <c r="F32" s="307" t="s">
        <v>308</v>
      </c>
      <c r="G32" s="310" t="s">
        <v>300</v>
      </c>
      <c r="H32" s="303" t="s">
        <v>309</v>
      </c>
      <c r="I32" s="304" t="s">
        <v>6</v>
      </c>
      <c r="J32" s="304" t="s">
        <v>284</v>
      </c>
      <c r="K32" s="305">
        <v>1</v>
      </c>
      <c r="L32" s="265" t="s">
        <v>77</v>
      </c>
      <c r="M32" s="265" t="s">
        <v>7</v>
      </c>
      <c r="N32" s="265" t="s">
        <v>7</v>
      </c>
      <c r="O32" s="184"/>
      <c r="P32" s="530" t="s">
        <v>6</v>
      </c>
      <c r="Q32" s="531" t="s">
        <v>7</v>
      </c>
      <c r="R32" s="531" t="s">
        <v>7</v>
      </c>
      <c r="S32" s="532" t="s">
        <v>7</v>
      </c>
      <c r="T32" s="204"/>
    </row>
    <row r="33" spans="1:20" ht="36.75" customHeight="1" x14ac:dyDescent="0.2">
      <c r="A33" s="239" t="s">
        <v>277</v>
      </c>
      <c r="B33" s="300" t="s">
        <v>278</v>
      </c>
      <c r="C33" s="300" t="s">
        <v>279</v>
      </c>
      <c r="D33" s="325" t="s">
        <v>100</v>
      </c>
      <c r="E33" s="529" t="s">
        <v>1781</v>
      </c>
      <c r="F33" s="307" t="s">
        <v>308</v>
      </c>
      <c r="G33" s="310" t="s">
        <v>292</v>
      </c>
      <c r="H33" s="303" t="s">
        <v>309</v>
      </c>
      <c r="I33" s="304" t="s">
        <v>6</v>
      </c>
      <c r="J33" s="304" t="s">
        <v>284</v>
      </c>
      <c r="K33" s="305">
        <v>1</v>
      </c>
      <c r="L33" s="265" t="s">
        <v>77</v>
      </c>
      <c r="M33" s="265" t="s">
        <v>7</v>
      </c>
      <c r="N33" s="265" t="s">
        <v>7</v>
      </c>
      <c r="O33" s="184"/>
      <c r="P33" s="530" t="s">
        <v>6</v>
      </c>
      <c r="Q33" s="531" t="s">
        <v>7</v>
      </c>
      <c r="R33" s="531" t="s">
        <v>7</v>
      </c>
      <c r="S33" s="532" t="s">
        <v>7</v>
      </c>
      <c r="T33" s="204"/>
    </row>
    <row r="34" spans="1:20" ht="36.75" customHeight="1" x14ac:dyDescent="0.2">
      <c r="A34" s="239" t="s">
        <v>277</v>
      </c>
      <c r="B34" s="300" t="s">
        <v>278</v>
      </c>
      <c r="C34" s="300" t="s">
        <v>279</v>
      </c>
      <c r="D34" s="325" t="s">
        <v>100</v>
      </c>
      <c r="E34" s="529" t="s">
        <v>1781</v>
      </c>
      <c r="F34" s="307" t="s">
        <v>308</v>
      </c>
      <c r="G34" s="310" t="s">
        <v>294</v>
      </c>
      <c r="H34" s="303" t="s">
        <v>309</v>
      </c>
      <c r="I34" s="304" t="s">
        <v>6</v>
      </c>
      <c r="J34" s="304" t="s">
        <v>284</v>
      </c>
      <c r="K34" s="305">
        <v>1</v>
      </c>
      <c r="L34" s="265" t="s">
        <v>77</v>
      </c>
      <c r="M34" s="265" t="s">
        <v>7</v>
      </c>
      <c r="N34" s="265" t="s">
        <v>7</v>
      </c>
      <c r="O34" s="184"/>
      <c r="P34" s="530" t="s">
        <v>6</v>
      </c>
      <c r="Q34" s="531" t="s">
        <v>7</v>
      </c>
      <c r="R34" s="531" t="s">
        <v>7</v>
      </c>
      <c r="S34" s="532" t="s">
        <v>7</v>
      </c>
      <c r="T34" s="204"/>
    </row>
    <row r="35" spans="1:20" ht="36.75" customHeight="1" x14ac:dyDescent="0.2">
      <c r="A35" s="239" t="s">
        <v>277</v>
      </c>
      <c r="B35" s="300" t="s">
        <v>278</v>
      </c>
      <c r="C35" s="300" t="s">
        <v>279</v>
      </c>
      <c r="D35" s="325" t="s">
        <v>100</v>
      </c>
      <c r="E35" s="529" t="s">
        <v>1781</v>
      </c>
      <c r="F35" s="307" t="s">
        <v>310</v>
      </c>
      <c r="G35" s="310" t="s">
        <v>300</v>
      </c>
      <c r="H35" s="309"/>
      <c r="I35" s="304" t="s">
        <v>6</v>
      </c>
      <c r="J35" s="304" t="s">
        <v>284</v>
      </c>
      <c r="K35" s="305">
        <v>1</v>
      </c>
      <c r="L35" s="265" t="s">
        <v>77</v>
      </c>
      <c r="M35" s="265" t="s">
        <v>7</v>
      </c>
      <c r="N35" s="265" t="s">
        <v>7</v>
      </c>
      <c r="O35" s="184"/>
      <c r="P35" s="530" t="s">
        <v>6</v>
      </c>
      <c r="Q35" s="531" t="s">
        <v>7</v>
      </c>
      <c r="R35" s="531" t="s">
        <v>7</v>
      </c>
      <c r="S35" s="532" t="s">
        <v>7</v>
      </c>
      <c r="T35" s="204"/>
    </row>
    <row r="36" spans="1:20" ht="36.75" customHeight="1" x14ac:dyDescent="0.2">
      <c r="A36" s="239" t="s">
        <v>277</v>
      </c>
      <c r="B36" s="300" t="s">
        <v>278</v>
      </c>
      <c r="C36" s="300" t="s">
        <v>279</v>
      </c>
      <c r="D36" s="325" t="s">
        <v>100</v>
      </c>
      <c r="E36" s="529" t="s">
        <v>1781</v>
      </c>
      <c r="F36" s="307" t="s">
        <v>310</v>
      </c>
      <c r="G36" s="310" t="s">
        <v>292</v>
      </c>
      <c r="H36" s="309"/>
      <c r="I36" s="304" t="s">
        <v>6</v>
      </c>
      <c r="J36" s="304" t="s">
        <v>284</v>
      </c>
      <c r="K36" s="305">
        <v>1</v>
      </c>
      <c r="L36" s="265" t="s">
        <v>77</v>
      </c>
      <c r="M36" s="265" t="s">
        <v>7</v>
      </c>
      <c r="N36" s="265" t="s">
        <v>7</v>
      </c>
      <c r="O36" s="184"/>
      <c r="P36" s="530" t="s">
        <v>6</v>
      </c>
      <c r="Q36" s="531" t="s">
        <v>7</v>
      </c>
      <c r="R36" s="531" t="s">
        <v>7</v>
      </c>
      <c r="S36" s="532" t="s">
        <v>7</v>
      </c>
      <c r="T36" s="204"/>
    </row>
    <row r="37" spans="1:20" ht="36.75" customHeight="1" x14ac:dyDescent="0.2">
      <c r="A37" s="239" t="s">
        <v>277</v>
      </c>
      <c r="B37" s="300" t="s">
        <v>278</v>
      </c>
      <c r="C37" s="300" t="s">
        <v>279</v>
      </c>
      <c r="D37" s="325" t="s">
        <v>100</v>
      </c>
      <c r="E37" s="529" t="s">
        <v>1781</v>
      </c>
      <c r="F37" s="307" t="s">
        <v>310</v>
      </c>
      <c r="G37" s="310" t="s">
        <v>294</v>
      </c>
      <c r="H37" s="309"/>
      <c r="I37" s="304" t="s">
        <v>6</v>
      </c>
      <c r="J37" s="304" t="s">
        <v>284</v>
      </c>
      <c r="K37" s="305">
        <v>1</v>
      </c>
      <c r="L37" s="265" t="s">
        <v>77</v>
      </c>
      <c r="M37" s="265" t="s">
        <v>7</v>
      </c>
      <c r="N37" s="265" t="s">
        <v>7</v>
      </c>
      <c r="O37" s="184"/>
      <c r="P37" s="530" t="s">
        <v>6</v>
      </c>
      <c r="Q37" s="531" t="s">
        <v>7</v>
      </c>
      <c r="R37" s="531" t="s">
        <v>7</v>
      </c>
      <c r="S37" s="532" t="s">
        <v>7</v>
      </c>
      <c r="T37" s="204"/>
    </row>
    <row r="38" spans="1:20" ht="36.75" customHeight="1" x14ac:dyDescent="0.2">
      <c r="A38" s="239" t="s">
        <v>277</v>
      </c>
      <c r="B38" s="300" t="s">
        <v>278</v>
      </c>
      <c r="C38" s="300" t="s">
        <v>279</v>
      </c>
      <c r="D38" s="325" t="s">
        <v>100</v>
      </c>
      <c r="E38" s="529" t="s">
        <v>1781</v>
      </c>
      <c r="F38" s="307" t="s">
        <v>310</v>
      </c>
      <c r="G38" s="310" t="s">
        <v>282</v>
      </c>
      <c r="H38" s="309"/>
      <c r="I38" s="304" t="s">
        <v>6</v>
      </c>
      <c r="J38" s="304" t="s">
        <v>284</v>
      </c>
      <c r="K38" s="305">
        <v>1</v>
      </c>
      <c r="L38" s="265" t="s">
        <v>77</v>
      </c>
      <c r="M38" s="265" t="s">
        <v>7</v>
      </c>
      <c r="N38" s="265" t="s">
        <v>7</v>
      </c>
      <c r="O38" s="184"/>
      <c r="P38" s="530" t="s">
        <v>6</v>
      </c>
      <c r="Q38" s="531" t="s">
        <v>7</v>
      </c>
      <c r="R38" s="531" t="s">
        <v>7</v>
      </c>
      <c r="S38" s="532" t="s">
        <v>7</v>
      </c>
      <c r="T38" s="204"/>
    </row>
    <row r="39" spans="1:20" ht="36.75" customHeight="1" x14ac:dyDescent="0.2">
      <c r="A39" s="239" t="s">
        <v>277</v>
      </c>
      <c r="B39" s="300" t="s">
        <v>278</v>
      </c>
      <c r="C39" s="300" t="s">
        <v>279</v>
      </c>
      <c r="D39" s="325" t="s">
        <v>100</v>
      </c>
      <c r="E39" s="529" t="s">
        <v>1781</v>
      </c>
      <c r="F39" s="307" t="s">
        <v>310</v>
      </c>
      <c r="G39" s="310" t="s">
        <v>285</v>
      </c>
      <c r="H39" s="309"/>
      <c r="I39" s="304" t="s">
        <v>6</v>
      </c>
      <c r="J39" s="304" t="s">
        <v>284</v>
      </c>
      <c r="K39" s="305">
        <v>1</v>
      </c>
      <c r="L39" s="265" t="s">
        <v>77</v>
      </c>
      <c r="M39" s="265" t="s">
        <v>7</v>
      </c>
      <c r="N39" s="265" t="s">
        <v>7</v>
      </c>
      <c r="O39" s="184"/>
      <c r="P39" s="530" t="s">
        <v>6</v>
      </c>
      <c r="Q39" s="531" t="s">
        <v>7</v>
      </c>
      <c r="R39" s="531" t="s">
        <v>7</v>
      </c>
      <c r="S39" s="532" t="s">
        <v>7</v>
      </c>
      <c r="T39" s="204"/>
    </row>
    <row r="40" spans="1:20" ht="36.75" customHeight="1" x14ac:dyDescent="0.2">
      <c r="A40" s="239" t="s">
        <v>277</v>
      </c>
      <c r="B40" s="300" t="s">
        <v>278</v>
      </c>
      <c r="C40" s="300" t="s">
        <v>279</v>
      </c>
      <c r="D40" s="325" t="s">
        <v>100</v>
      </c>
      <c r="E40" s="529" t="s">
        <v>1781</v>
      </c>
      <c r="F40" s="307" t="s">
        <v>311</v>
      </c>
      <c r="G40" s="310" t="s">
        <v>292</v>
      </c>
      <c r="H40" s="309" t="s">
        <v>312</v>
      </c>
      <c r="I40" s="304" t="s">
        <v>6</v>
      </c>
      <c r="J40" s="304" t="s">
        <v>284</v>
      </c>
      <c r="K40" s="305">
        <v>1</v>
      </c>
      <c r="L40" s="265" t="s">
        <v>77</v>
      </c>
      <c r="M40" s="265" t="s">
        <v>7</v>
      </c>
      <c r="N40" s="265" t="s">
        <v>7</v>
      </c>
      <c r="O40" s="184"/>
      <c r="P40" s="530" t="s">
        <v>6</v>
      </c>
      <c r="Q40" s="531" t="s">
        <v>7</v>
      </c>
      <c r="R40" s="531" t="s">
        <v>7</v>
      </c>
      <c r="S40" s="532" t="s">
        <v>7</v>
      </c>
      <c r="T40" s="204"/>
    </row>
    <row r="41" spans="1:20" ht="36.75" customHeight="1" x14ac:dyDescent="0.2">
      <c r="A41" s="239" t="s">
        <v>277</v>
      </c>
      <c r="B41" s="300" t="s">
        <v>278</v>
      </c>
      <c r="C41" s="300" t="s">
        <v>279</v>
      </c>
      <c r="D41" s="325" t="s">
        <v>100</v>
      </c>
      <c r="E41" s="529" t="s">
        <v>1781</v>
      </c>
      <c r="F41" s="307" t="s">
        <v>311</v>
      </c>
      <c r="G41" s="310" t="s">
        <v>294</v>
      </c>
      <c r="H41" s="309" t="s">
        <v>312</v>
      </c>
      <c r="I41" s="304" t="s">
        <v>6</v>
      </c>
      <c r="J41" s="304" t="s">
        <v>284</v>
      </c>
      <c r="K41" s="305">
        <v>1</v>
      </c>
      <c r="L41" s="265" t="s">
        <v>77</v>
      </c>
      <c r="M41" s="265" t="s">
        <v>7</v>
      </c>
      <c r="N41" s="265" t="s">
        <v>7</v>
      </c>
      <c r="O41" s="184"/>
      <c r="P41" s="530" t="s">
        <v>6</v>
      </c>
      <c r="Q41" s="531" t="s">
        <v>7</v>
      </c>
      <c r="R41" s="531" t="s">
        <v>7</v>
      </c>
      <c r="S41" s="532" t="s">
        <v>7</v>
      </c>
      <c r="T41" s="204"/>
    </row>
    <row r="42" spans="1:20" ht="36.75" customHeight="1" x14ac:dyDescent="0.2">
      <c r="A42" s="239" t="s">
        <v>277</v>
      </c>
      <c r="B42" s="300" t="s">
        <v>278</v>
      </c>
      <c r="C42" s="300" t="s">
        <v>279</v>
      </c>
      <c r="D42" s="325" t="s">
        <v>96</v>
      </c>
      <c r="E42" s="529" t="s">
        <v>1782</v>
      </c>
      <c r="F42" s="315" t="s">
        <v>97</v>
      </c>
      <c r="G42" s="316" t="s">
        <v>282</v>
      </c>
      <c r="H42" s="303" t="s">
        <v>283</v>
      </c>
      <c r="I42" s="304" t="s">
        <v>6</v>
      </c>
      <c r="J42" s="265" t="s">
        <v>313</v>
      </c>
      <c r="K42" s="305">
        <v>1</v>
      </c>
      <c r="L42" s="265" t="s">
        <v>77</v>
      </c>
      <c r="M42" s="265" t="s">
        <v>7</v>
      </c>
      <c r="N42" s="265" t="s">
        <v>7</v>
      </c>
      <c r="O42" s="184"/>
      <c r="P42" s="530" t="s">
        <v>6</v>
      </c>
      <c r="Q42" s="531" t="s">
        <v>7</v>
      </c>
      <c r="R42" s="531" t="s">
        <v>7</v>
      </c>
      <c r="S42" s="532" t="s">
        <v>7</v>
      </c>
      <c r="T42" s="204"/>
    </row>
    <row r="43" spans="1:20" ht="36.75" customHeight="1" x14ac:dyDescent="0.2">
      <c r="A43" s="239" t="s">
        <v>277</v>
      </c>
      <c r="B43" s="300" t="s">
        <v>278</v>
      </c>
      <c r="C43" s="300" t="s">
        <v>279</v>
      </c>
      <c r="D43" s="325" t="s">
        <v>96</v>
      </c>
      <c r="E43" s="529" t="s">
        <v>1782</v>
      </c>
      <c r="F43" s="315" t="s">
        <v>97</v>
      </c>
      <c r="G43" s="315" t="s">
        <v>285</v>
      </c>
      <c r="H43" s="303" t="s">
        <v>283</v>
      </c>
      <c r="I43" s="304" t="s">
        <v>6</v>
      </c>
      <c r="J43" s="265" t="s">
        <v>313</v>
      </c>
      <c r="K43" s="305">
        <v>1</v>
      </c>
      <c r="L43" s="265" t="s">
        <v>77</v>
      </c>
      <c r="M43" s="265" t="s">
        <v>7</v>
      </c>
      <c r="N43" s="265" t="s">
        <v>7</v>
      </c>
      <c r="O43" s="184"/>
      <c r="P43" s="530" t="s">
        <v>6</v>
      </c>
      <c r="Q43" s="531" t="s">
        <v>7</v>
      </c>
      <c r="R43" s="531" t="s">
        <v>7</v>
      </c>
      <c r="S43" s="532" t="s">
        <v>7</v>
      </c>
      <c r="T43" s="204"/>
    </row>
    <row r="44" spans="1:20" ht="36.75" customHeight="1" x14ac:dyDescent="0.2">
      <c r="A44" s="239" t="s">
        <v>277</v>
      </c>
      <c r="B44" s="300" t="s">
        <v>278</v>
      </c>
      <c r="C44" s="300" t="s">
        <v>279</v>
      </c>
      <c r="D44" s="325" t="s">
        <v>96</v>
      </c>
      <c r="E44" s="529" t="s">
        <v>1782</v>
      </c>
      <c r="F44" s="307" t="s">
        <v>286</v>
      </c>
      <c r="G44" s="308" t="s">
        <v>300</v>
      </c>
      <c r="H44" s="303" t="s">
        <v>287</v>
      </c>
      <c r="I44" s="304" t="s">
        <v>6</v>
      </c>
      <c r="J44" s="265" t="s">
        <v>314</v>
      </c>
      <c r="K44" s="305">
        <v>1</v>
      </c>
      <c r="L44" s="317" t="s">
        <v>6</v>
      </c>
      <c r="M44" s="265" t="s">
        <v>315</v>
      </c>
      <c r="N44" s="318">
        <v>0.08</v>
      </c>
      <c r="O44" s="184"/>
      <c r="P44" s="530" t="s">
        <v>6</v>
      </c>
      <c r="Q44" s="532" t="s">
        <v>314</v>
      </c>
      <c r="R44" s="630">
        <v>0.08</v>
      </c>
      <c r="S44" s="630">
        <v>1</v>
      </c>
      <c r="T44" s="204"/>
    </row>
    <row r="45" spans="1:20" ht="36.75" customHeight="1" x14ac:dyDescent="0.2">
      <c r="A45" s="239" t="s">
        <v>277</v>
      </c>
      <c r="B45" s="300" t="s">
        <v>278</v>
      </c>
      <c r="C45" s="300" t="s">
        <v>279</v>
      </c>
      <c r="D45" s="325" t="s">
        <v>96</v>
      </c>
      <c r="E45" s="529" t="s">
        <v>1782</v>
      </c>
      <c r="F45" s="307" t="s">
        <v>286</v>
      </c>
      <c r="G45" s="308" t="s">
        <v>292</v>
      </c>
      <c r="H45" s="303" t="s">
        <v>288</v>
      </c>
      <c r="I45" s="304" t="s">
        <v>6</v>
      </c>
      <c r="J45" s="265" t="s">
        <v>314</v>
      </c>
      <c r="K45" s="305">
        <v>1</v>
      </c>
      <c r="L45" s="265" t="s">
        <v>6</v>
      </c>
      <c r="M45" s="265" t="s">
        <v>315</v>
      </c>
      <c r="N45" s="319">
        <v>0.08</v>
      </c>
      <c r="O45" s="184"/>
      <c r="P45" s="530" t="s">
        <v>6</v>
      </c>
      <c r="Q45" s="532" t="s">
        <v>314</v>
      </c>
      <c r="R45" s="630">
        <v>0.08</v>
      </c>
      <c r="S45" s="630">
        <v>1</v>
      </c>
      <c r="T45" s="204"/>
    </row>
    <row r="46" spans="1:20" ht="36.75" customHeight="1" x14ac:dyDescent="0.2">
      <c r="A46" s="239" t="s">
        <v>277</v>
      </c>
      <c r="B46" s="300" t="s">
        <v>278</v>
      </c>
      <c r="C46" s="300" t="s">
        <v>279</v>
      </c>
      <c r="D46" s="325" t="s">
        <v>96</v>
      </c>
      <c r="E46" s="529" t="s">
        <v>1782</v>
      </c>
      <c r="F46" s="307" t="s">
        <v>286</v>
      </c>
      <c r="G46" s="308" t="s">
        <v>294</v>
      </c>
      <c r="H46" s="303" t="s">
        <v>289</v>
      </c>
      <c r="I46" s="304" t="s">
        <v>6</v>
      </c>
      <c r="J46" s="265" t="s">
        <v>313</v>
      </c>
      <c r="K46" s="305">
        <v>1</v>
      </c>
      <c r="L46" s="265" t="s">
        <v>77</v>
      </c>
      <c r="M46" s="265" t="s">
        <v>7</v>
      </c>
      <c r="N46" s="265" t="s">
        <v>7</v>
      </c>
      <c r="O46" s="184"/>
      <c r="P46" s="530" t="s">
        <v>6</v>
      </c>
      <c r="Q46" s="531" t="s">
        <v>7</v>
      </c>
      <c r="R46" s="531" t="s">
        <v>7</v>
      </c>
      <c r="S46" s="550" t="s">
        <v>7</v>
      </c>
      <c r="T46" s="204"/>
    </row>
    <row r="47" spans="1:20" ht="36.75" customHeight="1" x14ac:dyDescent="0.2">
      <c r="A47" s="239" t="s">
        <v>277</v>
      </c>
      <c r="B47" s="300" t="s">
        <v>278</v>
      </c>
      <c r="C47" s="300" t="s">
        <v>279</v>
      </c>
      <c r="D47" s="325" t="s">
        <v>96</v>
      </c>
      <c r="E47" s="529" t="s">
        <v>1782</v>
      </c>
      <c r="F47" s="307" t="s">
        <v>286</v>
      </c>
      <c r="G47" s="308" t="s">
        <v>282</v>
      </c>
      <c r="H47" s="303" t="s">
        <v>290</v>
      </c>
      <c r="I47" s="304" t="s">
        <v>6</v>
      </c>
      <c r="J47" s="265" t="s">
        <v>313</v>
      </c>
      <c r="K47" s="305">
        <v>1</v>
      </c>
      <c r="L47" s="265" t="s">
        <v>77</v>
      </c>
      <c r="M47" s="265" t="s">
        <v>7</v>
      </c>
      <c r="N47" s="265" t="s">
        <v>7</v>
      </c>
      <c r="O47" s="184"/>
      <c r="P47" s="530" t="s">
        <v>6</v>
      </c>
      <c r="Q47" s="531" t="s">
        <v>7</v>
      </c>
      <c r="R47" s="531" t="s">
        <v>7</v>
      </c>
      <c r="S47" s="550" t="s">
        <v>7</v>
      </c>
      <c r="T47" s="204"/>
    </row>
    <row r="48" spans="1:20" ht="36.75" customHeight="1" x14ac:dyDescent="0.2">
      <c r="A48" s="239" t="s">
        <v>277</v>
      </c>
      <c r="B48" s="300" t="s">
        <v>278</v>
      </c>
      <c r="C48" s="300" t="s">
        <v>279</v>
      </c>
      <c r="D48" s="325" t="s">
        <v>96</v>
      </c>
      <c r="E48" s="529" t="s">
        <v>1782</v>
      </c>
      <c r="F48" s="307" t="s">
        <v>286</v>
      </c>
      <c r="G48" s="308" t="s">
        <v>285</v>
      </c>
      <c r="H48" s="303" t="s">
        <v>291</v>
      </c>
      <c r="I48" s="304" t="s">
        <v>6</v>
      </c>
      <c r="J48" s="265" t="s">
        <v>313</v>
      </c>
      <c r="K48" s="305">
        <v>1</v>
      </c>
      <c r="L48" s="265" t="s">
        <v>77</v>
      </c>
      <c r="M48" s="265" t="s">
        <v>7</v>
      </c>
      <c r="N48" s="265" t="s">
        <v>7</v>
      </c>
      <c r="O48" s="184"/>
      <c r="P48" s="530" t="s">
        <v>6</v>
      </c>
      <c r="Q48" s="531" t="s">
        <v>7</v>
      </c>
      <c r="R48" s="531" t="s">
        <v>7</v>
      </c>
      <c r="S48" s="550" t="s">
        <v>7</v>
      </c>
      <c r="T48" s="204"/>
    </row>
    <row r="49" spans="1:20" ht="36.75" customHeight="1" x14ac:dyDescent="0.2">
      <c r="A49" s="239" t="s">
        <v>277</v>
      </c>
      <c r="B49" s="300" t="s">
        <v>278</v>
      </c>
      <c r="C49" s="300" t="s">
        <v>279</v>
      </c>
      <c r="D49" s="325" t="s">
        <v>96</v>
      </c>
      <c r="E49" s="529" t="s">
        <v>1782</v>
      </c>
      <c r="F49" s="307" t="s">
        <v>303</v>
      </c>
      <c r="G49" s="308" t="s">
        <v>300</v>
      </c>
      <c r="H49" s="309" t="s">
        <v>304</v>
      </c>
      <c r="I49" s="304" t="s">
        <v>6</v>
      </c>
      <c r="J49" s="265" t="s">
        <v>314</v>
      </c>
      <c r="K49" s="305">
        <v>1</v>
      </c>
      <c r="L49" s="265" t="s">
        <v>6</v>
      </c>
      <c r="M49" s="265" t="s">
        <v>315</v>
      </c>
      <c r="N49" s="319">
        <v>0.08</v>
      </c>
      <c r="O49" s="184"/>
      <c r="P49" s="530" t="s">
        <v>6</v>
      </c>
      <c r="Q49" s="532" t="s">
        <v>314</v>
      </c>
      <c r="R49" s="630">
        <v>0.08</v>
      </c>
      <c r="S49" s="630">
        <v>1</v>
      </c>
      <c r="T49" s="204"/>
    </row>
    <row r="50" spans="1:20" ht="36.75" customHeight="1" x14ac:dyDescent="0.2">
      <c r="A50" s="239" t="s">
        <v>277</v>
      </c>
      <c r="B50" s="300" t="s">
        <v>278</v>
      </c>
      <c r="C50" s="300" t="s">
        <v>279</v>
      </c>
      <c r="D50" s="325" t="s">
        <v>96</v>
      </c>
      <c r="E50" s="529" t="s">
        <v>1782</v>
      </c>
      <c r="F50" s="307" t="s">
        <v>303</v>
      </c>
      <c r="G50" s="308" t="s">
        <v>292</v>
      </c>
      <c r="H50" s="309" t="s">
        <v>304</v>
      </c>
      <c r="I50" s="304" t="s">
        <v>6</v>
      </c>
      <c r="J50" s="265" t="s">
        <v>314</v>
      </c>
      <c r="K50" s="305">
        <v>1</v>
      </c>
      <c r="L50" s="265" t="s">
        <v>6</v>
      </c>
      <c r="M50" s="265" t="s">
        <v>315</v>
      </c>
      <c r="N50" s="319">
        <v>0.08</v>
      </c>
      <c r="O50" s="184"/>
      <c r="P50" s="530" t="s">
        <v>6</v>
      </c>
      <c r="Q50" s="532" t="s">
        <v>314</v>
      </c>
      <c r="R50" s="630">
        <v>0.08</v>
      </c>
      <c r="S50" s="630">
        <v>1</v>
      </c>
      <c r="T50" s="204"/>
    </row>
    <row r="51" spans="1:20" ht="36.75" customHeight="1" x14ac:dyDescent="0.2">
      <c r="A51" s="239" t="s">
        <v>277</v>
      </c>
      <c r="B51" s="300" t="s">
        <v>278</v>
      </c>
      <c r="C51" s="300" t="s">
        <v>279</v>
      </c>
      <c r="D51" s="325" t="s">
        <v>96</v>
      </c>
      <c r="E51" s="529" t="s">
        <v>1782</v>
      </c>
      <c r="F51" s="307" t="s">
        <v>303</v>
      </c>
      <c r="G51" s="308" t="s">
        <v>294</v>
      </c>
      <c r="H51" s="309" t="s">
        <v>304</v>
      </c>
      <c r="I51" s="304" t="s">
        <v>6</v>
      </c>
      <c r="J51" s="265" t="s">
        <v>314</v>
      </c>
      <c r="K51" s="305">
        <v>1</v>
      </c>
      <c r="L51" s="265" t="s">
        <v>6</v>
      </c>
      <c r="M51" s="265" t="s">
        <v>315</v>
      </c>
      <c r="N51" s="319">
        <v>0.08</v>
      </c>
      <c r="O51" s="184"/>
      <c r="P51" s="530" t="s">
        <v>6</v>
      </c>
      <c r="Q51" s="532" t="s">
        <v>314</v>
      </c>
      <c r="R51" s="630">
        <v>0.08</v>
      </c>
      <c r="S51" s="630">
        <v>1</v>
      </c>
      <c r="T51" s="204"/>
    </row>
    <row r="52" spans="1:20" ht="36.75" customHeight="1" x14ac:dyDescent="0.2">
      <c r="A52" s="239" t="s">
        <v>277</v>
      </c>
      <c r="B52" s="300" t="s">
        <v>278</v>
      </c>
      <c r="C52" s="300" t="s">
        <v>279</v>
      </c>
      <c r="D52" s="325" t="s">
        <v>96</v>
      </c>
      <c r="E52" s="529" t="s">
        <v>1782</v>
      </c>
      <c r="F52" s="307" t="s">
        <v>303</v>
      </c>
      <c r="G52" s="308" t="s">
        <v>282</v>
      </c>
      <c r="H52" s="309" t="s">
        <v>304</v>
      </c>
      <c r="I52" s="304" t="s">
        <v>6</v>
      </c>
      <c r="J52" s="265" t="s">
        <v>314</v>
      </c>
      <c r="K52" s="305">
        <v>1</v>
      </c>
      <c r="L52" s="265" t="s">
        <v>6</v>
      </c>
      <c r="M52" s="265" t="s">
        <v>315</v>
      </c>
      <c r="N52" s="319">
        <v>0.08</v>
      </c>
      <c r="O52" s="184"/>
      <c r="P52" s="530" t="s">
        <v>6</v>
      </c>
      <c r="Q52" s="532" t="s">
        <v>314</v>
      </c>
      <c r="R52" s="630">
        <v>0.08</v>
      </c>
      <c r="S52" s="630">
        <v>1</v>
      </c>
      <c r="T52" s="204"/>
    </row>
    <row r="53" spans="1:20" ht="36.75" customHeight="1" x14ac:dyDescent="0.2">
      <c r="A53" s="239" t="s">
        <v>277</v>
      </c>
      <c r="B53" s="300" t="s">
        <v>278</v>
      </c>
      <c r="C53" s="300" t="s">
        <v>279</v>
      </c>
      <c r="D53" s="325" t="s">
        <v>96</v>
      </c>
      <c r="E53" s="529" t="s">
        <v>1782</v>
      </c>
      <c r="F53" s="307" t="s">
        <v>303</v>
      </c>
      <c r="G53" s="308" t="s">
        <v>285</v>
      </c>
      <c r="H53" s="309" t="s">
        <v>304</v>
      </c>
      <c r="I53" s="304" t="s">
        <v>6</v>
      </c>
      <c r="J53" s="265" t="s">
        <v>313</v>
      </c>
      <c r="K53" s="305">
        <v>1</v>
      </c>
      <c r="L53" s="265" t="s">
        <v>77</v>
      </c>
      <c r="M53" s="265" t="s">
        <v>7</v>
      </c>
      <c r="N53" s="265" t="s">
        <v>7</v>
      </c>
      <c r="O53" s="184"/>
      <c r="P53" s="530" t="s">
        <v>6</v>
      </c>
      <c r="Q53" s="531" t="s">
        <v>7</v>
      </c>
      <c r="R53" s="531" t="s">
        <v>7</v>
      </c>
      <c r="S53" s="550" t="s">
        <v>7</v>
      </c>
      <c r="T53" s="204"/>
    </row>
    <row r="54" spans="1:20" ht="36.75" customHeight="1" x14ac:dyDescent="0.2">
      <c r="A54" s="239" t="s">
        <v>277</v>
      </c>
      <c r="B54" s="300" t="s">
        <v>278</v>
      </c>
      <c r="C54" s="300" t="s">
        <v>279</v>
      </c>
      <c r="D54" s="325" t="s">
        <v>96</v>
      </c>
      <c r="E54" s="529" t="s">
        <v>1782</v>
      </c>
      <c r="F54" s="307" t="s">
        <v>99</v>
      </c>
      <c r="G54" s="308" t="s">
        <v>300</v>
      </c>
      <c r="H54" s="303" t="s">
        <v>301</v>
      </c>
      <c r="I54" s="304" t="s">
        <v>6</v>
      </c>
      <c r="J54" s="265" t="s">
        <v>314</v>
      </c>
      <c r="K54" s="305">
        <v>1</v>
      </c>
      <c r="L54" s="317" t="s">
        <v>6</v>
      </c>
      <c r="M54" s="265" t="s">
        <v>315</v>
      </c>
      <c r="N54" s="320">
        <v>0.08</v>
      </c>
      <c r="O54" s="184"/>
      <c r="P54" s="530" t="s">
        <v>6</v>
      </c>
      <c r="Q54" s="532" t="s">
        <v>314</v>
      </c>
      <c r="R54" s="630">
        <v>0.08</v>
      </c>
      <c r="S54" s="630">
        <v>1</v>
      </c>
      <c r="T54" s="204"/>
    </row>
    <row r="55" spans="1:20" ht="36.75" customHeight="1" x14ac:dyDescent="0.2">
      <c r="A55" s="239" t="s">
        <v>277</v>
      </c>
      <c r="B55" s="300" t="s">
        <v>278</v>
      </c>
      <c r="C55" s="300" t="s">
        <v>279</v>
      </c>
      <c r="D55" s="325" t="s">
        <v>96</v>
      </c>
      <c r="E55" s="529" t="s">
        <v>1782</v>
      </c>
      <c r="F55" s="307" t="s">
        <v>99</v>
      </c>
      <c r="G55" s="308" t="s">
        <v>292</v>
      </c>
      <c r="H55" s="303" t="s">
        <v>302</v>
      </c>
      <c r="I55" s="304" t="s">
        <v>6</v>
      </c>
      <c r="J55" s="265" t="s">
        <v>314</v>
      </c>
      <c r="K55" s="305">
        <v>1</v>
      </c>
      <c r="L55" s="265" t="s">
        <v>77</v>
      </c>
      <c r="M55" s="265" t="s">
        <v>7</v>
      </c>
      <c r="N55" s="265" t="s">
        <v>7</v>
      </c>
      <c r="O55" s="184"/>
      <c r="P55" s="530" t="s">
        <v>6</v>
      </c>
      <c r="Q55" s="532" t="s">
        <v>314</v>
      </c>
      <c r="R55" s="630">
        <v>0.08</v>
      </c>
      <c r="S55" s="630">
        <v>1</v>
      </c>
      <c r="T55" s="204"/>
    </row>
    <row r="56" spans="1:20" ht="36.75" customHeight="1" x14ac:dyDescent="0.2">
      <c r="A56" s="239" t="s">
        <v>277</v>
      </c>
      <c r="B56" s="300" t="s">
        <v>278</v>
      </c>
      <c r="C56" s="300" t="s">
        <v>279</v>
      </c>
      <c r="D56" s="325" t="s">
        <v>96</v>
      </c>
      <c r="E56" s="529" t="s">
        <v>1782</v>
      </c>
      <c r="F56" s="307" t="s">
        <v>99</v>
      </c>
      <c r="G56" s="308" t="s">
        <v>294</v>
      </c>
      <c r="H56" s="303" t="s">
        <v>302</v>
      </c>
      <c r="I56" s="304" t="s">
        <v>6</v>
      </c>
      <c r="J56" s="265" t="s">
        <v>314</v>
      </c>
      <c r="K56" s="305">
        <v>1</v>
      </c>
      <c r="L56" s="265" t="s">
        <v>77</v>
      </c>
      <c r="M56" s="265" t="s">
        <v>7</v>
      </c>
      <c r="N56" s="265" t="s">
        <v>7</v>
      </c>
      <c r="O56" s="184"/>
      <c r="P56" s="530" t="s">
        <v>6</v>
      </c>
      <c r="Q56" s="532" t="s">
        <v>314</v>
      </c>
      <c r="R56" s="630">
        <v>0.08</v>
      </c>
      <c r="S56" s="630">
        <v>1</v>
      </c>
      <c r="T56" s="204"/>
    </row>
    <row r="57" spans="1:20" ht="36.75" customHeight="1" x14ac:dyDescent="0.2">
      <c r="A57" s="239" t="s">
        <v>277</v>
      </c>
      <c r="B57" s="300" t="s">
        <v>278</v>
      </c>
      <c r="C57" s="300" t="s">
        <v>279</v>
      </c>
      <c r="D57" s="325" t="s">
        <v>96</v>
      </c>
      <c r="E57" s="529" t="s">
        <v>1782</v>
      </c>
      <c r="F57" s="307" t="s">
        <v>99</v>
      </c>
      <c r="G57" s="308" t="s">
        <v>282</v>
      </c>
      <c r="H57" s="303" t="s">
        <v>301</v>
      </c>
      <c r="I57" s="304" t="s">
        <v>6</v>
      </c>
      <c r="J57" s="265" t="s">
        <v>313</v>
      </c>
      <c r="K57" s="305">
        <v>1</v>
      </c>
      <c r="L57" s="265" t="s">
        <v>77</v>
      </c>
      <c r="M57" s="265" t="s">
        <v>7</v>
      </c>
      <c r="N57" s="265" t="s">
        <v>7</v>
      </c>
      <c r="O57" s="184"/>
      <c r="P57" s="530" t="s">
        <v>6</v>
      </c>
      <c r="Q57" s="531" t="s">
        <v>7</v>
      </c>
      <c r="R57" s="531" t="s">
        <v>7</v>
      </c>
      <c r="S57" s="550" t="s">
        <v>7</v>
      </c>
      <c r="T57" s="204"/>
    </row>
    <row r="58" spans="1:20" ht="36.75" customHeight="1" x14ac:dyDescent="0.2">
      <c r="A58" s="239" t="s">
        <v>277</v>
      </c>
      <c r="B58" s="300" t="s">
        <v>278</v>
      </c>
      <c r="C58" s="300" t="s">
        <v>279</v>
      </c>
      <c r="D58" s="325" t="s">
        <v>96</v>
      </c>
      <c r="E58" s="529" t="s">
        <v>1782</v>
      </c>
      <c r="F58" s="307" t="s">
        <v>99</v>
      </c>
      <c r="G58" s="310" t="s">
        <v>285</v>
      </c>
      <c r="H58" s="303" t="s">
        <v>301</v>
      </c>
      <c r="I58" s="304" t="s">
        <v>6</v>
      </c>
      <c r="J58" s="265" t="s">
        <v>313</v>
      </c>
      <c r="K58" s="305">
        <v>1</v>
      </c>
      <c r="L58" s="265" t="s">
        <v>77</v>
      </c>
      <c r="M58" s="265" t="s">
        <v>7</v>
      </c>
      <c r="N58" s="265" t="s">
        <v>7</v>
      </c>
      <c r="O58" s="270"/>
      <c r="P58" s="530" t="s">
        <v>6</v>
      </c>
      <c r="Q58" s="531" t="s">
        <v>7</v>
      </c>
      <c r="R58" s="531" t="s">
        <v>7</v>
      </c>
      <c r="S58" s="550" t="s">
        <v>7</v>
      </c>
      <c r="T58" s="204"/>
    </row>
    <row r="59" spans="1:20" ht="36.75" customHeight="1" x14ac:dyDescent="0.2">
      <c r="A59" s="239" t="s">
        <v>277</v>
      </c>
      <c r="B59" s="300" t="s">
        <v>278</v>
      </c>
      <c r="C59" s="300" t="s">
        <v>279</v>
      </c>
      <c r="D59" s="325" t="s">
        <v>96</v>
      </c>
      <c r="E59" s="529" t="s">
        <v>1782</v>
      </c>
      <c r="F59" s="307" t="s">
        <v>296</v>
      </c>
      <c r="G59" s="308" t="s">
        <v>300</v>
      </c>
      <c r="H59" s="303" t="s">
        <v>293</v>
      </c>
      <c r="I59" s="304" t="s">
        <v>6</v>
      </c>
      <c r="J59" s="265" t="s">
        <v>314</v>
      </c>
      <c r="K59" s="305">
        <v>1</v>
      </c>
      <c r="L59" s="265" t="s">
        <v>6</v>
      </c>
      <c r="M59" s="265" t="s">
        <v>315</v>
      </c>
      <c r="N59" s="319">
        <v>0.08</v>
      </c>
      <c r="O59" s="184"/>
      <c r="P59" s="530" t="s">
        <v>6</v>
      </c>
      <c r="Q59" s="532" t="s">
        <v>314</v>
      </c>
      <c r="R59" s="630">
        <v>0.08</v>
      </c>
      <c r="S59" s="630">
        <v>1</v>
      </c>
      <c r="T59" s="204"/>
    </row>
    <row r="60" spans="1:20" ht="36.75" customHeight="1" x14ac:dyDescent="0.2">
      <c r="A60" s="239" t="s">
        <v>277</v>
      </c>
      <c r="B60" s="300" t="s">
        <v>278</v>
      </c>
      <c r="C60" s="300" t="s">
        <v>279</v>
      </c>
      <c r="D60" s="325" t="s">
        <v>96</v>
      </c>
      <c r="E60" s="529" t="s">
        <v>1782</v>
      </c>
      <c r="F60" s="307" t="s">
        <v>296</v>
      </c>
      <c r="G60" s="310" t="s">
        <v>292</v>
      </c>
      <c r="H60" s="303" t="s">
        <v>293</v>
      </c>
      <c r="I60" s="304" t="s">
        <v>6</v>
      </c>
      <c r="J60" s="265" t="s">
        <v>314</v>
      </c>
      <c r="K60" s="305">
        <v>1</v>
      </c>
      <c r="L60" s="265" t="s">
        <v>6</v>
      </c>
      <c r="M60" s="265" t="s">
        <v>315</v>
      </c>
      <c r="N60" s="319">
        <v>0.08</v>
      </c>
      <c r="O60" s="184"/>
      <c r="P60" s="530" t="s">
        <v>6</v>
      </c>
      <c r="Q60" s="532" t="s">
        <v>314</v>
      </c>
      <c r="R60" s="630">
        <v>0.08</v>
      </c>
      <c r="S60" s="630">
        <v>1</v>
      </c>
      <c r="T60" s="204"/>
    </row>
    <row r="61" spans="1:20" ht="36.75" customHeight="1" x14ac:dyDescent="0.2">
      <c r="A61" s="239" t="s">
        <v>277</v>
      </c>
      <c r="B61" s="300" t="s">
        <v>278</v>
      </c>
      <c r="C61" s="300" t="s">
        <v>279</v>
      </c>
      <c r="D61" s="325" t="s">
        <v>96</v>
      </c>
      <c r="E61" s="529" t="s">
        <v>1782</v>
      </c>
      <c r="F61" s="307" t="s">
        <v>296</v>
      </c>
      <c r="G61" s="308" t="s">
        <v>294</v>
      </c>
      <c r="H61" s="303" t="s">
        <v>295</v>
      </c>
      <c r="I61" s="304" t="s">
        <v>6</v>
      </c>
      <c r="J61" s="265" t="s">
        <v>313</v>
      </c>
      <c r="K61" s="305">
        <v>1</v>
      </c>
      <c r="L61" s="265" t="s">
        <v>77</v>
      </c>
      <c r="M61" s="265" t="s">
        <v>7</v>
      </c>
      <c r="N61" s="265" t="s">
        <v>7</v>
      </c>
      <c r="O61" s="184"/>
      <c r="P61" s="530" t="s">
        <v>6</v>
      </c>
      <c r="Q61" s="531" t="s">
        <v>7</v>
      </c>
      <c r="R61" s="531" t="s">
        <v>7</v>
      </c>
      <c r="S61" s="550" t="s">
        <v>7</v>
      </c>
      <c r="T61" s="204"/>
    </row>
    <row r="62" spans="1:20" ht="36.75" customHeight="1" x14ac:dyDescent="0.2">
      <c r="A62" s="239" t="s">
        <v>277</v>
      </c>
      <c r="B62" s="300" t="s">
        <v>278</v>
      </c>
      <c r="C62" s="300" t="s">
        <v>279</v>
      </c>
      <c r="D62" s="325" t="s">
        <v>96</v>
      </c>
      <c r="E62" s="529" t="s">
        <v>1782</v>
      </c>
      <c r="F62" s="307" t="s">
        <v>296</v>
      </c>
      <c r="G62" s="308" t="s">
        <v>282</v>
      </c>
      <c r="H62" s="303" t="s">
        <v>295</v>
      </c>
      <c r="I62" s="304" t="s">
        <v>6</v>
      </c>
      <c r="J62" s="265" t="s">
        <v>313</v>
      </c>
      <c r="K62" s="305">
        <v>1</v>
      </c>
      <c r="L62" s="265" t="s">
        <v>77</v>
      </c>
      <c r="M62" s="265" t="s">
        <v>7</v>
      </c>
      <c r="N62" s="265" t="s">
        <v>7</v>
      </c>
      <c r="O62" s="184"/>
      <c r="P62" s="530" t="s">
        <v>6</v>
      </c>
      <c r="Q62" s="531" t="s">
        <v>7</v>
      </c>
      <c r="R62" s="531" t="s">
        <v>7</v>
      </c>
      <c r="S62" s="550" t="s">
        <v>7</v>
      </c>
      <c r="T62" s="204"/>
    </row>
    <row r="63" spans="1:20" ht="36.75" customHeight="1" x14ac:dyDescent="0.2">
      <c r="A63" s="239" t="s">
        <v>277</v>
      </c>
      <c r="B63" s="300" t="s">
        <v>278</v>
      </c>
      <c r="C63" s="300" t="s">
        <v>279</v>
      </c>
      <c r="D63" s="325" t="s">
        <v>96</v>
      </c>
      <c r="E63" s="529" t="s">
        <v>1782</v>
      </c>
      <c r="F63" s="307" t="s">
        <v>296</v>
      </c>
      <c r="G63" s="308" t="s">
        <v>285</v>
      </c>
      <c r="H63" s="303" t="s">
        <v>297</v>
      </c>
      <c r="I63" s="304" t="s">
        <v>6</v>
      </c>
      <c r="J63" s="265" t="s">
        <v>313</v>
      </c>
      <c r="K63" s="305">
        <v>1</v>
      </c>
      <c r="L63" s="265" t="s">
        <v>77</v>
      </c>
      <c r="M63" s="265" t="s">
        <v>7</v>
      </c>
      <c r="N63" s="265" t="s">
        <v>7</v>
      </c>
      <c r="O63" s="184"/>
      <c r="P63" s="530" t="s">
        <v>6</v>
      </c>
      <c r="Q63" s="531" t="s">
        <v>7</v>
      </c>
      <c r="R63" s="531" t="s">
        <v>7</v>
      </c>
      <c r="S63" s="550" t="s">
        <v>7</v>
      </c>
      <c r="T63" s="204"/>
    </row>
    <row r="64" spans="1:20" ht="36.75" customHeight="1" x14ac:dyDescent="0.2">
      <c r="A64" s="239" t="s">
        <v>277</v>
      </c>
      <c r="B64" s="300" t="s">
        <v>278</v>
      </c>
      <c r="C64" s="300" t="s">
        <v>279</v>
      </c>
      <c r="D64" s="325" t="s">
        <v>96</v>
      </c>
      <c r="E64" s="529" t="s">
        <v>1782</v>
      </c>
      <c r="F64" s="307" t="s">
        <v>296</v>
      </c>
      <c r="G64" s="308" t="s">
        <v>298</v>
      </c>
      <c r="H64" s="303" t="s">
        <v>299</v>
      </c>
      <c r="I64" s="304" t="s">
        <v>6</v>
      </c>
      <c r="J64" s="265" t="s">
        <v>313</v>
      </c>
      <c r="K64" s="305">
        <v>1</v>
      </c>
      <c r="L64" s="265" t="s">
        <v>77</v>
      </c>
      <c r="M64" s="265" t="s">
        <v>7</v>
      </c>
      <c r="N64" s="265" t="s">
        <v>7</v>
      </c>
      <c r="O64" s="184"/>
      <c r="P64" s="530" t="s">
        <v>6</v>
      </c>
      <c r="Q64" s="531" t="s">
        <v>7</v>
      </c>
      <c r="R64" s="531" t="s">
        <v>7</v>
      </c>
      <c r="S64" s="550" t="s">
        <v>7</v>
      </c>
      <c r="T64" s="204"/>
    </row>
    <row r="65" spans="1:20" ht="36.75" customHeight="1" x14ac:dyDescent="0.2">
      <c r="A65" s="239" t="s">
        <v>277</v>
      </c>
      <c r="B65" s="300" t="s">
        <v>278</v>
      </c>
      <c r="C65" s="300" t="s">
        <v>279</v>
      </c>
      <c r="D65" s="325" t="s">
        <v>96</v>
      </c>
      <c r="E65" s="529" t="s">
        <v>1783</v>
      </c>
      <c r="F65" s="307" t="s">
        <v>316</v>
      </c>
      <c r="G65" s="308" t="s">
        <v>294</v>
      </c>
      <c r="H65" s="309" t="s">
        <v>312</v>
      </c>
      <c r="I65" s="304" t="s">
        <v>6</v>
      </c>
      <c r="J65" s="265" t="s">
        <v>313</v>
      </c>
      <c r="K65" s="305">
        <v>1</v>
      </c>
      <c r="L65" s="265" t="s">
        <v>77</v>
      </c>
      <c r="M65" s="265" t="s">
        <v>7</v>
      </c>
      <c r="N65" s="265" t="s">
        <v>7</v>
      </c>
      <c r="O65" s="184"/>
      <c r="P65" s="530" t="s">
        <v>6</v>
      </c>
      <c r="Q65" s="531" t="s">
        <v>7</v>
      </c>
      <c r="R65" s="531" t="s">
        <v>7</v>
      </c>
      <c r="S65" s="550" t="s">
        <v>7</v>
      </c>
      <c r="T65" s="204"/>
    </row>
    <row r="66" spans="1:20" ht="36.75" customHeight="1" x14ac:dyDescent="0.2">
      <c r="A66" s="239" t="s">
        <v>277</v>
      </c>
      <c r="B66" s="300" t="s">
        <v>278</v>
      </c>
      <c r="C66" s="300" t="s">
        <v>279</v>
      </c>
      <c r="D66" s="325" t="s">
        <v>96</v>
      </c>
      <c r="E66" s="529" t="s">
        <v>1784</v>
      </c>
      <c r="F66" s="307" t="s">
        <v>308</v>
      </c>
      <c r="G66" s="308" t="s">
        <v>300</v>
      </c>
      <c r="H66" s="303" t="s">
        <v>309</v>
      </c>
      <c r="I66" s="304" t="s">
        <v>6</v>
      </c>
      <c r="J66" s="265" t="s">
        <v>314</v>
      </c>
      <c r="K66" s="305">
        <v>1</v>
      </c>
      <c r="L66" s="317" t="s">
        <v>6</v>
      </c>
      <c r="M66" s="265" t="s">
        <v>315</v>
      </c>
      <c r="N66" s="320">
        <v>0.08</v>
      </c>
      <c r="O66" s="184"/>
      <c r="P66" s="530" t="s">
        <v>6</v>
      </c>
      <c r="Q66" s="532" t="s">
        <v>314</v>
      </c>
      <c r="R66" s="630">
        <v>0.08</v>
      </c>
      <c r="S66" s="630">
        <v>1</v>
      </c>
      <c r="T66" s="204"/>
    </row>
    <row r="67" spans="1:20" ht="36.75" customHeight="1" x14ac:dyDescent="0.2">
      <c r="A67" s="239" t="s">
        <v>277</v>
      </c>
      <c r="B67" s="300" t="s">
        <v>278</v>
      </c>
      <c r="C67" s="300" t="s">
        <v>279</v>
      </c>
      <c r="D67" s="325" t="s">
        <v>96</v>
      </c>
      <c r="E67" s="529" t="s">
        <v>1784</v>
      </c>
      <c r="F67" s="307" t="s">
        <v>308</v>
      </c>
      <c r="G67" s="308" t="s">
        <v>292</v>
      </c>
      <c r="H67" s="303" t="s">
        <v>309</v>
      </c>
      <c r="I67" s="304" t="s">
        <v>6</v>
      </c>
      <c r="J67" s="265" t="s">
        <v>314</v>
      </c>
      <c r="K67" s="305">
        <v>1</v>
      </c>
      <c r="L67" s="265" t="s">
        <v>6</v>
      </c>
      <c r="M67" s="265" t="s">
        <v>315</v>
      </c>
      <c r="N67" s="319">
        <v>0.08</v>
      </c>
      <c r="O67" s="184"/>
      <c r="P67" s="530" t="s">
        <v>6</v>
      </c>
      <c r="Q67" s="532" t="s">
        <v>314</v>
      </c>
      <c r="R67" s="630">
        <v>0.08</v>
      </c>
      <c r="S67" s="630">
        <v>1</v>
      </c>
      <c r="T67" s="204"/>
    </row>
    <row r="68" spans="1:20" ht="36.75" customHeight="1" x14ac:dyDescent="0.2">
      <c r="A68" s="239" t="s">
        <v>277</v>
      </c>
      <c r="B68" s="300" t="s">
        <v>278</v>
      </c>
      <c r="C68" s="300" t="s">
        <v>279</v>
      </c>
      <c r="D68" s="325" t="s">
        <v>96</v>
      </c>
      <c r="E68" s="529" t="s">
        <v>1784</v>
      </c>
      <c r="F68" s="307" t="s">
        <v>308</v>
      </c>
      <c r="G68" s="310" t="s">
        <v>294</v>
      </c>
      <c r="H68" s="303" t="s">
        <v>309</v>
      </c>
      <c r="I68" s="304" t="s">
        <v>6</v>
      </c>
      <c r="J68" s="265" t="s">
        <v>313</v>
      </c>
      <c r="K68" s="305">
        <v>1</v>
      </c>
      <c r="L68" s="265" t="s">
        <v>6</v>
      </c>
      <c r="M68" s="265" t="s">
        <v>7</v>
      </c>
      <c r="N68" s="265"/>
      <c r="O68" s="270"/>
      <c r="P68" s="530" t="s">
        <v>6</v>
      </c>
      <c r="Q68" s="531" t="s">
        <v>7</v>
      </c>
      <c r="R68" s="531" t="s">
        <v>7</v>
      </c>
      <c r="S68" s="550" t="s">
        <v>7</v>
      </c>
      <c r="T68" s="204"/>
    </row>
    <row r="69" spans="1:20" ht="36.75" customHeight="1" x14ac:dyDescent="0.2">
      <c r="A69" s="239" t="s">
        <v>277</v>
      </c>
      <c r="B69" s="300" t="s">
        <v>278</v>
      </c>
      <c r="C69" s="300" t="s">
        <v>279</v>
      </c>
      <c r="D69" s="325" t="s">
        <v>96</v>
      </c>
      <c r="E69" s="529" t="s">
        <v>1785</v>
      </c>
      <c r="F69" s="307" t="s">
        <v>305</v>
      </c>
      <c r="G69" s="308" t="s">
        <v>300</v>
      </c>
      <c r="H69" s="309" t="s">
        <v>306</v>
      </c>
      <c r="I69" s="304" t="s">
        <v>6</v>
      </c>
      <c r="J69" s="265" t="s">
        <v>314</v>
      </c>
      <c r="K69" s="305">
        <v>1</v>
      </c>
      <c r="L69" s="265" t="s">
        <v>6</v>
      </c>
      <c r="M69" s="265" t="s">
        <v>315</v>
      </c>
      <c r="N69" s="319">
        <v>0.08</v>
      </c>
      <c r="O69" s="184"/>
      <c r="P69" s="530" t="s">
        <v>6</v>
      </c>
      <c r="Q69" s="532" t="s">
        <v>314</v>
      </c>
      <c r="R69" s="630">
        <v>0.08</v>
      </c>
      <c r="S69" s="630">
        <v>1</v>
      </c>
      <c r="T69" s="204"/>
    </row>
    <row r="70" spans="1:20" ht="36.75" customHeight="1" x14ac:dyDescent="0.2">
      <c r="A70" s="239" t="s">
        <v>277</v>
      </c>
      <c r="B70" s="300" t="s">
        <v>278</v>
      </c>
      <c r="C70" s="300" t="s">
        <v>279</v>
      </c>
      <c r="D70" s="325" t="s">
        <v>96</v>
      </c>
      <c r="E70" s="529" t="s">
        <v>1785</v>
      </c>
      <c r="F70" s="307" t="s">
        <v>305</v>
      </c>
      <c r="G70" s="308" t="s">
        <v>292</v>
      </c>
      <c r="H70" s="303" t="s">
        <v>307</v>
      </c>
      <c r="I70" s="304" t="s">
        <v>6</v>
      </c>
      <c r="J70" s="265" t="s">
        <v>314</v>
      </c>
      <c r="K70" s="305">
        <v>1</v>
      </c>
      <c r="L70" s="265" t="s">
        <v>6</v>
      </c>
      <c r="M70" s="265" t="s">
        <v>315</v>
      </c>
      <c r="N70" s="319">
        <v>0.08</v>
      </c>
      <c r="O70" s="184"/>
      <c r="P70" s="530" t="s">
        <v>6</v>
      </c>
      <c r="Q70" s="532" t="s">
        <v>314</v>
      </c>
      <c r="R70" s="630">
        <v>0.08</v>
      </c>
      <c r="S70" s="630">
        <v>1</v>
      </c>
      <c r="T70" s="204"/>
    </row>
    <row r="71" spans="1:20" ht="36.75" customHeight="1" x14ac:dyDescent="0.2">
      <c r="A71" s="239" t="s">
        <v>277</v>
      </c>
      <c r="B71" s="300" t="s">
        <v>278</v>
      </c>
      <c r="C71" s="300" t="s">
        <v>279</v>
      </c>
      <c r="D71" s="325" t="s">
        <v>96</v>
      </c>
      <c r="E71" s="529" t="s">
        <v>1785</v>
      </c>
      <c r="F71" s="307" t="s">
        <v>305</v>
      </c>
      <c r="G71" s="308" t="s">
        <v>294</v>
      </c>
      <c r="H71" s="303" t="s">
        <v>307</v>
      </c>
      <c r="I71" s="304" t="s">
        <v>6</v>
      </c>
      <c r="J71" s="265" t="s">
        <v>313</v>
      </c>
      <c r="K71" s="305">
        <v>1</v>
      </c>
      <c r="L71" s="265" t="s">
        <v>6</v>
      </c>
      <c r="M71" s="265" t="s">
        <v>7</v>
      </c>
      <c r="N71" s="265" t="s">
        <v>7</v>
      </c>
      <c r="O71" s="184"/>
      <c r="P71" s="530" t="s">
        <v>6</v>
      </c>
      <c r="Q71" s="531" t="s">
        <v>7</v>
      </c>
      <c r="R71" s="531" t="s">
        <v>7</v>
      </c>
      <c r="S71" s="550" t="s">
        <v>7</v>
      </c>
      <c r="T71" s="204"/>
    </row>
    <row r="72" spans="1:20" ht="36.75" customHeight="1" x14ac:dyDescent="0.2">
      <c r="A72" s="239" t="s">
        <v>277</v>
      </c>
      <c r="B72" s="300" t="s">
        <v>278</v>
      </c>
      <c r="C72" s="300" t="s">
        <v>279</v>
      </c>
      <c r="D72" s="325" t="s">
        <v>96</v>
      </c>
      <c r="E72" s="529" t="s">
        <v>1785</v>
      </c>
      <c r="F72" s="307" t="s">
        <v>305</v>
      </c>
      <c r="G72" s="310" t="s">
        <v>282</v>
      </c>
      <c r="H72" s="309" t="s">
        <v>306</v>
      </c>
      <c r="I72" s="304" t="s">
        <v>6</v>
      </c>
      <c r="J72" s="265" t="s">
        <v>313</v>
      </c>
      <c r="K72" s="305">
        <v>1</v>
      </c>
      <c r="L72" s="265" t="s">
        <v>6</v>
      </c>
      <c r="M72" s="265" t="s">
        <v>7</v>
      </c>
      <c r="N72" s="265" t="s">
        <v>7</v>
      </c>
      <c r="O72" s="270"/>
      <c r="P72" s="530" t="s">
        <v>6</v>
      </c>
      <c r="Q72" s="531" t="s">
        <v>7</v>
      </c>
      <c r="R72" s="531" t="s">
        <v>7</v>
      </c>
      <c r="S72" s="550" t="s">
        <v>7</v>
      </c>
      <c r="T72" s="204"/>
    </row>
    <row r="73" spans="1:20" ht="36.75" customHeight="1" x14ac:dyDescent="0.2">
      <c r="A73" s="239" t="s">
        <v>277</v>
      </c>
      <c r="B73" s="300" t="s">
        <v>278</v>
      </c>
      <c r="C73" s="300" t="s">
        <v>279</v>
      </c>
      <c r="D73" s="325" t="s">
        <v>98</v>
      </c>
      <c r="E73" s="529" t="s">
        <v>1786</v>
      </c>
      <c r="F73" s="315" t="s">
        <v>97</v>
      </c>
      <c r="G73" s="302" t="s">
        <v>282</v>
      </c>
      <c r="H73" s="303" t="s">
        <v>283</v>
      </c>
      <c r="I73" s="304" t="s">
        <v>6</v>
      </c>
      <c r="J73" s="265" t="s">
        <v>313</v>
      </c>
      <c r="K73" s="305">
        <v>1</v>
      </c>
      <c r="L73" s="265" t="s">
        <v>77</v>
      </c>
      <c r="M73" s="265" t="s">
        <v>7</v>
      </c>
      <c r="N73" s="265" t="s">
        <v>7</v>
      </c>
      <c r="O73" s="184"/>
      <c r="P73" s="530" t="s">
        <v>6</v>
      </c>
      <c r="Q73" s="531" t="s">
        <v>7</v>
      </c>
      <c r="R73" s="531" t="s">
        <v>7</v>
      </c>
      <c r="S73" s="550" t="s">
        <v>7</v>
      </c>
      <c r="T73" s="204"/>
    </row>
    <row r="74" spans="1:20" ht="36.75" customHeight="1" x14ac:dyDescent="0.2">
      <c r="A74" s="239" t="s">
        <v>277</v>
      </c>
      <c r="B74" s="300" t="s">
        <v>278</v>
      </c>
      <c r="C74" s="300" t="s">
        <v>279</v>
      </c>
      <c r="D74" s="325" t="s">
        <v>98</v>
      </c>
      <c r="E74" s="529" t="s">
        <v>1786</v>
      </c>
      <c r="F74" s="315" t="s">
        <v>97</v>
      </c>
      <c r="G74" s="302" t="s">
        <v>285</v>
      </c>
      <c r="H74" s="303" t="s">
        <v>283</v>
      </c>
      <c r="I74" s="304" t="s">
        <v>6</v>
      </c>
      <c r="J74" s="265" t="s">
        <v>313</v>
      </c>
      <c r="K74" s="305">
        <v>1</v>
      </c>
      <c r="L74" s="265" t="s">
        <v>77</v>
      </c>
      <c r="M74" s="265" t="s">
        <v>7</v>
      </c>
      <c r="N74" s="265" t="s">
        <v>7</v>
      </c>
      <c r="O74" s="184"/>
      <c r="P74" s="530" t="s">
        <v>6</v>
      </c>
      <c r="Q74" s="531" t="s">
        <v>7</v>
      </c>
      <c r="R74" s="531" t="s">
        <v>7</v>
      </c>
      <c r="S74" s="550" t="s">
        <v>7</v>
      </c>
      <c r="T74" s="204"/>
    </row>
    <row r="75" spans="1:20" ht="36.75" customHeight="1" x14ac:dyDescent="0.2">
      <c r="A75" s="239" t="s">
        <v>277</v>
      </c>
      <c r="B75" s="300" t="s">
        <v>278</v>
      </c>
      <c r="C75" s="300" t="s">
        <v>279</v>
      </c>
      <c r="D75" s="325" t="s">
        <v>98</v>
      </c>
      <c r="E75" s="529" t="s">
        <v>1786</v>
      </c>
      <c r="F75" s="307" t="s">
        <v>286</v>
      </c>
      <c r="G75" s="307" t="s">
        <v>300</v>
      </c>
      <c r="H75" s="303" t="s">
        <v>287</v>
      </c>
      <c r="I75" s="304" t="s">
        <v>6</v>
      </c>
      <c r="J75" s="265" t="s">
        <v>314</v>
      </c>
      <c r="K75" s="305">
        <v>1</v>
      </c>
      <c r="L75" s="317" t="s">
        <v>6</v>
      </c>
      <c r="M75" s="265" t="s">
        <v>315</v>
      </c>
      <c r="N75" s="318">
        <v>0.08</v>
      </c>
      <c r="O75" s="184"/>
      <c r="P75" s="530" t="s">
        <v>6</v>
      </c>
      <c r="Q75" s="532" t="s">
        <v>314</v>
      </c>
      <c r="R75" s="630">
        <v>0.08</v>
      </c>
      <c r="S75" s="630">
        <v>1</v>
      </c>
      <c r="T75" s="204"/>
    </row>
    <row r="76" spans="1:20" ht="36.75" customHeight="1" x14ac:dyDescent="0.2">
      <c r="A76" s="239" t="s">
        <v>277</v>
      </c>
      <c r="B76" s="300" t="s">
        <v>278</v>
      </c>
      <c r="C76" s="300" t="s">
        <v>279</v>
      </c>
      <c r="D76" s="325" t="s">
        <v>98</v>
      </c>
      <c r="E76" s="529" t="s">
        <v>1786</v>
      </c>
      <c r="F76" s="307" t="s">
        <v>286</v>
      </c>
      <c r="G76" s="308" t="s">
        <v>292</v>
      </c>
      <c r="H76" s="303" t="s">
        <v>288</v>
      </c>
      <c r="I76" s="304" t="s">
        <v>6</v>
      </c>
      <c r="J76" s="265" t="s">
        <v>314</v>
      </c>
      <c r="K76" s="305">
        <v>1</v>
      </c>
      <c r="L76" s="265" t="s">
        <v>6</v>
      </c>
      <c r="M76" s="265" t="s">
        <v>315</v>
      </c>
      <c r="N76" s="319">
        <v>0.08</v>
      </c>
      <c r="O76" s="184"/>
      <c r="P76" s="530" t="s">
        <v>6</v>
      </c>
      <c r="Q76" s="532" t="s">
        <v>314</v>
      </c>
      <c r="R76" s="630">
        <v>0.08</v>
      </c>
      <c r="S76" s="630">
        <v>1</v>
      </c>
      <c r="T76" s="204"/>
    </row>
    <row r="77" spans="1:20" ht="36.75" customHeight="1" x14ac:dyDescent="0.2">
      <c r="A77" s="239" t="s">
        <v>277</v>
      </c>
      <c r="B77" s="300" t="s">
        <v>278</v>
      </c>
      <c r="C77" s="300" t="s">
        <v>279</v>
      </c>
      <c r="D77" s="325" t="s">
        <v>98</v>
      </c>
      <c r="E77" s="529" t="s">
        <v>1786</v>
      </c>
      <c r="F77" s="307" t="s">
        <v>286</v>
      </c>
      <c r="G77" s="308" t="s">
        <v>294</v>
      </c>
      <c r="H77" s="303" t="s">
        <v>289</v>
      </c>
      <c r="I77" s="304" t="s">
        <v>6</v>
      </c>
      <c r="J77" s="265" t="s">
        <v>313</v>
      </c>
      <c r="K77" s="305">
        <v>1</v>
      </c>
      <c r="L77" s="265" t="s">
        <v>77</v>
      </c>
      <c r="M77" s="265" t="s">
        <v>7</v>
      </c>
      <c r="N77" s="265" t="s">
        <v>7</v>
      </c>
      <c r="O77" s="184"/>
      <c r="P77" s="530" t="s">
        <v>6</v>
      </c>
      <c r="Q77" s="531" t="s">
        <v>7</v>
      </c>
      <c r="R77" s="531" t="s">
        <v>7</v>
      </c>
      <c r="S77" s="550" t="s">
        <v>7</v>
      </c>
      <c r="T77" s="204"/>
    </row>
    <row r="78" spans="1:20" ht="36.75" customHeight="1" x14ac:dyDescent="0.2">
      <c r="A78" s="239" t="s">
        <v>277</v>
      </c>
      <c r="B78" s="300" t="s">
        <v>278</v>
      </c>
      <c r="C78" s="300" t="s">
        <v>279</v>
      </c>
      <c r="D78" s="325" t="s">
        <v>98</v>
      </c>
      <c r="E78" s="529" t="s">
        <v>1786</v>
      </c>
      <c r="F78" s="307" t="s">
        <v>286</v>
      </c>
      <c r="G78" s="308" t="s">
        <v>282</v>
      </c>
      <c r="H78" s="303" t="s">
        <v>290</v>
      </c>
      <c r="I78" s="304" t="s">
        <v>6</v>
      </c>
      <c r="J78" s="265" t="s">
        <v>313</v>
      </c>
      <c r="K78" s="305">
        <v>1</v>
      </c>
      <c r="L78" s="265" t="s">
        <v>77</v>
      </c>
      <c r="M78" s="265" t="s">
        <v>7</v>
      </c>
      <c r="N78" s="265" t="s">
        <v>7</v>
      </c>
      <c r="O78" s="184"/>
      <c r="P78" s="530" t="s">
        <v>6</v>
      </c>
      <c r="Q78" s="531" t="s">
        <v>7</v>
      </c>
      <c r="R78" s="531" t="s">
        <v>7</v>
      </c>
      <c r="S78" s="550" t="s">
        <v>7</v>
      </c>
      <c r="T78" s="204"/>
    </row>
    <row r="79" spans="1:20" ht="36.75" customHeight="1" x14ac:dyDescent="0.2">
      <c r="A79" s="239" t="s">
        <v>277</v>
      </c>
      <c r="B79" s="300" t="s">
        <v>278</v>
      </c>
      <c r="C79" s="300" t="s">
        <v>279</v>
      </c>
      <c r="D79" s="325" t="s">
        <v>98</v>
      </c>
      <c r="E79" s="529" t="s">
        <v>1786</v>
      </c>
      <c r="F79" s="307" t="s">
        <v>286</v>
      </c>
      <c r="G79" s="308" t="s">
        <v>285</v>
      </c>
      <c r="H79" s="303" t="s">
        <v>291</v>
      </c>
      <c r="I79" s="304" t="s">
        <v>6</v>
      </c>
      <c r="J79" s="265" t="s">
        <v>313</v>
      </c>
      <c r="K79" s="305">
        <v>1</v>
      </c>
      <c r="L79" s="265" t="s">
        <v>77</v>
      </c>
      <c r="M79" s="265" t="s">
        <v>7</v>
      </c>
      <c r="N79" s="265" t="s">
        <v>7</v>
      </c>
      <c r="O79" s="184"/>
      <c r="P79" s="530" t="s">
        <v>6</v>
      </c>
      <c r="Q79" s="531" t="s">
        <v>7</v>
      </c>
      <c r="R79" s="531" t="s">
        <v>7</v>
      </c>
      <c r="S79" s="550" t="s">
        <v>7</v>
      </c>
      <c r="T79" s="204"/>
    </row>
    <row r="80" spans="1:20" ht="36.75" customHeight="1" x14ac:dyDescent="0.2">
      <c r="A80" s="239" t="s">
        <v>277</v>
      </c>
      <c r="B80" s="300" t="s">
        <v>278</v>
      </c>
      <c r="C80" s="300" t="s">
        <v>279</v>
      </c>
      <c r="D80" s="325" t="s">
        <v>98</v>
      </c>
      <c r="E80" s="529" t="s">
        <v>1786</v>
      </c>
      <c r="F80" s="307" t="s">
        <v>303</v>
      </c>
      <c r="G80" s="308" t="s">
        <v>300</v>
      </c>
      <c r="H80" s="309" t="s">
        <v>304</v>
      </c>
      <c r="I80" s="304" t="s">
        <v>6</v>
      </c>
      <c r="J80" s="265" t="s">
        <v>314</v>
      </c>
      <c r="K80" s="305">
        <v>1</v>
      </c>
      <c r="L80" s="265" t="s">
        <v>6</v>
      </c>
      <c r="M80" s="265" t="s">
        <v>315</v>
      </c>
      <c r="N80" s="319">
        <v>0.08</v>
      </c>
      <c r="O80" s="184"/>
      <c r="P80" s="530" t="s">
        <v>6</v>
      </c>
      <c r="Q80" s="532" t="s">
        <v>314</v>
      </c>
      <c r="R80" s="630">
        <v>0.08</v>
      </c>
      <c r="S80" s="630">
        <v>1</v>
      </c>
      <c r="T80" s="204"/>
    </row>
    <row r="81" spans="1:20" ht="36.75" customHeight="1" x14ac:dyDescent="0.2">
      <c r="A81" s="239" t="s">
        <v>277</v>
      </c>
      <c r="B81" s="300" t="s">
        <v>278</v>
      </c>
      <c r="C81" s="300" t="s">
        <v>279</v>
      </c>
      <c r="D81" s="325" t="s">
        <v>98</v>
      </c>
      <c r="E81" s="529" t="s">
        <v>1786</v>
      </c>
      <c r="F81" s="307" t="s">
        <v>303</v>
      </c>
      <c r="G81" s="308" t="s">
        <v>292</v>
      </c>
      <c r="H81" s="309" t="s">
        <v>304</v>
      </c>
      <c r="I81" s="304" t="s">
        <v>6</v>
      </c>
      <c r="J81" s="265" t="s">
        <v>314</v>
      </c>
      <c r="K81" s="305">
        <v>1</v>
      </c>
      <c r="L81" s="265" t="s">
        <v>6</v>
      </c>
      <c r="M81" s="265" t="s">
        <v>315</v>
      </c>
      <c r="N81" s="319">
        <v>0.08</v>
      </c>
      <c r="O81" s="184"/>
      <c r="P81" s="530" t="s">
        <v>6</v>
      </c>
      <c r="Q81" s="532" t="s">
        <v>314</v>
      </c>
      <c r="R81" s="630">
        <v>0.08</v>
      </c>
      <c r="S81" s="630">
        <v>1</v>
      </c>
      <c r="T81" s="204"/>
    </row>
    <row r="82" spans="1:20" ht="36.75" customHeight="1" x14ac:dyDescent="0.2">
      <c r="A82" s="239" t="s">
        <v>277</v>
      </c>
      <c r="B82" s="300" t="s">
        <v>278</v>
      </c>
      <c r="C82" s="300" t="s">
        <v>279</v>
      </c>
      <c r="D82" s="325" t="s">
        <v>98</v>
      </c>
      <c r="E82" s="529" t="s">
        <v>1786</v>
      </c>
      <c r="F82" s="307" t="s">
        <v>303</v>
      </c>
      <c r="G82" s="308" t="s">
        <v>294</v>
      </c>
      <c r="H82" s="309" t="s">
        <v>304</v>
      </c>
      <c r="I82" s="304" t="s">
        <v>6</v>
      </c>
      <c r="J82" s="265" t="s">
        <v>314</v>
      </c>
      <c r="K82" s="305">
        <v>1</v>
      </c>
      <c r="L82" s="265" t="s">
        <v>6</v>
      </c>
      <c r="M82" s="265" t="s">
        <v>315</v>
      </c>
      <c r="N82" s="319">
        <v>0.08</v>
      </c>
      <c r="O82" s="184"/>
      <c r="P82" s="530" t="s">
        <v>6</v>
      </c>
      <c r="Q82" s="532" t="s">
        <v>314</v>
      </c>
      <c r="R82" s="630">
        <v>0.08</v>
      </c>
      <c r="S82" s="630">
        <v>1</v>
      </c>
      <c r="T82" s="204"/>
    </row>
    <row r="83" spans="1:20" ht="36.75" customHeight="1" x14ac:dyDescent="0.2">
      <c r="A83" s="239" t="s">
        <v>277</v>
      </c>
      <c r="B83" s="300" t="s">
        <v>278</v>
      </c>
      <c r="C83" s="300" t="s">
        <v>279</v>
      </c>
      <c r="D83" s="325" t="s">
        <v>98</v>
      </c>
      <c r="E83" s="529" t="s">
        <v>1786</v>
      </c>
      <c r="F83" s="307" t="s">
        <v>303</v>
      </c>
      <c r="G83" s="308" t="s">
        <v>282</v>
      </c>
      <c r="H83" s="309" t="s">
        <v>304</v>
      </c>
      <c r="I83" s="304" t="s">
        <v>6</v>
      </c>
      <c r="J83" s="265" t="s">
        <v>314</v>
      </c>
      <c r="K83" s="305">
        <v>1</v>
      </c>
      <c r="L83" s="265" t="s">
        <v>6</v>
      </c>
      <c r="M83" s="265" t="s">
        <v>315</v>
      </c>
      <c r="N83" s="319">
        <v>0.08</v>
      </c>
      <c r="O83" s="184"/>
      <c r="P83" s="530" t="s">
        <v>6</v>
      </c>
      <c r="Q83" s="532" t="s">
        <v>314</v>
      </c>
      <c r="R83" s="630">
        <v>0.08</v>
      </c>
      <c r="S83" s="630">
        <v>1</v>
      </c>
      <c r="T83" s="204"/>
    </row>
    <row r="84" spans="1:20" ht="36.75" customHeight="1" x14ac:dyDescent="0.2">
      <c r="A84" s="239" t="s">
        <v>277</v>
      </c>
      <c r="B84" s="300" t="s">
        <v>278</v>
      </c>
      <c r="C84" s="300" t="s">
        <v>279</v>
      </c>
      <c r="D84" s="325" t="s">
        <v>98</v>
      </c>
      <c r="E84" s="529" t="s">
        <v>1786</v>
      </c>
      <c r="F84" s="307" t="s">
        <v>303</v>
      </c>
      <c r="G84" s="308" t="s">
        <v>285</v>
      </c>
      <c r="H84" s="309" t="s">
        <v>304</v>
      </c>
      <c r="I84" s="304" t="s">
        <v>6</v>
      </c>
      <c r="J84" s="265" t="s">
        <v>313</v>
      </c>
      <c r="K84" s="305">
        <v>1</v>
      </c>
      <c r="L84" s="265" t="s">
        <v>77</v>
      </c>
      <c r="M84" s="265" t="s">
        <v>7</v>
      </c>
      <c r="N84" s="265" t="s">
        <v>7</v>
      </c>
      <c r="O84" s="184"/>
      <c r="P84" s="530" t="s">
        <v>6</v>
      </c>
      <c r="Q84" s="531" t="s">
        <v>7</v>
      </c>
      <c r="R84" s="531" t="s">
        <v>7</v>
      </c>
      <c r="S84" s="550" t="s">
        <v>7</v>
      </c>
      <c r="T84" s="204"/>
    </row>
    <row r="85" spans="1:20" ht="36.75" customHeight="1" x14ac:dyDescent="0.2">
      <c r="A85" s="239" t="s">
        <v>277</v>
      </c>
      <c r="B85" s="300" t="s">
        <v>278</v>
      </c>
      <c r="C85" s="300" t="s">
        <v>279</v>
      </c>
      <c r="D85" s="325" t="s">
        <v>98</v>
      </c>
      <c r="E85" s="529" t="s">
        <v>1786</v>
      </c>
      <c r="F85" s="307" t="s">
        <v>99</v>
      </c>
      <c r="G85" s="307" t="s">
        <v>300</v>
      </c>
      <c r="H85" s="303" t="s">
        <v>301</v>
      </c>
      <c r="I85" s="304" t="s">
        <v>6</v>
      </c>
      <c r="J85" s="265" t="s">
        <v>314</v>
      </c>
      <c r="K85" s="305">
        <v>1</v>
      </c>
      <c r="L85" s="317" t="s">
        <v>6</v>
      </c>
      <c r="M85" s="265" t="s">
        <v>315</v>
      </c>
      <c r="N85" s="320">
        <v>0.08</v>
      </c>
      <c r="O85" s="184"/>
      <c r="P85" s="530" t="s">
        <v>6</v>
      </c>
      <c r="Q85" s="532" t="s">
        <v>314</v>
      </c>
      <c r="R85" s="630">
        <v>0.08</v>
      </c>
      <c r="S85" s="630">
        <v>1</v>
      </c>
      <c r="T85" s="204"/>
    </row>
    <row r="86" spans="1:20" ht="36.75" customHeight="1" x14ac:dyDescent="0.2">
      <c r="A86" s="239" t="s">
        <v>277</v>
      </c>
      <c r="B86" s="300" t="s">
        <v>278</v>
      </c>
      <c r="C86" s="300" t="s">
        <v>279</v>
      </c>
      <c r="D86" s="325" t="s">
        <v>98</v>
      </c>
      <c r="E86" s="529" t="s">
        <v>1786</v>
      </c>
      <c r="F86" s="307" t="s">
        <v>99</v>
      </c>
      <c r="G86" s="307" t="s">
        <v>292</v>
      </c>
      <c r="H86" s="303" t="s">
        <v>302</v>
      </c>
      <c r="I86" s="304" t="s">
        <v>6</v>
      </c>
      <c r="J86" s="265" t="s">
        <v>314</v>
      </c>
      <c r="K86" s="305">
        <v>1</v>
      </c>
      <c r="L86" s="265" t="s">
        <v>77</v>
      </c>
      <c r="M86" s="265" t="s">
        <v>7</v>
      </c>
      <c r="N86" s="265" t="s">
        <v>7</v>
      </c>
      <c r="O86" s="184"/>
      <c r="P86" s="530" t="s">
        <v>6</v>
      </c>
      <c r="Q86" s="532" t="s">
        <v>314</v>
      </c>
      <c r="R86" s="630">
        <v>0.08</v>
      </c>
      <c r="S86" s="630">
        <v>1</v>
      </c>
      <c r="T86" s="204"/>
    </row>
    <row r="87" spans="1:20" ht="36.75" customHeight="1" x14ac:dyDescent="0.2">
      <c r="A87" s="239" t="s">
        <v>277</v>
      </c>
      <c r="B87" s="300" t="s">
        <v>278</v>
      </c>
      <c r="C87" s="300" t="s">
        <v>279</v>
      </c>
      <c r="D87" s="325" t="s">
        <v>98</v>
      </c>
      <c r="E87" s="529" t="s">
        <v>1786</v>
      </c>
      <c r="F87" s="307" t="s">
        <v>99</v>
      </c>
      <c r="G87" s="308" t="s">
        <v>294</v>
      </c>
      <c r="H87" s="303" t="s">
        <v>302</v>
      </c>
      <c r="I87" s="304" t="s">
        <v>6</v>
      </c>
      <c r="J87" s="265" t="s">
        <v>314</v>
      </c>
      <c r="K87" s="305">
        <v>1</v>
      </c>
      <c r="L87" s="265" t="s">
        <v>77</v>
      </c>
      <c r="M87" s="265" t="s">
        <v>7</v>
      </c>
      <c r="N87" s="265" t="s">
        <v>7</v>
      </c>
      <c r="O87" s="184"/>
      <c r="P87" s="530" t="s">
        <v>6</v>
      </c>
      <c r="Q87" s="532" t="s">
        <v>314</v>
      </c>
      <c r="R87" s="630">
        <v>0.08</v>
      </c>
      <c r="S87" s="630">
        <v>1</v>
      </c>
      <c r="T87" s="204"/>
    </row>
    <row r="88" spans="1:20" ht="36.75" customHeight="1" x14ac:dyDescent="0.2">
      <c r="A88" s="239" t="s">
        <v>277</v>
      </c>
      <c r="B88" s="300" t="s">
        <v>278</v>
      </c>
      <c r="C88" s="300" t="s">
        <v>279</v>
      </c>
      <c r="D88" s="325" t="s">
        <v>98</v>
      </c>
      <c r="E88" s="529" t="s">
        <v>1786</v>
      </c>
      <c r="F88" s="307" t="s">
        <v>99</v>
      </c>
      <c r="G88" s="308" t="s">
        <v>282</v>
      </c>
      <c r="H88" s="303" t="s">
        <v>301</v>
      </c>
      <c r="I88" s="304" t="s">
        <v>6</v>
      </c>
      <c r="J88" s="265" t="s">
        <v>313</v>
      </c>
      <c r="K88" s="305">
        <v>1</v>
      </c>
      <c r="L88" s="265" t="s">
        <v>77</v>
      </c>
      <c r="M88" s="265" t="s">
        <v>7</v>
      </c>
      <c r="N88" s="265" t="s">
        <v>7</v>
      </c>
      <c r="O88" s="184"/>
      <c r="P88" s="530" t="s">
        <v>6</v>
      </c>
      <c r="Q88" s="531" t="s">
        <v>7</v>
      </c>
      <c r="R88" s="531" t="s">
        <v>7</v>
      </c>
      <c r="S88" s="550" t="s">
        <v>7</v>
      </c>
      <c r="T88" s="204"/>
    </row>
    <row r="89" spans="1:20" ht="36.75" customHeight="1" x14ac:dyDescent="0.2">
      <c r="A89" s="239" t="s">
        <v>277</v>
      </c>
      <c r="B89" s="300" t="s">
        <v>278</v>
      </c>
      <c r="C89" s="300" t="s">
        <v>279</v>
      </c>
      <c r="D89" s="325" t="s">
        <v>98</v>
      </c>
      <c r="E89" s="529" t="s">
        <v>1786</v>
      </c>
      <c r="F89" s="307" t="s">
        <v>99</v>
      </c>
      <c r="G89" s="308" t="s">
        <v>285</v>
      </c>
      <c r="H89" s="303" t="s">
        <v>301</v>
      </c>
      <c r="I89" s="304" t="s">
        <v>6</v>
      </c>
      <c r="J89" s="265" t="s">
        <v>313</v>
      </c>
      <c r="K89" s="305">
        <v>1</v>
      </c>
      <c r="L89" s="265" t="s">
        <v>77</v>
      </c>
      <c r="M89" s="265" t="s">
        <v>7</v>
      </c>
      <c r="N89" s="265" t="s">
        <v>7</v>
      </c>
      <c r="O89" s="184"/>
      <c r="P89" s="530" t="s">
        <v>6</v>
      </c>
      <c r="Q89" s="531" t="s">
        <v>7</v>
      </c>
      <c r="R89" s="531" t="s">
        <v>7</v>
      </c>
      <c r="S89" s="550" t="s">
        <v>7</v>
      </c>
      <c r="T89" s="204"/>
    </row>
    <row r="90" spans="1:20" ht="36.75" customHeight="1" x14ac:dyDescent="0.2">
      <c r="A90" s="239" t="s">
        <v>277</v>
      </c>
      <c r="B90" s="300" t="s">
        <v>278</v>
      </c>
      <c r="C90" s="300" t="s">
        <v>279</v>
      </c>
      <c r="D90" s="325" t="s">
        <v>98</v>
      </c>
      <c r="E90" s="529" t="s">
        <v>1786</v>
      </c>
      <c r="F90" s="307" t="s">
        <v>296</v>
      </c>
      <c r="G90" s="308" t="s">
        <v>300</v>
      </c>
      <c r="H90" s="303" t="s">
        <v>293</v>
      </c>
      <c r="I90" s="304" t="s">
        <v>6</v>
      </c>
      <c r="J90" s="265" t="s">
        <v>314</v>
      </c>
      <c r="K90" s="305">
        <v>1</v>
      </c>
      <c r="L90" s="265" t="s">
        <v>6</v>
      </c>
      <c r="M90" s="265" t="s">
        <v>315</v>
      </c>
      <c r="N90" s="319">
        <v>0.08</v>
      </c>
      <c r="O90" s="184"/>
      <c r="P90" s="530" t="s">
        <v>6</v>
      </c>
      <c r="Q90" s="532" t="s">
        <v>314</v>
      </c>
      <c r="R90" s="630">
        <v>0.08</v>
      </c>
      <c r="S90" s="630">
        <v>1</v>
      </c>
      <c r="T90" s="204"/>
    </row>
    <row r="91" spans="1:20" ht="36.75" customHeight="1" x14ac:dyDescent="0.2">
      <c r="A91" s="239" t="s">
        <v>277</v>
      </c>
      <c r="B91" s="300" t="s">
        <v>278</v>
      </c>
      <c r="C91" s="300" t="s">
        <v>279</v>
      </c>
      <c r="D91" s="325" t="s">
        <v>98</v>
      </c>
      <c r="E91" s="529" t="s">
        <v>1786</v>
      </c>
      <c r="F91" s="307" t="s">
        <v>296</v>
      </c>
      <c r="G91" s="310" t="s">
        <v>292</v>
      </c>
      <c r="H91" s="303" t="s">
        <v>293</v>
      </c>
      <c r="I91" s="304" t="s">
        <v>6</v>
      </c>
      <c r="J91" s="265" t="s">
        <v>314</v>
      </c>
      <c r="K91" s="305">
        <v>1</v>
      </c>
      <c r="L91" s="265" t="s">
        <v>6</v>
      </c>
      <c r="M91" s="265" t="s">
        <v>315</v>
      </c>
      <c r="N91" s="319">
        <v>0.08</v>
      </c>
      <c r="O91" s="184"/>
      <c r="P91" s="530" t="s">
        <v>6</v>
      </c>
      <c r="Q91" s="532" t="s">
        <v>314</v>
      </c>
      <c r="R91" s="630">
        <v>0.08</v>
      </c>
      <c r="S91" s="630">
        <v>1</v>
      </c>
      <c r="T91" s="204"/>
    </row>
    <row r="92" spans="1:20" ht="36.75" customHeight="1" x14ac:dyDescent="0.2">
      <c r="A92" s="239" t="s">
        <v>277</v>
      </c>
      <c r="B92" s="300" t="s">
        <v>278</v>
      </c>
      <c r="C92" s="300" t="s">
        <v>279</v>
      </c>
      <c r="D92" s="325" t="s">
        <v>98</v>
      </c>
      <c r="E92" s="529" t="s">
        <v>1786</v>
      </c>
      <c r="F92" s="307" t="s">
        <v>296</v>
      </c>
      <c r="G92" s="308" t="s">
        <v>294</v>
      </c>
      <c r="H92" s="303" t="s">
        <v>295</v>
      </c>
      <c r="I92" s="304" t="s">
        <v>6</v>
      </c>
      <c r="J92" s="265" t="s">
        <v>313</v>
      </c>
      <c r="K92" s="305">
        <v>1</v>
      </c>
      <c r="L92" s="265" t="s">
        <v>77</v>
      </c>
      <c r="M92" s="265" t="s">
        <v>7</v>
      </c>
      <c r="N92" s="265" t="s">
        <v>7</v>
      </c>
      <c r="O92" s="184"/>
      <c r="P92" s="530" t="s">
        <v>6</v>
      </c>
      <c r="Q92" s="531" t="s">
        <v>7</v>
      </c>
      <c r="R92" s="531" t="s">
        <v>7</v>
      </c>
      <c r="S92" s="550" t="s">
        <v>7</v>
      </c>
      <c r="T92" s="204"/>
    </row>
    <row r="93" spans="1:20" ht="36.75" customHeight="1" x14ac:dyDescent="0.2">
      <c r="A93" s="239" t="s">
        <v>277</v>
      </c>
      <c r="B93" s="300" t="s">
        <v>278</v>
      </c>
      <c r="C93" s="300" t="s">
        <v>279</v>
      </c>
      <c r="D93" s="325" t="s">
        <v>98</v>
      </c>
      <c r="E93" s="529" t="s">
        <v>1786</v>
      </c>
      <c r="F93" s="307" t="s">
        <v>296</v>
      </c>
      <c r="G93" s="308" t="s">
        <v>282</v>
      </c>
      <c r="H93" s="303" t="s">
        <v>293</v>
      </c>
      <c r="I93" s="304" t="s">
        <v>6</v>
      </c>
      <c r="J93" s="265" t="s">
        <v>313</v>
      </c>
      <c r="K93" s="305">
        <v>1</v>
      </c>
      <c r="L93" s="265" t="s">
        <v>77</v>
      </c>
      <c r="M93" s="265" t="s">
        <v>7</v>
      </c>
      <c r="N93" s="265" t="s">
        <v>7</v>
      </c>
      <c r="O93" s="184"/>
      <c r="P93" s="530" t="s">
        <v>6</v>
      </c>
      <c r="Q93" s="531" t="s">
        <v>7</v>
      </c>
      <c r="R93" s="531" t="s">
        <v>7</v>
      </c>
      <c r="S93" s="550" t="s">
        <v>7</v>
      </c>
      <c r="T93" s="204"/>
    </row>
    <row r="94" spans="1:20" ht="36.75" customHeight="1" x14ac:dyDescent="0.2">
      <c r="A94" s="239" t="s">
        <v>277</v>
      </c>
      <c r="B94" s="300" t="s">
        <v>278</v>
      </c>
      <c r="C94" s="300" t="s">
        <v>279</v>
      </c>
      <c r="D94" s="325" t="s">
        <v>98</v>
      </c>
      <c r="E94" s="529" t="s">
        <v>1786</v>
      </c>
      <c r="F94" s="307" t="s">
        <v>296</v>
      </c>
      <c r="G94" s="308" t="s">
        <v>285</v>
      </c>
      <c r="H94" s="303" t="s">
        <v>297</v>
      </c>
      <c r="I94" s="304" t="s">
        <v>6</v>
      </c>
      <c r="J94" s="265" t="s">
        <v>313</v>
      </c>
      <c r="K94" s="305">
        <v>1</v>
      </c>
      <c r="L94" s="265" t="s">
        <v>77</v>
      </c>
      <c r="M94" s="265" t="s">
        <v>7</v>
      </c>
      <c r="N94" s="265" t="s">
        <v>7</v>
      </c>
      <c r="O94" s="184"/>
      <c r="P94" s="530" t="s">
        <v>6</v>
      </c>
      <c r="Q94" s="531" t="s">
        <v>7</v>
      </c>
      <c r="R94" s="531" t="s">
        <v>7</v>
      </c>
      <c r="S94" s="550" t="s">
        <v>7</v>
      </c>
      <c r="T94" s="204"/>
    </row>
    <row r="95" spans="1:20" ht="36.75" customHeight="1" x14ac:dyDescent="0.2">
      <c r="A95" s="239" t="s">
        <v>277</v>
      </c>
      <c r="B95" s="300" t="s">
        <v>278</v>
      </c>
      <c r="C95" s="300" t="s">
        <v>279</v>
      </c>
      <c r="D95" s="325" t="s">
        <v>98</v>
      </c>
      <c r="E95" s="529" t="s">
        <v>1786</v>
      </c>
      <c r="F95" s="307" t="s">
        <v>296</v>
      </c>
      <c r="G95" s="308" t="s">
        <v>298</v>
      </c>
      <c r="H95" s="303" t="s">
        <v>299</v>
      </c>
      <c r="I95" s="304" t="s">
        <v>6</v>
      </c>
      <c r="J95" s="265" t="s">
        <v>313</v>
      </c>
      <c r="K95" s="305">
        <v>1</v>
      </c>
      <c r="L95" s="265" t="s">
        <v>77</v>
      </c>
      <c r="M95" s="265" t="s">
        <v>7</v>
      </c>
      <c r="N95" s="265" t="s">
        <v>7</v>
      </c>
      <c r="O95" s="184"/>
      <c r="P95" s="530" t="s">
        <v>6</v>
      </c>
      <c r="Q95" s="531" t="s">
        <v>7</v>
      </c>
      <c r="R95" s="531" t="s">
        <v>7</v>
      </c>
      <c r="S95" s="550" t="s">
        <v>7</v>
      </c>
      <c r="T95" s="204"/>
    </row>
    <row r="96" spans="1:20" ht="36.75" customHeight="1" x14ac:dyDescent="0.2">
      <c r="A96" s="239" t="s">
        <v>277</v>
      </c>
      <c r="B96" s="300" t="s">
        <v>278</v>
      </c>
      <c r="C96" s="300" t="s">
        <v>279</v>
      </c>
      <c r="D96" s="325" t="s">
        <v>98</v>
      </c>
      <c r="E96" s="529" t="s">
        <v>1786</v>
      </c>
      <c r="F96" s="307" t="s">
        <v>316</v>
      </c>
      <c r="G96" s="308" t="s">
        <v>294</v>
      </c>
      <c r="H96" s="309" t="s">
        <v>312</v>
      </c>
      <c r="I96" s="304" t="s">
        <v>6</v>
      </c>
      <c r="J96" s="265" t="s">
        <v>313</v>
      </c>
      <c r="K96" s="305">
        <v>1</v>
      </c>
      <c r="L96" s="265" t="s">
        <v>77</v>
      </c>
      <c r="M96" s="265" t="s">
        <v>7</v>
      </c>
      <c r="N96" s="265" t="s">
        <v>7</v>
      </c>
      <c r="O96" s="184"/>
      <c r="P96" s="530" t="s">
        <v>6</v>
      </c>
      <c r="Q96" s="531" t="s">
        <v>7</v>
      </c>
      <c r="R96" s="531" t="s">
        <v>7</v>
      </c>
      <c r="S96" s="550" t="s">
        <v>7</v>
      </c>
      <c r="T96" s="204"/>
    </row>
    <row r="97" spans="1:20" ht="36.75" customHeight="1" x14ac:dyDescent="0.2">
      <c r="A97" s="239" t="s">
        <v>277</v>
      </c>
      <c r="B97" s="300" t="s">
        <v>278</v>
      </c>
      <c r="C97" s="300" t="s">
        <v>279</v>
      </c>
      <c r="D97" s="325" t="s">
        <v>98</v>
      </c>
      <c r="E97" s="529" t="s">
        <v>1786</v>
      </c>
      <c r="F97" s="307" t="s">
        <v>308</v>
      </c>
      <c r="G97" s="308" t="s">
        <v>300</v>
      </c>
      <c r="H97" s="303" t="s">
        <v>309</v>
      </c>
      <c r="I97" s="304" t="s">
        <v>6</v>
      </c>
      <c r="J97" s="265" t="s">
        <v>314</v>
      </c>
      <c r="K97" s="305">
        <v>1</v>
      </c>
      <c r="L97" s="265" t="s">
        <v>6</v>
      </c>
      <c r="M97" s="265" t="s">
        <v>315</v>
      </c>
      <c r="N97" s="319">
        <v>0.08</v>
      </c>
      <c r="O97" s="184"/>
      <c r="P97" s="530" t="s">
        <v>6</v>
      </c>
      <c r="Q97" s="532" t="s">
        <v>314</v>
      </c>
      <c r="R97" s="630">
        <v>0.08</v>
      </c>
      <c r="S97" s="630">
        <v>1</v>
      </c>
      <c r="T97" s="204"/>
    </row>
    <row r="98" spans="1:20" ht="36.75" customHeight="1" x14ac:dyDescent="0.2">
      <c r="A98" s="239" t="s">
        <v>277</v>
      </c>
      <c r="B98" s="300" t="s">
        <v>278</v>
      </c>
      <c r="C98" s="300" t="s">
        <v>279</v>
      </c>
      <c r="D98" s="325" t="s">
        <v>98</v>
      </c>
      <c r="E98" s="529" t="s">
        <v>1786</v>
      </c>
      <c r="F98" s="307" t="s">
        <v>308</v>
      </c>
      <c r="G98" s="308" t="s">
        <v>292</v>
      </c>
      <c r="H98" s="303" t="s">
        <v>307</v>
      </c>
      <c r="I98" s="304" t="s">
        <v>6</v>
      </c>
      <c r="J98" s="265" t="s">
        <v>313</v>
      </c>
      <c r="K98" s="305">
        <v>1</v>
      </c>
      <c r="L98" s="265" t="s">
        <v>6</v>
      </c>
      <c r="M98" s="265" t="s">
        <v>7</v>
      </c>
      <c r="N98" s="265"/>
      <c r="O98" s="184"/>
      <c r="P98" s="530" t="s">
        <v>6</v>
      </c>
      <c r="Q98" s="531" t="s">
        <v>7</v>
      </c>
      <c r="R98" s="531" t="s">
        <v>7</v>
      </c>
      <c r="S98" s="550" t="s">
        <v>7</v>
      </c>
      <c r="T98" s="204"/>
    </row>
    <row r="99" spans="1:20" ht="36.75" customHeight="1" x14ac:dyDescent="0.2">
      <c r="A99" s="239" t="s">
        <v>277</v>
      </c>
      <c r="B99" s="300" t="s">
        <v>278</v>
      </c>
      <c r="C99" s="300" t="s">
        <v>279</v>
      </c>
      <c r="D99" s="325" t="s">
        <v>98</v>
      </c>
      <c r="E99" s="529" t="s">
        <v>1786</v>
      </c>
      <c r="F99" s="307" t="s">
        <v>308</v>
      </c>
      <c r="G99" s="310" t="s">
        <v>294</v>
      </c>
      <c r="H99" s="303" t="s">
        <v>309</v>
      </c>
      <c r="I99" s="304" t="s">
        <v>6</v>
      </c>
      <c r="J99" s="265" t="s">
        <v>313</v>
      </c>
      <c r="K99" s="305">
        <v>1</v>
      </c>
      <c r="L99" s="265" t="s">
        <v>6</v>
      </c>
      <c r="M99" s="265" t="s">
        <v>7</v>
      </c>
      <c r="N99" s="265"/>
      <c r="O99" s="270"/>
      <c r="P99" s="530" t="s">
        <v>6</v>
      </c>
      <c r="Q99" s="531" t="s">
        <v>7</v>
      </c>
      <c r="R99" s="531" t="s">
        <v>7</v>
      </c>
      <c r="S99" s="550" t="s">
        <v>7</v>
      </c>
      <c r="T99" s="204"/>
    </row>
    <row r="100" spans="1:20" ht="36.75" customHeight="1" x14ac:dyDescent="0.2">
      <c r="A100" s="239" t="s">
        <v>277</v>
      </c>
      <c r="B100" s="300" t="s">
        <v>278</v>
      </c>
      <c r="C100" s="300" t="s">
        <v>279</v>
      </c>
      <c r="D100" s="325" t="s">
        <v>98</v>
      </c>
      <c r="E100" s="529" t="s">
        <v>1786</v>
      </c>
      <c r="F100" s="307" t="s">
        <v>305</v>
      </c>
      <c r="G100" s="308" t="s">
        <v>300</v>
      </c>
      <c r="H100" s="303" t="s">
        <v>307</v>
      </c>
      <c r="I100" s="304" t="s">
        <v>6</v>
      </c>
      <c r="J100" s="265" t="s">
        <v>314</v>
      </c>
      <c r="K100" s="305">
        <v>1</v>
      </c>
      <c r="L100" s="265" t="s">
        <v>6</v>
      </c>
      <c r="M100" s="265" t="s">
        <v>315</v>
      </c>
      <c r="N100" s="319">
        <v>0.08</v>
      </c>
      <c r="O100" s="184"/>
      <c r="P100" s="530" t="s">
        <v>6</v>
      </c>
      <c r="Q100" s="532" t="s">
        <v>314</v>
      </c>
      <c r="R100" s="630">
        <v>0.08</v>
      </c>
      <c r="S100" s="630">
        <v>1</v>
      </c>
      <c r="T100" s="204"/>
    </row>
    <row r="101" spans="1:20" ht="36.75" customHeight="1" x14ac:dyDescent="0.2">
      <c r="A101" s="239" t="s">
        <v>277</v>
      </c>
      <c r="B101" s="300" t="s">
        <v>278</v>
      </c>
      <c r="C101" s="300" t="s">
        <v>279</v>
      </c>
      <c r="D101" s="325" t="s">
        <v>98</v>
      </c>
      <c r="E101" s="529" t="s">
        <v>1786</v>
      </c>
      <c r="F101" s="307" t="s">
        <v>305</v>
      </c>
      <c r="G101" s="308" t="s">
        <v>292</v>
      </c>
      <c r="H101" s="303" t="s">
        <v>307</v>
      </c>
      <c r="I101" s="304" t="s">
        <v>6</v>
      </c>
      <c r="J101" s="265" t="s">
        <v>313</v>
      </c>
      <c r="K101" s="305">
        <v>1</v>
      </c>
      <c r="L101" s="265" t="s">
        <v>6</v>
      </c>
      <c r="M101" s="265" t="s">
        <v>7</v>
      </c>
      <c r="N101" s="265"/>
      <c r="O101" s="184"/>
      <c r="P101" s="530" t="s">
        <v>6</v>
      </c>
      <c r="Q101" s="531" t="s">
        <v>7</v>
      </c>
      <c r="R101" s="531" t="s">
        <v>7</v>
      </c>
      <c r="S101" s="550" t="s">
        <v>7</v>
      </c>
      <c r="T101" s="204"/>
    </row>
    <row r="102" spans="1:20" ht="36.75" customHeight="1" x14ac:dyDescent="0.2">
      <c r="A102" s="239" t="s">
        <v>277</v>
      </c>
      <c r="B102" s="300" t="s">
        <v>278</v>
      </c>
      <c r="C102" s="300" t="s">
        <v>279</v>
      </c>
      <c r="D102" s="325" t="s">
        <v>98</v>
      </c>
      <c r="E102" s="529" t="s">
        <v>1786</v>
      </c>
      <c r="F102" s="321" t="s">
        <v>305</v>
      </c>
      <c r="G102" s="322" t="s">
        <v>294</v>
      </c>
      <c r="H102" s="184" t="s">
        <v>317</v>
      </c>
      <c r="I102" s="304" t="s">
        <v>6</v>
      </c>
      <c r="J102" s="304" t="s">
        <v>284</v>
      </c>
      <c r="K102" s="305">
        <v>1</v>
      </c>
      <c r="L102" s="265" t="s">
        <v>77</v>
      </c>
      <c r="M102" s="265" t="s">
        <v>7</v>
      </c>
      <c r="N102" s="265" t="s">
        <v>7</v>
      </c>
      <c r="O102" s="184"/>
      <c r="P102" s="530" t="s">
        <v>6</v>
      </c>
      <c r="Q102" s="531" t="s">
        <v>7</v>
      </c>
      <c r="R102" s="531" t="s">
        <v>7</v>
      </c>
      <c r="S102" s="550" t="s">
        <v>7</v>
      </c>
      <c r="T102" s="204"/>
    </row>
    <row r="103" spans="1:20" ht="36.75" customHeight="1" x14ac:dyDescent="0.2">
      <c r="A103" s="239" t="s">
        <v>277</v>
      </c>
      <c r="B103" s="300" t="s">
        <v>278</v>
      </c>
      <c r="C103" s="300" t="s">
        <v>279</v>
      </c>
      <c r="D103" s="325" t="s">
        <v>98</v>
      </c>
      <c r="E103" s="529" t="s">
        <v>1786</v>
      </c>
      <c r="F103" s="323" t="s">
        <v>305</v>
      </c>
      <c r="G103" s="323" t="s">
        <v>282</v>
      </c>
      <c r="H103" s="270" t="s">
        <v>317</v>
      </c>
      <c r="I103" s="304" t="s">
        <v>6</v>
      </c>
      <c r="J103" s="304" t="s">
        <v>284</v>
      </c>
      <c r="K103" s="305">
        <v>1</v>
      </c>
      <c r="L103" s="265" t="s">
        <v>77</v>
      </c>
      <c r="M103" s="265" t="s">
        <v>7</v>
      </c>
      <c r="N103" s="265" t="s">
        <v>7</v>
      </c>
      <c r="O103" s="270"/>
      <c r="P103" s="530" t="s">
        <v>6</v>
      </c>
      <c r="Q103" s="531" t="s">
        <v>7</v>
      </c>
      <c r="R103" s="531" t="s">
        <v>7</v>
      </c>
      <c r="S103" s="550" t="s">
        <v>7</v>
      </c>
      <c r="T103" s="204"/>
    </row>
    <row r="104" spans="1:20" ht="36.75" customHeight="1" x14ac:dyDescent="0.2">
      <c r="A104" s="239" t="s">
        <v>277</v>
      </c>
      <c r="B104" s="300" t="s">
        <v>278</v>
      </c>
      <c r="C104" s="300" t="s">
        <v>279</v>
      </c>
      <c r="D104" s="325" t="s">
        <v>98</v>
      </c>
      <c r="E104" s="529" t="s">
        <v>1786</v>
      </c>
      <c r="F104" s="321" t="s">
        <v>99</v>
      </c>
      <c r="G104" s="324" t="s">
        <v>285</v>
      </c>
      <c r="H104" s="303" t="s">
        <v>307</v>
      </c>
      <c r="I104" s="304" t="s">
        <v>6</v>
      </c>
      <c r="J104" s="265" t="s">
        <v>313</v>
      </c>
      <c r="K104" s="305">
        <v>1</v>
      </c>
      <c r="L104" s="265" t="s">
        <v>6</v>
      </c>
      <c r="M104" s="265" t="s">
        <v>7</v>
      </c>
      <c r="N104" s="265"/>
      <c r="O104" s="184"/>
      <c r="P104" s="530" t="s">
        <v>6</v>
      </c>
      <c r="Q104" s="531" t="s">
        <v>7</v>
      </c>
      <c r="R104" s="531" t="s">
        <v>7</v>
      </c>
      <c r="S104" s="550" t="s">
        <v>7</v>
      </c>
      <c r="T104" s="204"/>
    </row>
    <row r="105" spans="1:20" ht="36.75" customHeight="1" x14ac:dyDescent="0.2">
      <c r="A105" s="239" t="s">
        <v>277</v>
      </c>
      <c r="B105" s="300" t="s">
        <v>278</v>
      </c>
      <c r="C105" s="300" t="s">
        <v>279</v>
      </c>
      <c r="D105" s="325" t="s">
        <v>98</v>
      </c>
      <c r="E105" s="529" t="s">
        <v>1786</v>
      </c>
      <c r="F105" s="307" t="s">
        <v>308</v>
      </c>
      <c r="G105" s="310" t="s">
        <v>292</v>
      </c>
      <c r="H105" s="303" t="s">
        <v>309</v>
      </c>
      <c r="I105" s="304" t="s">
        <v>6</v>
      </c>
      <c r="J105" s="265" t="s">
        <v>314</v>
      </c>
      <c r="K105" s="305">
        <v>1</v>
      </c>
      <c r="L105" s="265" t="s">
        <v>6</v>
      </c>
      <c r="M105" s="265" t="s">
        <v>315</v>
      </c>
      <c r="N105" s="319">
        <v>0.08</v>
      </c>
      <c r="O105" s="184"/>
      <c r="P105" s="530" t="s">
        <v>6</v>
      </c>
      <c r="Q105" s="532" t="s">
        <v>314</v>
      </c>
      <c r="R105" s="630">
        <v>0.08</v>
      </c>
      <c r="S105" s="630">
        <v>1</v>
      </c>
      <c r="T105" s="204"/>
    </row>
    <row r="106" spans="1:20" ht="36.75" customHeight="1" x14ac:dyDescent="0.2">
      <c r="A106" s="239" t="s">
        <v>277</v>
      </c>
      <c r="B106" s="300" t="s">
        <v>280</v>
      </c>
      <c r="C106" s="300" t="s">
        <v>281</v>
      </c>
      <c r="D106" s="325" t="s">
        <v>100</v>
      </c>
      <c r="E106" s="529" t="s">
        <v>1781</v>
      </c>
      <c r="F106" s="307" t="s">
        <v>296</v>
      </c>
      <c r="G106" s="307" t="s">
        <v>298</v>
      </c>
      <c r="H106" s="270" t="s">
        <v>317</v>
      </c>
      <c r="I106" s="304" t="s">
        <v>6</v>
      </c>
      <c r="J106" s="265" t="s">
        <v>313</v>
      </c>
      <c r="K106" s="305">
        <v>1</v>
      </c>
      <c r="L106" s="265" t="s">
        <v>77</v>
      </c>
      <c r="M106" s="265" t="s">
        <v>7</v>
      </c>
      <c r="N106" s="265" t="s">
        <v>7</v>
      </c>
      <c r="O106" s="270"/>
      <c r="P106" s="530" t="s">
        <v>6</v>
      </c>
      <c r="Q106" s="531" t="s">
        <v>7</v>
      </c>
      <c r="R106" s="531" t="s">
        <v>7</v>
      </c>
      <c r="S106" s="550" t="s">
        <v>7</v>
      </c>
      <c r="T106" s="204"/>
    </row>
    <row r="107" spans="1:20" ht="36.75" customHeight="1" x14ac:dyDescent="0.2">
      <c r="A107" s="239" t="s">
        <v>277</v>
      </c>
      <c r="B107" s="300" t="s">
        <v>280</v>
      </c>
      <c r="C107" s="300" t="s">
        <v>281</v>
      </c>
      <c r="D107" s="325" t="s">
        <v>96</v>
      </c>
      <c r="E107" s="529" t="s">
        <v>1782</v>
      </c>
      <c r="F107" s="307" t="s">
        <v>296</v>
      </c>
      <c r="G107" s="307" t="s">
        <v>298</v>
      </c>
      <c r="H107" s="270" t="s">
        <v>317</v>
      </c>
      <c r="I107" s="304" t="s">
        <v>6</v>
      </c>
      <c r="J107" s="265" t="s">
        <v>318</v>
      </c>
      <c r="K107" s="305">
        <v>1</v>
      </c>
      <c r="L107" s="265" t="s">
        <v>77</v>
      </c>
      <c r="M107" s="265" t="s">
        <v>7</v>
      </c>
      <c r="N107" s="265" t="s">
        <v>7</v>
      </c>
      <c r="O107" s="270"/>
      <c r="P107" s="530" t="s">
        <v>6</v>
      </c>
      <c r="Q107" s="531" t="s">
        <v>7</v>
      </c>
      <c r="R107" s="531" t="s">
        <v>7</v>
      </c>
      <c r="S107" s="550" t="s">
        <v>7</v>
      </c>
      <c r="T107" s="204"/>
    </row>
    <row r="108" spans="1:20" ht="36.75" customHeight="1" x14ac:dyDescent="0.2">
      <c r="A108" s="239" t="s">
        <v>277</v>
      </c>
      <c r="B108" s="300" t="s">
        <v>280</v>
      </c>
      <c r="C108" s="300" t="s">
        <v>281</v>
      </c>
      <c r="D108" s="325" t="s">
        <v>98</v>
      </c>
      <c r="E108" s="529" t="s">
        <v>1786</v>
      </c>
      <c r="F108" s="307" t="s">
        <v>296</v>
      </c>
      <c r="G108" s="307" t="s">
        <v>298</v>
      </c>
      <c r="H108" s="303" t="s">
        <v>301</v>
      </c>
      <c r="I108" s="304" t="s">
        <v>6</v>
      </c>
      <c r="J108" s="265" t="s">
        <v>313</v>
      </c>
      <c r="K108" s="305">
        <v>1</v>
      </c>
      <c r="L108" s="265" t="s">
        <v>77</v>
      </c>
      <c r="M108" s="265" t="s">
        <v>7</v>
      </c>
      <c r="N108" s="265" t="s">
        <v>7</v>
      </c>
      <c r="O108" s="270"/>
      <c r="P108" s="530" t="s">
        <v>6</v>
      </c>
      <c r="Q108" s="531" t="s">
        <v>7</v>
      </c>
      <c r="R108" s="531" t="s">
        <v>7</v>
      </c>
      <c r="S108" s="550" t="s">
        <v>7</v>
      </c>
      <c r="T108" s="204"/>
    </row>
    <row r="109" spans="1:20" ht="36.75" customHeight="1" x14ac:dyDescent="0.2">
      <c r="P109" s="30"/>
      <c r="Q109" s="30"/>
    </row>
    <row r="110" spans="1:20" ht="36.75" customHeight="1" x14ac:dyDescent="0.2">
      <c r="P110" s="30"/>
      <c r="Q110" s="30"/>
    </row>
    <row r="111" spans="1:20" ht="36.75" customHeight="1" x14ac:dyDescent="0.2">
      <c r="P111" s="30"/>
      <c r="Q111" s="30"/>
    </row>
    <row r="112" spans="1:20" ht="36.75" customHeight="1" x14ac:dyDescent="0.2">
      <c r="P112" s="30"/>
      <c r="Q112" s="30"/>
    </row>
    <row r="113" spans="13:17" ht="36.75" customHeight="1" x14ac:dyDescent="0.2">
      <c r="P113" s="30"/>
      <c r="Q113" s="30"/>
    </row>
    <row r="114" spans="13:17" ht="36.75" customHeight="1" x14ac:dyDescent="0.2">
      <c r="P114" s="30"/>
      <c r="Q114" s="30"/>
    </row>
    <row r="115" spans="13:17" ht="36.75" customHeight="1" x14ac:dyDescent="0.2">
      <c r="P115" s="30"/>
      <c r="Q115" s="30"/>
    </row>
    <row r="116" spans="13:17" ht="36.75" customHeight="1" x14ac:dyDescent="0.2">
      <c r="M116" s="30"/>
      <c r="N116" s="30"/>
      <c r="O116" s="30"/>
      <c r="P116" s="30"/>
      <c r="Q116" s="30"/>
    </row>
    <row r="117" spans="13:17" ht="36.75" customHeight="1" x14ac:dyDescent="0.2">
      <c r="M117" s="30"/>
      <c r="N117" s="30"/>
      <c r="O117" s="30"/>
      <c r="P117" s="30"/>
      <c r="Q117" s="30"/>
    </row>
    <row r="118" spans="13:17" ht="36.75" customHeight="1" x14ac:dyDescent="0.2">
      <c r="M118" s="30"/>
      <c r="N118" s="30"/>
      <c r="O118" s="30"/>
      <c r="P118" s="30"/>
      <c r="Q118" s="30"/>
    </row>
    <row r="119" spans="13:17" ht="36.75" customHeight="1" x14ac:dyDescent="0.2">
      <c r="M119" s="30"/>
      <c r="N119" s="30"/>
      <c r="O119" s="30"/>
      <c r="P119" s="30"/>
      <c r="Q119" s="30"/>
    </row>
    <row r="120" spans="13:17" ht="36.75" customHeight="1" x14ac:dyDescent="0.2">
      <c r="M120" s="30"/>
      <c r="N120" s="30"/>
      <c r="O120" s="30"/>
      <c r="P120" s="30"/>
      <c r="Q120" s="30"/>
    </row>
    <row r="121" spans="13:17" ht="36.75" customHeight="1" x14ac:dyDescent="0.2">
      <c r="M121" s="30"/>
      <c r="N121" s="30"/>
      <c r="O121" s="30"/>
      <c r="P121" s="30"/>
      <c r="Q121" s="30"/>
    </row>
    <row r="122" spans="13:17" ht="36.75" customHeight="1" x14ac:dyDescent="0.2">
      <c r="M122" s="30"/>
      <c r="N122" s="30"/>
      <c r="O122" s="30"/>
      <c r="P122" s="30"/>
      <c r="Q122" s="30"/>
    </row>
    <row r="123" spans="13:17" x14ac:dyDescent="0.2">
      <c r="M123" s="30"/>
      <c r="N123" s="30"/>
      <c r="O123" s="30"/>
      <c r="P123" s="30"/>
      <c r="Q123" s="30"/>
    </row>
    <row r="124" spans="13:17" x14ac:dyDescent="0.2">
      <c r="M124" s="30"/>
      <c r="N124" s="30"/>
      <c r="O124" s="30"/>
      <c r="P124" s="30"/>
      <c r="Q124" s="30"/>
    </row>
    <row r="125" spans="13:17" x14ac:dyDescent="0.2">
      <c r="M125" s="30"/>
      <c r="N125" s="30"/>
      <c r="O125" s="30"/>
      <c r="P125" s="30"/>
      <c r="Q125" s="30"/>
    </row>
    <row r="126" spans="13:17" x14ac:dyDescent="0.2">
      <c r="M126" s="30"/>
      <c r="N126" s="30"/>
      <c r="O126" s="30"/>
      <c r="P126" s="30"/>
      <c r="Q126" s="30"/>
    </row>
    <row r="127" spans="13:17" x14ac:dyDescent="0.2">
      <c r="M127" s="30"/>
      <c r="N127" s="30"/>
      <c r="O127" s="30"/>
      <c r="P127" s="30"/>
      <c r="Q127" s="30"/>
    </row>
    <row r="128" spans="13:17" x14ac:dyDescent="0.2">
      <c r="M128" s="30"/>
      <c r="N128" s="30"/>
      <c r="O128" s="30"/>
      <c r="P128" s="30"/>
      <c r="Q128" s="30"/>
    </row>
    <row r="129" spans="13:17" x14ac:dyDescent="0.2">
      <c r="M129" s="30"/>
      <c r="N129" s="30"/>
      <c r="O129" s="30"/>
      <c r="P129" s="30"/>
      <c r="Q129" s="30"/>
    </row>
    <row r="130" spans="13:17" x14ac:dyDescent="0.2">
      <c r="M130" s="30"/>
      <c r="N130" s="30"/>
      <c r="O130" s="30"/>
      <c r="P130" s="30"/>
      <c r="Q130" s="30"/>
    </row>
    <row r="131" spans="13:17" x14ac:dyDescent="0.2">
      <c r="M131" s="30"/>
      <c r="N131" s="30"/>
      <c r="O131" s="30"/>
      <c r="P131" s="30"/>
      <c r="Q131" s="30"/>
    </row>
    <row r="132" spans="13:17" x14ac:dyDescent="0.2">
      <c r="M132" s="30"/>
      <c r="N132" s="30"/>
      <c r="O132" s="30"/>
      <c r="P132" s="30"/>
      <c r="Q132" s="30"/>
    </row>
    <row r="133" spans="13:17" x14ac:dyDescent="0.2">
      <c r="M133" s="30"/>
      <c r="N133" s="30"/>
      <c r="O133" s="30"/>
      <c r="P133" s="30"/>
      <c r="Q133" s="30"/>
    </row>
    <row r="134" spans="13:17" x14ac:dyDescent="0.2">
      <c r="M134" s="30"/>
      <c r="N134" s="30"/>
      <c r="O134" s="30"/>
      <c r="P134" s="30"/>
      <c r="Q134" s="30"/>
    </row>
    <row r="135" spans="13:17" x14ac:dyDescent="0.2">
      <c r="M135" s="30"/>
      <c r="N135" s="30"/>
      <c r="O135" s="30"/>
      <c r="P135" s="30"/>
      <c r="Q135" s="30"/>
    </row>
    <row r="136" spans="13:17" x14ac:dyDescent="0.2">
      <c r="M136" s="30"/>
      <c r="N136" s="30"/>
      <c r="O136" s="30"/>
      <c r="P136" s="30"/>
      <c r="Q136" s="30"/>
    </row>
    <row r="137" spans="13:17" x14ac:dyDescent="0.2">
      <c r="M137" s="30"/>
      <c r="N137" s="30"/>
      <c r="O137" s="30"/>
      <c r="P137" s="30"/>
      <c r="Q137" s="30"/>
    </row>
    <row r="138" spans="13:17" x14ac:dyDescent="0.2">
      <c r="M138" s="30"/>
      <c r="N138" s="30"/>
      <c r="O138" s="30"/>
      <c r="P138" s="30"/>
      <c r="Q138" s="30"/>
    </row>
    <row r="139" spans="13:17" x14ac:dyDescent="0.2">
      <c r="M139" s="30"/>
      <c r="N139" s="30"/>
      <c r="O139" s="30"/>
      <c r="P139" s="30"/>
      <c r="Q139" s="30"/>
    </row>
    <row r="140" spans="13:17" x14ac:dyDescent="0.2">
      <c r="M140" s="30"/>
      <c r="N140" s="30"/>
      <c r="O140" s="30"/>
      <c r="P140" s="30"/>
      <c r="Q140" s="30"/>
    </row>
    <row r="141" spans="13:17" x14ac:dyDescent="0.2">
      <c r="M141" s="30"/>
      <c r="N141" s="30"/>
      <c r="O141" s="30"/>
      <c r="P141" s="30"/>
      <c r="Q141" s="30"/>
    </row>
    <row r="142" spans="13:17" x14ac:dyDescent="0.2">
      <c r="M142" s="30"/>
      <c r="N142" s="30"/>
      <c r="O142" s="30"/>
      <c r="P142" s="30"/>
      <c r="Q142" s="30"/>
    </row>
    <row r="143" spans="13:17" x14ac:dyDescent="0.2">
      <c r="M143" s="30"/>
      <c r="N143" s="30"/>
      <c r="O143" s="30"/>
      <c r="P143" s="30"/>
      <c r="Q143" s="30"/>
    </row>
    <row r="144" spans="13:17" x14ac:dyDescent="0.2">
      <c r="M144" s="30"/>
      <c r="N144" s="30"/>
      <c r="O144" s="30"/>
      <c r="P144" s="30"/>
      <c r="Q144" s="30"/>
    </row>
    <row r="145" spans="13:17" x14ac:dyDescent="0.2">
      <c r="M145" s="30"/>
      <c r="N145" s="30"/>
      <c r="O145" s="30"/>
      <c r="P145" s="30"/>
      <c r="Q145" s="30"/>
    </row>
    <row r="146" spans="13:17" x14ac:dyDescent="0.2">
      <c r="M146" s="30"/>
      <c r="N146" s="30"/>
      <c r="O146" s="30"/>
      <c r="P146" s="30"/>
      <c r="Q146" s="30"/>
    </row>
    <row r="147" spans="13:17" x14ac:dyDescent="0.2">
      <c r="M147" s="30"/>
      <c r="N147" s="30"/>
      <c r="O147" s="30"/>
      <c r="P147" s="30"/>
      <c r="Q147" s="30"/>
    </row>
    <row r="148" spans="13:17" x14ac:dyDescent="0.2">
      <c r="M148" s="30"/>
      <c r="N148" s="30"/>
      <c r="O148" s="30"/>
      <c r="P148" s="30"/>
      <c r="Q148" s="30"/>
    </row>
    <row r="149" spans="13:17" x14ac:dyDescent="0.2">
      <c r="M149" s="30"/>
      <c r="N149" s="30"/>
      <c r="O149" s="30"/>
      <c r="P149" s="30"/>
      <c r="Q149" s="30"/>
    </row>
    <row r="150" spans="13:17" x14ac:dyDescent="0.2">
      <c r="M150" s="30"/>
      <c r="N150" s="30"/>
      <c r="O150" s="30"/>
      <c r="P150" s="30"/>
      <c r="Q150" s="30"/>
    </row>
    <row r="151" spans="13:17" x14ac:dyDescent="0.2">
      <c r="M151" s="30"/>
      <c r="N151" s="30"/>
      <c r="O151" s="30"/>
      <c r="P151" s="30"/>
      <c r="Q151" s="30"/>
    </row>
    <row r="152" spans="13:17" x14ac:dyDescent="0.2">
      <c r="M152" s="30"/>
      <c r="N152" s="30"/>
      <c r="O152" s="30"/>
      <c r="P152" s="30"/>
      <c r="Q152" s="30"/>
    </row>
    <row r="153" spans="13:17" x14ac:dyDescent="0.2">
      <c r="M153" s="30"/>
      <c r="N153" s="30"/>
      <c r="O153" s="30"/>
      <c r="P153" s="30"/>
      <c r="Q153" s="30"/>
    </row>
    <row r="154" spans="13:17" x14ac:dyDescent="0.2">
      <c r="M154" s="30"/>
      <c r="N154" s="30"/>
      <c r="O154" s="30"/>
      <c r="P154" s="30"/>
      <c r="Q154" s="30"/>
    </row>
    <row r="155" spans="13:17" x14ac:dyDescent="0.2">
      <c r="M155" s="30"/>
      <c r="N155" s="30"/>
      <c r="O155" s="30"/>
      <c r="P155" s="30"/>
      <c r="Q155" s="30"/>
    </row>
    <row r="156" spans="13:17" x14ac:dyDescent="0.2">
      <c r="M156" s="30"/>
      <c r="N156" s="30"/>
      <c r="O156" s="30"/>
      <c r="P156" s="30"/>
      <c r="Q156" s="30"/>
    </row>
    <row r="157" spans="13:17" x14ac:dyDescent="0.2">
      <c r="M157" s="30"/>
      <c r="N157" s="30"/>
      <c r="O157" s="30"/>
      <c r="P157" s="30"/>
      <c r="Q157" s="30"/>
    </row>
    <row r="158" spans="13:17" x14ac:dyDescent="0.2">
      <c r="M158" s="30"/>
      <c r="N158" s="30"/>
      <c r="O158" s="30"/>
      <c r="P158" s="30"/>
      <c r="Q158" s="30"/>
    </row>
    <row r="159" spans="13:17" x14ac:dyDescent="0.2">
      <c r="M159" s="30"/>
      <c r="N159" s="30"/>
      <c r="O159" s="30"/>
      <c r="P159" s="30"/>
      <c r="Q159" s="30"/>
    </row>
    <row r="160" spans="13:17" x14ac:dyDescent="0.2">
      <c r="M160" s="30"/>
      <c r="N160" s="30"/>
      <c r="O160" s="30"/>
      <c r="P160" s="30"/>
      <c r="Q160" s="30"/>
    </row>
    <row r="161" spans="13:17" x14ac:dyDescent="0.2">
      <c r="M161" s="30"/>
      <c r="N161" s="30"/>
      <c r="O161" s="30"/>
      <c r="P161" s="30"/>
      <c r="Q161" s="30"/>
    </row>
    <row r="162" spans="13:17" x14ac:dyDescent="0.2">
      <c r="M162" s="30"/>
      <c r="N162" s="30"/>
      <c r="O162" s="30"/>
      <c r="P162" s="30"/>
      <c r="Q162" s="30"/>
    </row>
    <row r="163" spans="13:17" x14ac:dyDescent="0.2">
      <c r="M163" s="30"/>
      <c r="N163" s="30"/>
      <c r="O163" s="30"/>
      <c r="P163" s="30"/>
      <c r="Q163" s="30"/>
    </row>
    <row r="164" spans="13:17" x14ac:dyDescent="0.2">
      <c r="M164" s="30"/>
      <c r="N164" s="30"/>
      <c r="O164" s="30"/>
      <c r="P164" s="30"/>
      <c r="Q164" s="30"/>
    </row>
    <row r="165" spans="13:17" x14ac:dyDescent="0.2">
      <c r="M165" s="30"/>
      <c r="N165" s="30"/>
      <c r="O165" s="30"/>
      <c r="P165" s="30"/>
      <c r="Q165" s="30"/>
    </row>
    <row r="166" spans="13:17" x14ac:dyDescent="0.2">
      <c r="M166" s="30"/>
      <c r="N166" s="30"/>
      <c r="O166" s="30"/>
      <c r="P166" s="30"/>
      <c r="Q166" s="30"/>
    </row>
    <row r="167" spans="13:17" x14ac:dyDescent="0.2">
      <c r="M167" s="30"/>
      <c r="N167" s="30"/>
      <c r="O167" s="30"/>
      <c r="P167" s="30"/>
      <c r="Q167" s="30"/>
    </row>
    <row r="168" spans="13:17" x14ac:dyDescent="0.2">
      <c r="M168" s="30"/>
      <c r="N168" s="30"/>
      <c r="O168" s="30"/>
      <c r="P168" s="30"/>
      <c r="Q168" s="30"/>
    </row>
    <row r="169" spans="13:17" x14ac:dyDescent="0.2">
      <c r="M169" s="30"/>
      <c r="N169" s="30"/>
      <c r="O169" s="30"/>
      <c r="P169" s="30"/>
      <c r="Q169" s="30"/>
    </row>
    <row r="170" spans="13:17" x14ac:dyDescent="0.2">
      <c r="M170" s="30"/>
      <c r="N170" s="30"/>
      <c r="O170" s="30"/>
      <c r="P170" s="30"/>
      <c r="Q170" s="30"/>
    </row>
    <row r="171" spans="13:17" x14ac:dyDescent="0.2">
      <c r="M171" s="30"/>
      <c r="N171" s="30"/>
      <c r="O171" s="30"/>
      <c r="P171" s="30"/>
      <c r="Q171" s="30"/>
    </row>
    <row r="172" spans="13:17" x14ac:dyDescent="0.2">
      <c r="M172" s="30"/>
      <c r="N172" s="30"/>
      <c r="O172" s="30"/>
      <c r="P172" s="30"/>
      <c r="Q172" s="30"/>
    </row>
    <row r="173" spans="13:17" x14ac:dyDescent="0.2">
      <c r="M173" s="30"/>
      <c r="N173" s="30"/>
      <c r="O173" s="30"/>
      <c r="P173" s="30"/>
      <c r="Q173" s="30"/>
    </row>
    <row r="174" spans="13:17" x14ac:dyDescent="0.2">
      <c r="M174" s="30"/>
      <c r="N174" s="30"/>
      <c r="O174" s="30"/>
      <c r="P174" s="30"/>
      <c r="Q174" s="30"/>
    </row>
    <row r="175" spans="13:17" x14ac:dyDescent="0.2">
      <c r="M175" s="30"/>
      <c r="N175" s="30"/>
      <c r="O175" s="30"/>
      <c r="P175" s="30"/>
      <c r="Q175" s="30"/>
    </row>
    <row r="176" spans="13:17" x14ac:dyDescent="0.2">
      <c r="M176" s="30"/>
      <c r="N176" s="30"/>
      <c r="O176" s="30"/>
      <c r="P176" s="30"/>
      <c r="Q176" s="30"/>
    </row>
    <row r="177" spans="13:17" x14ac:dyDescent="0.2">
      <c r="M177" s="30"/>
      <c r="N177" s="30"/>
      <c r="O177" s="30"/>
      <c r="P177" s="30"/>
      <c r="Q177" s="30"/>
    </row>
    <row r="178" spans="13:17" x14ac:dyDescent="0.2">
      <c r="M178" s="30"/>
      <c r="N178" s="30"/>
      <c r="O178" s="30"/>
      <c r="P178" s="30"/>
      <c r="Q178" s="30"/>
    </row>
    <row r="179" spans="13:17" x14ac:dyDescent="0.2">
      <c r="M179" s="30"/>
      <c r="N179" s="30"/>
      <c r="O179" s="30"/>
      <c r="P179" s="30"/>
      <c r="Q179" s="30"/>
    </row>
    <row r="180" spans="13:17" x14ac:dyDescent="0.2">
      <c r="M180" s="30"/>
      <c r="N180" s="30"/>
      <c r="O180" s="30"/>
      <c r="P180" s="30"/>
      <c r="Q180" s="30"/>
    </row>
    <row r="181" spans="13:17" x14ac:dyDescent="0.2">
      <c r="M181" s="30"/>
      <c r="N181" s="30"/>
      <c r="O181" s="30"/>
      <c r="P181" s="30"/>
      <c r="Q181" s="30"/>
    </row>
    <row r="182" spans="13:17" x14ac:dyDescent="0.2">
      <c r="M182" s="30"/>
      <c r="N182" s="30"/>
      <c r="O182" s="30"/>
      <c r="P182" s="30"/>
      <c r="Q182" s="30"/>
    </row>
    <row r="183" spans="13:17" x14ac:dyDescent="0.2">
      <c r="M183" s="30"/>
      <c r="N183" s="30"/>
      <c r="O183" s="30"/>
      <c r="P183" s="30"/>
      <c r="Q183" s="30"/>
    </row>
    <row r="184" spans="13:17" x14ac:dyDescent="0.2">
      <c r="M184" s="30"/>
      <c r="N184" s="30"/>
      <c r="O184" s="30"/>
      <c r="P184" s="30"/>
      <c r="Q184" s="30"/>
    </row>
    <row r="185" spans="13:17" x14ac:dyDescent="0.2">
      <c r="M185" s="30"/>
      <c r="N185" s="30"/>
      <c r="O185" s="30"/>
      <c r="P185" s="30"/>
      <c r="Q185" s="30"/>
    </row>
    <row r="186" spans="13:17" x14ac:dyDescent="0.2">
      <c r="M186" s="30"/>
      <c r="N186" s="30"/>
      <c r="O186" s="30"/>
      <c r="P186" s="30"/>
      <c r="Q186" s="30"/>
    </row>
    <row r="187" spans="13:17" x14ac:dyDescent="0.2">
      <c r="M187" s="30"/>
      <c r="N187" s="30"/>
      <c r="O187" s="30"/>
      <c r="P187" s="30"/>
      <c r="Q187" s="30"/>
    </row>
    <row r="188" spans="13:17" x14ac:dyDescent="0.2">
      <c r="M188" s="30"/>
      <c r="N188" s="30"/>
      <c r="O188" s="30"/>
      <c r="P188" s="30"/>
      <c r="Q188" s="30"/>
    </row>
    <row r="189" spans="13:17" x14ac:dyDescent="0.2">
      <c r="M189" s="30"/>
      <c r="N189" s="30"/>
      <c r="O189" s="30"/>
      <c r="P189" s="30"/>
      <c r="Q189" s="30"/>
    </row>
    <row r="190" spans="13:17" x14ac:dyDescent="0.2">
      <c r="M190" s="30"/>
      <c r="N190" s="30"/>
      <c r="O190" s="30"/>
      <c r="P190" s="30"/>
      <c r="Q190" s="30"/>
    </row>
    <row r="191" spans="13:17" x14ac:dyDescent="0.2">
      <c r="M191" s="30"/>
      <c r="N191" s="30"/>
      <c r="O191" s="30"/>
      <c r="P191" s="30"/>
      <c r="Q191" s="30"/>
    </row>
    <row r="192" spans="13:17" x14ac:dyDescent="0.2">
      <c r="M192" s="30"/>
      <c r="N192" s="30"/>
      <c r="O192" s="30"/>
      <c r="P192" s="30"/>
      <c r="Q192" s="30"/>
    </row>
    <row r="193" spans="13:17" x14ac:dyDescent="0.2">
      <c r="M193" s="30"/>
      <c r="N193" s="30"/>
      <c r="O193" s="30"/>
      <c r="P193" s="30"/>
      <c r="Q193" s="30"/>
    </row>
    <row r="194" spans="13:17" x14ac:dyDescent="0.2">
      <c r="M194" s="30"/>
      <c r="N194" s="30"/>
      <c r="O194" s="30"/>
      <c r="P194" s="30"/>
      <c r="Q194" s="30"/>
    </row>
    <row r="195" spans="13:17" x14ac:dyDescent="0.2">
      <c r="M195" s="30"/>
      <c r="N195" s="30"/>
      <c r="O195" s="30"/>
      <c r="P195" s="30"/>
      <c r="Q195" s="30"/>
    </row>
    <row r="196" spans="13:17" x14ac:dyDescent="0.2">
      <c r="M196" s="30"/>
      <c r="N196" s="30"/>
      <c r="O196" s="30"/>
      <c r="P196" s="30"/>
      <c r="Q196" s="30"/>
    </row>
    <row r="197" spans="13:17" x14ac:dyDescent="0.2">
      <c r="M197" s="30"/>
      <c r="N197" s="30"/>
      <c r="O197" s="30"/>
      <c r="P197" s="30"/>
      <c r="Q197" s="30"/>
    </row>
    <row r="198" spans="13:17" x14ac:dyDescent="0.2">
      <c r="M198" s="30"/>
      <c r="N198" s="30"/>
      <c r="O198" s="30"/>
      <c r="P198" s="30"/>
      <c r="Q198" s="30"/>
    </row>
    <row r="199" spans="13:17" x14ac:dyDescent="0.2">
      <c r="M199" s="30"/>
      <c r="N199" s="30"/>
      <c r="O199" s="30"/>
      <c r="P199" s="30"/>
      <c r="Q199" s="30"/>
    </row>
    <row r="200" spans="13:17" x14ac:dyDescent="0.2">
      <c r="M200" s="30"/>
      <c r="N200" s="30"/>
      <c r="O200" s="30"/>
      <c r="P200" s="30"/>
      <c r="Q200" s="30"/>
    </row>
    <row r="201" spans="13:17" x14ac:dyDescent="0.2">
      <c r="M201" s="30"/>
      <c r="N201" s="30"/>
      <c r="O201" s="30"/>
      <c r="P201" s="30"/>
      <c r="Q201" s="30"/>
    </row>
    <row r="202" spans="13:17" x14ac:dyDescent="0.2">
      <c r="M202" s="30"/>
      <c r="N202" s="30"/>
      <c r="O202" s="30"/>
      <c r="P202" s="30"/>
      <c r="Q202" s="30"/>
    </row>
    <row r="203" spans="13:17" x14ac:dyDescent="0.2">
      <c r="M203" s="30"/>
      <c r="N203" s="30"/>
      <c r="O203" s="30"/>
      <c r="P203" s="30"/>
      <c r="Q203" s="30"/>
    </row>
    <row r="204" spans="13:17" x14ac:dyDescent="0.2">
      <c r="M204" s="30"/>
      <c r="N204" s="30"/>
      <c r="O204" s="30"/>
      <c r="P204" s="30"/>
      <c r="Q204" s="30"/>
    </row>
    <row r="205" spans="13:17" x14ac:dyDescent="0.2">
      <c r="M205" s="30"/>
      <c r="N205" s="30"/>
      <c r="O205" s="30"/>
      <c r="P205" s="30"/>
      <c r="Q205" s="30"/>
    </row>
    <row r="206" spans="13:17" x14ac:dyDescent="0.2">
      <c r="M206" s="30"/>
      <c r="N206" s="30"/>
      <c r="O206" s="30"/>
      <c r="P206" s="30"/>
      <c r="Q206" s="30"/>
    </row>
    <row r="207" spans="13:17" x14ac:dyDescent="0.2">
      <c r="M207" s="30"/>
      <c r="N207" s="30"/>
      <c r="O207" s="30"/>
      <c r="P207" s="30"/>
      <c r="Q207" s="30"/>
    </row>
    <row r="208" spans="13:17" x14ac:dyDescent="0.2">
      <c r="M208" s="30"/>
      <c r="N208" s="30"/>
      <c r="O208" s="30"/>
      <c r="P208" s="30"/>
      <c r="Q208" s="30"/>
    </row>
    <row r="209" spans="13:17" x14ac:dyDescent="0.2">
      <c r="M209" s="30"/>
      <c r="N209" s="30"/>
      <c r="O209" s="30"/>
      <c r="P209" s="30"/>
      <c r="Q209" s="30"/>
    </row>
    <row r="210" spans="13:17" x14ac:dyDescent="0.2">
      <c r="M210" s="30"/>
      <c r="N210" s="30"/>
      <c r="O210" s="30"/>
      <c r="P210" s="30"/>
      <c r="Q210" s="30"/>
    </row>
    <row r="211" spans="13:17" x14ac:dyDescent="0.2">
      <c r="M211" s="30"/>
      <c r="N211" s="30"/>
      <c r="O211" s="30"/>
      <c r="P211" s="30"/>
      <c r="Q211" s="30"/>
    </row>
    <row r="212" spans="13:17" x14ac:dyDescent="0.2">
      <c r="M212" s="30"/>
      <c r="N212" s="30"/>
      <c r="O212" s="30"/>
      <c r="P212" s="30"/>
      <c r="Q212" s="30"/>
    </row>
    <row r="213" spans="13:17" x14ac:dyDescent="0.2">
      <c r="M213" s="30"/>
      <c r="N213" s="30"/>
      <c r="O213" s="30"/>
      <c r="P213" s="30"/>
      <c r="Q213" s="30"/>
    </row>
    <row r="214" spans="13:17" x14ac:dyDescent="0.2">
      <c r="M214" s="30"/>
      <c r="N214" s="30"/>
      <c r="O214" s="30"/>
      <c r="P214" s="30"/>
      <c r="Q214" s="30"/>
    </row>
    <row r="215" spans="13:17" x14ac:dyDescent="0.2">
      <c r="M215" s="30"/>
      <c r="N215" s="30"/>
      <c r="O215" s="30"/>
      <c r="P215" s="30"/>
      <c r="Q215" s="30"/>
    </row>
    <row r="216" spans="13:17" x14ac:dyDescent="0.2">
      <c r="M216" s="30"/>
      <c r="N216" s="30"/>
      <c r="O216" s="30"/>
      <c r="P216" s="30"/>
      <c r="Q216" s="30"/>
    </row>
    <row r="217" spans="13:17" x14ac:dyDescent="0.2">
      <c r="M217" s="30"/>
      <c r="N217" s="30"/>
      <c r="O217" s="30"/>
      <c r="P217" s="30"/>
      <c r="Q217" s="30"/>
    </row>
    <row r="218" spans="13:17" x14ac:dyDescent="0.2">
      <c r="M218" s="30"/>
      <c r="N218" s="30"/>
      <c r="O218" s="30"/>
      <c r="P218" s="30"/>
      <c r="Q218" s="30"/>
    </row>
    <row r="219" spans="13:17" x14ac:dyDescent="0.2">
      <c r="M219" s="30"/>
      <c r="N219" s="30"/>
      <c r="O219" s="30"/>
      <c r="P219" s="30"/>
      <c r="Q219" s="30"/>
    </row>
    <row r="220" spans="13:17" x14ac:dyDescent="0.2">
      <c r="M220" s="30"/>
      <c r="N220" s="30"/>
      <c r="O220" s="30"/>
      <c r="P220" s="30"/>
      <c r="Q220" s="30"/>
    </row>
    <row r="221" spans="13:17" x14ac:dyDescent="0.2">
      <c r="M221" s="30"/>
      <c r="N221" s="30"/>
      <c r="O221" s="30"/>
      <c r="P221" s="30"/>
      <c r="Q221" s="30"/>
    </row>
    <row r="222" spans="13:17" x14ac:dyDescent="0.2">
      <c r="M222" s="30"/>
      <c r="N222" s="30"/>
      <c r="O222" s="30"/>
      <c r="P222" s="30"/>
      <c r="Q222" s="30"/>
    </row>
    <row r="223" spans="13:17" x14ac:dyDescent="0.2">
      <c r="M223" s="30"/>
      <c r="N223" s="30"/>
      <c r="O223" s="30"/>
      <c r="P223" s="30"/>
      <c r="Q223" s="30"/>
    </row>
    <row r="224" spans="13:17" x14ac:dyDescent="0.2">
      <c r="M224" s="30"/>
      <c r="N224" s="30"/>
      <c r="O224" s="30"/>
      <c r="P224" s="30"/>
      <c r="Q224" s="30"/>
    </row>
    <row r="225" spans="13:17" x14ac:dyDescent="0.2">
      <c r="M225" s="30"/>
      <c r="N225" s="30"/>
      <c r="O225" s="30"/>
      <c r="P225" s="30"/>
      <c r="Q225" s="30"/>
    </row>
    <row r="226" spans="13:17" x14ac:dyDescent="0.2">
      <c r="M226" s="30"/>
      <c r="N226" s="30"/>
      <c r="O226" s="30"/>
      <c r="P226" s="30"/>
      <c r="Q226" s="30"/>
    </row>
    <row r="227" spans="13:17" x14ac:dyDescent="0.2">
      <c r="M227" s="30"/>
      <c r="N227" s="30"/>
      <c r="O227" s="30"/>
      <c r="P227" s="30"/>
      <c r="Q227" s="30"/>
    </row>
    <row r="228" spans="13:17" x14ac:dyDescent="0.2">
      <c r="M228" s="30"/>
      <c r="N228" s="30"/>
      <c r="O228" s="30"/>
      <c r="P228" s="30"/>
      <c r="Q228" s="30"/>
    </row>
    <row r="229" spans="13:17" x14ac:dyDescent="0.2">
      <c r="M229" s="30"/>
      <c r="N229" s="30"/>
      <c r="O229" s="30"/>
      <c r="P229" s="30"/>
      <c r="Q229" s="30"/>
    </row>
    <row r="230" spans="13:17" x14ac:dyDescent="0.2">
      <c r="M230" s="30"/>
      <c r="N230" s="30"/>
      <c r="O230" s="30"/>
      <c r="P230" s="30"/>
      <c r="Q230" s="30"/>
    </row>
    <row r="231" spans="13:17" x14ac:dyDescent="0.2">
      <c r="M231" s="30"/>
      <c r="N231" s="30"/>
      <c r="O231" s="30"/>
      <c r="P231" s="30"/>
      <c r="Q231" s="30"/>
    </row>
    <row r="232" spans="13:17" x14ac:dyDescent="0.2">
      <c r="M232" s="30"/>
      <c r="N232" s="30"/>
      <c r="O232" s="30"/>
      <c r="P232" s="30"/>
      <c r="Q232" s="30"/>
    </row>
    <row r="233" spans="13:17" x14ac:dyDescent="0.2">
      <c r="M233" s="30"/>
      <c r="N233" s="30"/>
      <c r="O233" s="30"/>
      <c r="P233" s="30"/>
      <c r="Q233" s="30"/>
    </row>
    <row r="234" spans="13:17" x14ac:dyDescent="0.2">
      <c r="M234" s="30"/>
      <c r="N234" s="30"/>
      <c r="O234" s="30"/>
      <c r="P234" s="30"/>
      <c r="Q234" s="30"/>
    </row>
    <row r="235" spans="13:17" x14ac:dyDescent="0.2">
      <c r="M235" s="30"/>
      <c r="N235" s="30"/>
      <c r="O235" s="30"/>
      <c r="P235" s="30"/>
      <c r="Q235" s="30"/>
    </row>
    <row r="236" spans="13:17" x14ac:dyDescent="0.2">
      <c r="M236" s="30"/>
      <c r="N236" s="30"/>
      <c r="O236" s="30"/>
      <c r="P236" s="30"/>
      <c r="Q236" s="30"/>
    </row>
    <row r="237" spans="13:17" x14ac:dyDescent="0.2">
      <c r="M237" s="30"/>
      <c r="N237" s="30"/>
      <c r="O237" s="30"/>
      <c r="P237" s="30"/>
      <c r="Q237" s="30"/>
    </row>
    <row r="238" spans="13:17" x14ac:dyDescent="0.2">
      <c r="M238" s="30"/>
      <c r="N238" s="30"/>
      <c r="O238" s="30"/>
      <c r="P238" s="30"/>
      <c r="Q238" s="30"/>
    </row>
    <row r="239" spans="13:17" x14ac:dyDescent="0.2">
      <c r="M239" s="30"/>
      <c r="N239" s="30"/>
      <c r="O239" s="30"/>
      <c r="P239" s="30"/>
      <c r="Q239" s="30"/>
    </row>
    <row r="240" spans="13:17" x14ac:dyDescent="0.2">
      <c r="M240" s="30"/>
      <c r="N240" s="30"/>
      <c r="O240" s="30"/>
      <c r="P240" s="30"/>
      <c r="Q240" s="30"/>
    </row>
    <row r="241" spans="13:17" x14ac:dyDescent="0.2">
      <c r="M241" s="30"/>
      <c r="N241" s="30"/>
      <c r="O241" s="30"/>
      <c r="P241" s="30"/>
      <c r="Q241" s="30"/>
    </row>
    <row r="242" spans="13:17" x14ac:dyDescent="0.2">
      <c r="M242" s="30"/>
      <c r="N242" s="30"/>
      <c r="O242" s="30"/>
      <c r="P242" s="30"/>
      <c r="Q242" s="30"/>
    </row>
    <row r="243" spans="13:17" x14ac:dyDescent="0.2">
      <c r="M243" s="30"/>
      <c r="N243" s="30"/>
      <c r="O243" s="30"/>
      <c r="P243" s="30"/>
      <c r="Q243" s="30"/>
    </row>
    <row r="244" spans="13:17" x14ac:dyDescent="0.2">
      <c r="M244" s="30"/>
      <c r="N244" s="30"/>
      <c r="O244" s="30"/>
      <c r="P244" s="30"/>
      <c r="Q244" s="30"/>
    </row>
    <row r="245" spans="13:17" x14ac:dyDescent="0.2">
      <c r="M245" s="30"/>
      <c r="N245" s="30"/>
      <c r="O245" s="30"/>
      <c r="P245" s="30"/>
      <c r="Q245" s="30"/>
    </row>
    <row r="246" spans="13:17" x14ac:dyDescent="0.2">
      <c r="M246" s="30"/>
      <c r="N246" s="30"/>
      <c r="O246" s="30"/>
      <c r="P246" s="30"/>
      <c r="Q246" s="30"/>
    </row>
    <row r="247" spans="13:17" x14ac:dyDescent="0.2">
      <c r="M247" s="30"/>
      <c r="N247" s="30"/>
      <c r="O247" s="30"/>
      <c r="P247" s="30"/>
      <c r="Q247" s="30"/>
    </row>
    <row r="248" spans="13:17" x14ac:dyDescent="0.2">
      <c r="M248" s="30"/>
      <c r="N248" s="30"/>
      <c r="O248" s="30"/>
      <c r="P248" s="30"/>
      <c r="Q248" s="30"/>
    </row>
    <row r="249" spans="13:17" x14ac:dyDescent="0.2">
      <c r="M249" s="30"/>
      <c r="N249" s="30"/>
      <c r="O249" s="30"/>
      <c r="P249" s="30"/>
      <c r="Q249" s="30"/>
    </row>
    <row r="250" spans="13:17" x14ac:dyDescent="0.2">
      <c r="M250" s="30"/>
      <c r="N250" s="30"/>
      <c r="O250" s="30"/>
      <c r="P250" s="30"/>
      <c r="Q250" s="30"/>
    </row>
    <row r="251" spans="13:17" x14ac:dyDescent="0.2">
      <c r="M251" s="30"/>
      <c r="N251" s="30"/>
      <c r="O251" s="30"/>
      <c r="P251" s="30"/>
      <c r="Q251" s="30"/>
    </row>
    <row r="252" spans="13:17" x14ac:dyDescent="0.2">
      <c r="M252" s="30"/>
      <c r="N252" s="30"/>
      <c r="O252" s="30"/>
      <c r="P252" s="30"/>
      <c r="Q252" s="30"/>
    </row>
    <row r="253" spans="13:17" x14ac:dyDescent="0.2">
      <c r="M253" s="30"/>
      <c r="N253" s="30"/>
      <c r="O253" s="30"/>
      <c r="P253" s="30"/>
      <c r="Q253" s="30"/>
    </row>
    <row r="254" spans="13:17" x14ac:dyDescent="0.2">
      <c r="M254" s="30"/>
      <c r="N254" s="30"/>
      <c r="O254" s="30"/>
      <c r="P254" s="30"/>
      <c r="Q254" s="30"/>
    </row>
    <row r="255" spans="13:17" x14ac:dyDescent="0.2">
      <c r="M255" s="30"/>
      <c r="N255" s="30"/>
      <c r="O255" s="30"/>
      <c r="P255" s="30"/>
      <c r="Q255" s="30"/>
    </row>
    <row r="256" spans="13:17" x14ac:dyDescent="0.2">
      <c r="M256" s="30"/>
      <c r="N256" s="30"/>
      <c r="O256" s="30"/>
      <c r="P256" s="30"/>
      <c r="Q256" s="30"/>
    </row>
    <row r="257" spans="13:17" x14ac:dyDescent="0.2">
      <c r="M257" s="30"/>
      <c r="N257" s="30"/>
      <c r="O257" s="30"/>
      <c r="P257" s="30"/>
      <c r="Q257" s="30"/>
    </row>
    <row r="258" spans="13:17" x14ac:dyDescent="0.2">
      <c r="M258" s="30"/>
      <c r="N258" s="30"/>
      <c r="O258" s="30"/>
      <c r="P258" s="30"/>
      <c r="Q258" s="30"/>
    </row>
    <row r="259" spans="13:17" x14ac:dyDescent="0.2">
      <c r="M259" s="30"/>
      <c r="N259" s="30"/>
      <c r="O259" s="30"/>
      <c r="P259" s="30"/>
      <c r="Q259" s="30"/>
    </row>
    <row r="260" spans="13:17" x14ac:dyDescent="0.2">
      <c r="M260" s="30"/>
      <c r="N260" s="30"/>
      <c r="O260" s="30"/>
      <c r="P260" s="30"/>
      <c r="Q260" s="30"/>
    </row>
    <row r="261" spans="13:17" x14ac:dyDescent="0.2">
      <c r="M261" s="30"/>
      <c r="N261" s="30"/>
      <c r="O261" s="30"/>
      <c r="P261" s="30"/>
      <c r="Q261" s="30"/>
    </row>
    <row r="262" spans="13:17" x14ac:dyDescent="0.2">
      <c r="M262" s="30"/>
      <c r="N262" s="30"/>
      <c r="O262" s="30"/>
      <c r="P262" s="30"/>
      <c r="Q262" s="30"/>
    </row>
    <row r="263" spans="13:17" x14ac:dyDescent="0.2">
      <c r="M263" s="30"/>
      <c r="N263" s="30"/>
      <c r="O263" s="30"/>
      <c r="P263" s="30"/>
      <c r="Q263" s="30"/>
    </row>
    <row r="264" spans="13:17" x14ac:dyDescent="0.2">
      <c r="M264" s="30"/>
      <c r="N264" s="30"/>
      <c r="O264" s="30"/>
      <c r="P264" s="30"/>
      <c r="Q264" s="30"/>
    </row>
    <row r="265" spans="13:17" x14ac:dyDescent="0.2">
      <c r="M265" s="30"/>
      <c r="N265" s="30"/>
      <c r="O265" s="30"/>
      <c r="P265" s="30"/>
      <c r="Q265" s="30"/>
    </row>
    <row r="266" spans="13:17" x14ac:dyDescent="0.2">
      <c r="M266" s="30"/>
      <c r="N266" s="30"/>
      <c r="O266" s="30"/>
      <c r="P266" s="30"/>
      <c r="Q266" s="30"/>
    </row>
    <row r="267" spans="13:17" x14ac:dyDescent="0.2">
      <c r="M267" s="30"/>
      <c r="N267" s="30"/>
      <c r="O267" s="30"/>
      <c r="P267" s="30"/>
      <c r="Q267" s="30"/>
    </row>
    <row r="268" spans="13:17" x14ac:dyDescent="0.2">
      <c r="M268" s="30"/>
      <c r="N268" s="30"/>
      <c r="O268" s="30"/>
      <c r="P268" s="30"/>
      <c r="Q268" s="30"/>
    </row>
    <row r="269" spans="13:17" x14ac:dyDescent="0.2">
      <c r="M269" s="30"/>
      <c r="N269" s="30"/>
      <c r="O269" s="30"/>
      <c r="P269" s="30"/>
      <c r="Q269" s="30"/>
    </row>
    <row r="270" spans="13:17" x14ac:dyDescent="0.2">
      <c r="M270" s="30"/>
      <c r="N270" s="30"/>
      <c r="O270" s="30"/>
      <c r="P270" s="30"/>
      <c r="Q270" s="30"/>
    </row>
    <row r="271" spans="13:17" x14ac:dyDescent="0.2">
      <c r="M271" s="30"/>
      <c r="N271" s="30"/>
      <c r="O271" s="30"/>
      <c r="P271" s="30"/>
      <c r="Q271" s="30"/>
    </row>
    <row r="272" spans="13:17" x14ac:dyDescent="0.2">
      <c r="M272" s="30"/>
      <c r="N272" s="30"/>
      <c r="O272" s="30"/>
      <c r="P272" s="30"/>
      <c r="Q272" s="30"/>
    </row>
    <row r="273" spans="13:17" x14ac:dyDescent="0.2">
      <c r="M273" s="30"/>
      <c r="N273" s="30"/>
      <c r="O273" s="30"/>
      <c r="P273" s="30"/>
      <c r="Q273" s="30"/>
    </row>
    <row r="274" spans="13:17" x14ac:dyDescent="0.2">
      <c r="M274" s="30"/>
      <c r="N274" s="30"/>
      <c r="O274" s="30"/>
      <c r="P274" s="30"/>
      <c r="Q274" s="30"/>
    </row>
    <row r="275" spans="13:17" x14ac:dyDescent="0.2">
      <c r="M275" s="30"/>
      <c r="N275" s="30"/>
      <c r="O275" s="30"/>
      <c r="P275" s="30"/>
      <c r="Q275" s="30"/>
    </row>
    <row r="276" spans="13:17" x14ac:dyDescent="0.2">
      <c r="M276" s="30"/>
      <c r="N276" s="30"/>
      <c r="O276" s="30"/>
      <c r="P276" s="30"/>
      <c r="Q276" s="30"/>
    </row>
    <row r="277" spans="13:17" x14ac:dyDescent="0.2">
      <c r="M277" s="30"/>
      <c r="N277" s="30"/>
      <c r="O277" s="30"/>
      <c r="P277" s="30"/>
      <c r="Q277" s="30"/>
    </row>
    <row r="278" spans="13:17" x14ac:dyDescent="0.2">
      <c r="M278" s="30"/>
      <c r="N278" s="30"/>
      <c r="O278" s="30"/>
      <c r="P278" s="30"/>
      <c r="Q278" s="30"/>
    </row>
    <row r="279" spans="13:17" x14ac:dyDescent="0.2">
      <c r="M279" s="30"/>
      <c r="N279" s="30"/>
      <c r="O279" s="30"/>
      <c r="P279" s="30"/>
      <c r="Q279" s="30"/>
    </row>
    <row r="280" spans="13:17" x14ac:dyDescent="0.2">
      <c r="M280" s="30"/>
      <c r="N280" s="30"/>
      <c r="O280" s="30"/>
      <c r="P280" s="30"/>
      <c r="Q280" s="30"/>
    </row>
    <row r="281" spans="13:17" x14ac:dyDescent="0.2">
      <c r="M281" s="30"/>
      <c r="N281" s="30"/>
      <c r="O281" s="30"/>
      <c r="P281" s="30"/>
      <c r="Q281" s="30"/>
    </row>
    <row r="282" spans="13:17" x14ac:dyDescent="0.2">
      <c r="M282" s="30"/>
      <c r="N282" s="30"/>
      <c r="O282" s="30"/>
      <c r="P282" s="30"/>
      <c r="Q282" s="30"/>
    </row>
    <row r="283" spans="13:17" x14ac:dyDescent="0.2">
      <c r="M283" s="30"/>
      <c r="N283" s="30"/>
      <c r="O283" s="30"/>
      <c r="P283" s="30"/>
      <c r="Q283" s="30"/>
    </row>
    <row r="284" spans="13:17" x14ac:dyDescent="0.2">
      <c r="M284" s="30"/>
      <c r="N284" s="30"/>
      <c r="O284" s="30"/>
      <c r="P284" s="30"/>
      <c r="Q284" s="30"/>
    </row>
    <row r="285" spans="13:17" x14ac:dyDescent="0.2">
      <c r="M285" s="30"/>
      <c r="N285" s="30"/>
      <c r="O285" s="30"/>
      <c r="P285" s="30"/>
      <c r="Q285" s="30"/>
    </row>
    <row r="286" spans="13:17" x14ac:dyDescent="0.2">
      <c r="M286" s="30"/>
      <c r="N286" s="30"/>
      <c r="O286" s="30"/>
      <c r="P286" s="30"/>
      <c r="Q286" s="30"/>
    </row>
    <row r="287" spans="13:17" x14ac:dyDescent="0.2">
      <c r="M287" s="30"/>
      <c r="N287" s="30"/>
      <c r="O287" s="30"/>
      <c r="P287" s="30"/>
      <c r="Q287" s="30"/>
    </row>
    <row r="288" spans="13:17" x14ac:dyDescent="0.2">
      <c r="M288" s="30"/>
      <c r="N288" s="30"/>
      <c r="O288" s="30"/>
      <c r="P288" s="30"/>
      <c r="Q288" s="30"/>
    </row>
    <row r="289" spans="13:17" x14ac:dyDescent="0.2">
      <c r="M289" s="30"/>
      <c r="N289" s="30"/>
      <c r="O289" s="30"/>
      <c r="P289" s="30"/>
      <c r="Q289" s="30"/>
    </row>
    <row r="290" spans="13:17" x14ac:dyDescent="0.2">
      <c r="M290" s="30"/>
      <c r="N290" s="30"/>
      <c r="O290" s="30"/>
      <c r="P290" s="30"/>
      <c r="Q290" s="30"/>
    </row>
    <row r="291" spans="13:17" x14ac:dyDescent="0.2">
      <c r="M291" s="30"/>
      <c r="N291" s="30"/>
      <c r="O291" s="30"/>
      <c r="P291" s="30"/>
      <c r="Q291" s="30"/>
    </row>
    <row r="292" spans="13:17" x14ac:dyDescent="0.2">
      <c r="M292" s="30"/>
      <c r="N292" s="30"/>
      <c r="O292" s="30"/>
      <c r="P292" s="30"/>
      <c r="Q292" s="30"/>
    </row>
    <row r="293" spans="13:17" x14ac:dyDescent="0.2">
      <c r="M293" s="30"/>
      <c r="N293" s="30"/>
      <c r="O293" s="30"/>
      <c r="P293" s="30"/>
      <c r="Q293" s="30"/>
    </row>
    <row r="294" spans="13:17" x14ac:dyDescent="0.2">
      <c r="M294" s="30"/>
      <c r="N294" s="30"/>
      <c r="O294" s="30"/>
      <c r="P294" s="30"/>
      <c r="Q294" s="30"/>
    </row>
    <row r="295" spans="13:17" x14ac:dyDescent="0.2">
      <c r="M295" s="30"/>
      <c r="N295" s="30"/>
      <c r="O295" s="30"/>
      <c r="P295" s="30"/>
      <c r="Q295" s="30"/>
    </row>
    <row r="296" spans="13:17" x14ac:dyDescent="0.2">
      <c r="M296" s="30"/>
      <c r="N296" s="30"/>
      <c r="O296" s="30"/>
      <c r="P296" s="30"/>
      <c r="Q296" s="30"/>
    </row>
    <row r="297" spans="13:17" x14ac:dyDescent="0.2">
      <c r="M297" s="30"/>
      <c r="N297" s="30"/>
      <c r="O297" s="30"/>
      <c r="P297" s="30"/>
      <c r="Q297" s="30"/>
    </row>
    <row r="298" spans="13:17" x14ac:dyDescent="0.2">
      <c r="M298" s="30"/>
      <c r="N298" s="30"/>
      <c r="O298" s="30"/>
      <c r="P298" s="30"/>
      <c r="Q298" s="30"/>
    </row>
    <row r="299" spans="13:17" x14ac:dyDescent="0.2">
      <c r="M299" s="30"/>
      <c r="N299" s="30"/>
      <c r="O299" s="30"/>
      <c r="P299" s="30"/>
      <c r="Q299" s="30"/>
    </row>
    <row r="300" spans="13:17" x14ac:dyDescent="0.2">
      <c r="M300" s="30"/>
      <c r="N300" s="30"/>
      <c r="O300" s="30"/>
      <c r="P300" s="30"/>
      <c r="Q300" s="30"/>
    </row>
    <row r="301" spans="13:17" x14ac:dyDescent="0.2">
      <c r="M301" s="30"/>
      <c r="N301" s="30"/>
      <c r="O301" s="30"/>
      <c r="P301" s="30"/>
      <c r="Q301" s="30"/>
    </row>
    <row r="302" spans="13:17" x14ac:dyDescent="0.2">
      <c r="M302" s="30"/>
      <c r="N302" s="30"/>
      <c r="O302" s="30"/>
      <c r="P302" s="30"/>
      <c r="Q302" s="30"/>
    </row>
    <row r="303" spans="13:17" x14ac:dyDescent="0.2">
      <c r="M303" s="30"/>
      <c r="N303" s="30"/>
      <c r="O303" s="30"/>
      <c r="P303" s="30"/>
      <c r="Q303" s="30"/>
    </row>
    <row r="304" spans="13:17" x14ac:dyDescent="0.2">
      <c r="M304" s="30"/>
      <c r="N304" s="30"/>
      <c r="O304" s="30"/>
      <c r="P304" s="30"/>
      <c r="Q304" s="30"/>
    </row>
    <row r="305" spans="13:17" x14ac:dyDescent="0.2">
      <c r="M305" s="30"/>
      <c r="N305" s="30"/>
      <c r="O305" s="30"/>
      <c r="P305" s="30"/>
      <c r="Q305" s="30"/>
    </row>
    <row r="306" spans="13:17" x14ac:dyDescent="0.2">
      <c r="M306" s="30"/>
      <c r="N306" s="30"/>
      <c r="O306" s="30"/>
      <c r="P306" s="30"/>
      <c r="Q306" s="30"/>
    </row>
    <row r="307" spans="13:17" x14ac:dyDescent="0.2">
      <c r="M307" s="30"/>
      <c r="N307" s="30"/>
      <c r="O307" s="30"/>
      <c r="P307" s="30"/>
      <c r="Q307" s="30"/>
    </row>
    <row r="308" spans="13:17" x14ac:dyDescent="0.2">
      <c r="M308" s="30"/>
      <c r="N308" s="30"/>
      <c r="O308" s="30"/>
      <c r="P308" s="30"/>
      <c r="Q308" s="30"/>
    </row>
    <row r="309" spans="13:17" x14ac:dyDescent="0.2">
      <c r="M309" s="30"/>
      <c r="N309" s="30"/>
      <c r="O309" s="30"/>
      <c r="P309" s="30"/>
      <c r="Q309" s="30"/>
    </row>
    <row r="310" spans="13:17" x14ac:dyDescent="0.2">
      <c r="M310" s="30"/>
      <c r="N310" s="30"/>
      <c r="O310" s="30"/>
      <c r="P310" s="30"/>
      <c r="Q310" s="30"/>
    </row>
    <row r="311" spans="13:17" x14ac:dyDescent="0.2">
      <c r="M311" s="30"/>
      <c r="N311" s="30"/>
      <c r="O311" s="30"/>
      <c r="P311" s="30"/>
      <c r="Q311" s="30"/>
    </row>
    <row r="312" spans="13:17" x14ac:dyDescent="0.2">
      <c r="M312" s="30"/>
      <c r="N312" s="30"/>
      <c r="O312" s="30"/>
      <c r="P312" s="30"/>
      <c r="Q312" s="30"/>
    </row>
    <row r="313" spans="13:17" x14ac:dyDescent="0.2">
      <c r="M313" s="30"/>
      <c r="N313" s="30"/>
      <c r="O313" s="30"/>
      <c r="P313" s="30"/>
      <c r="Q313" s="30"/>
    </row>
    <row r="314" spans="13:17" x14ac:dyDescent="0.2">
      <c r="M314" s="30"/>
      <c r="N314" s="30"/>
      <c r="O314" s="30"/>
      <c r="P314" s="30"/>
      <c r="Q314" s="30"/>
    </row>
    <row r="315" spans="13:17" x14ac:dyDescent="0.2">
      <c r="M315" s="30"/>
      <c r="N315" s="30"/>
      <c r="O315" s="30"/>
      <c r="P315" s="30"/>
      <c r="Q315" s="30"/>
    </row>
    <row r="316" spans="13:17" x14ac:dyDescent="0.2">
      <c r="M316" s="30"/>
      <c r="N316" s="30"/>
      <c r="O316" s="30"/>
      <c r="P316" s="30"/>
      <c r="Q316" s="30"/>
    </row>
    <row r="317" spans="13:17" x14ac:dyDescent="0.2">
      <c r="M317" s="30"/>
      <c r="N317" s="30"/>
      <c r="O317" s="30"/>
      <c r="P317" s="30"/>
      <c r="Q317" s="30"/>
    </row>
    <row r="318" spans="13:17" x14ac:dyDescent="0.2">
      <c r="M318" s="30"/>
      <c r="N318" s="30"/>
      <c r="O318" s="30"/>
      <c r="P318" s="30"/>
      <c r="Q318" s="30"/>
    </row>
    <row r="319" spans="13:17" x14ac:dyDescent="0.2">
      <c r="M319" s="30"/>
      <c r="N319" s="30"/>
      <c r="O319" s="30"/>
      <c r="P319" s="30"/>
      <c r="Q319" s="30"/>
    </row>
    <row r="320" spans="13:17" x14ac:dyDescent="0.2">
      <c r="M320" s="30"/>
      <c r="N320" s="30"/>
      <c r="O320" s="30"/>
      <c r="P320" s="30"/>
      <c r="Q320" s="30"/>
    </row>
    <row r="321" spans="13:17" x14ac:dyDescent="0.2">
      <c r="M321" s="30"/>
      <c r="N321" s="30"/>
      <c r="O321" s="30"/>
      <c r="P321" s="30"/>
      <c r="Q321" s="30"/>
    </row>
    <row r="322" spans="13:17" x14ac:dyDescent="0.2">
      <c r="M322" s="30"/>
      <c r="N322" s="30"/>
      <c r="O322" s="30"/>
      <c r="P322" s="30"/>
      <c r="Q322" s="30"/>
    </row>
    <row r="323" spans="13:17" x14ac:dyDescent="0.2">
      <c r="M323" s="30"/>
      <c r="N323" s="30"/>
      <c r="O323" s="30"/>
      <c r="P323" s="30"/>
      <c r="Q323" s="30"/>
    </row>
    <row r="324" spans="13:17" x14ac:dyDescent="0.2">
      <c r="M324" s="30"/>
      <c r="N324" s="30"/>
      <c r="O324" s="30"/>
      <c r="P324" s="30"/>
      <c r="Q324" s="30"/>
    </row>
    <row r="325" spans="13:17" x14ac:dyDescent="0.2">
      <c r="M325" s="30"/>
      <c r="N325" s="30"/>
      <c r="O325" s="30"/>
      <c r="P325" s="30"/>
      <c r="Q325" s="30"/>
    </row>
    <row r="326" spans="13:17" x14ac:dyDescent="0.2">
      <c r="M326" s="30"/>
      <c r="N326" s="30"/>
      <c r="O326" s="30"/>
      <c r="P326" s="30"/>
      <c r="Q326" s="30"/>
    </row>
    <row r="327" spans="13:17" x14ac:dyDescent="0.2">
      <c r="M327" s="30"/>
      <c r="N327" s="30"/>
      <c r="O327" s="30"/>
      <c r="P327" s="30"/>
      <c r="Q327" s="30"/>
    </row>
    <row r="328" spans="13:17" x14ac:dyDescent="0.2">
      <c r="M328" s="30"/>
      <c r="N328" s="30"/>
      <c r="O328" s="30"/>
      <c r="P328" s="30"/>
      <c r="Q328" s="30"/>
    </row>
    <row r="329" spans="13:17" x14ac:dyDescent="0.2">
      <c r="M329" s="30"/>
      <c r="N329" s="30"/>
      <c r="O329" s="30"/>
      <c r="P329" s="30"/>
      <c r="Q329" s="30"/>
    </row>
    <row r="330" spans="13:17" x14ac:dyDescent="0.2">
      <c r="M330" s="30"/>
      <c r="N330" s="30"/>
      <c r="O330" s="30"/>
      <c r="P330" s="30"/>
      <c r="Q330" s="30"/>
    </row>
    <row r="331" spans="13:17" x14ac:dyDescent="0.2">
      <c r="M331" s="30"/>
      <c r="N331" s="30"/>
      <c r="O331" s="30"/>
      <c r="P331" s="30"/>
      <c r="Q331" s="30"/>
    </row>
    <row r="332" spans="13:17" x14ac:dyDescent="0.2">
      <c r="M332" s="30"/>
      <c r="N332" s="30"/>
      <c r="O332" s="30"/>
      <c r="P332" s="30"/>
      <c r="Q332" s="30"/>
    </row>
    <row r="333" spans="13:17" x14ac:dyDescent="0.2">
      <c r="M333" s="30"/>
      <c r="N333" s="30"/>
      <c r="O333" s="30"/>
      <c r="P333" s="30"/>
      <c r="Q333" s="30"/>
    </row>
    <row r="334" spans="13:17" x14ac:dyDescent="0.2">
      <c r="M334" s="30"/>
      <c r="N334" s="30"/>
      <c r="O334" s="30"/>
      <c r="P334" s="30"/>
      <c r="Q334" s="30"/>
    </row>
    <row r="335" spans="13:17" x14ac:dyDescent="0.2">
      <c r="M335" s="30"/>
      <c r="N335" s="30"/>
      <c r="O335" s="30"/>
      <c r="P335" s="30"/>
      <c r="Q335" s="30"/>
    </row>
    <row r="336" spans="13:17" x14ac:dyDescent="0.2">
      <c r="M336" s="30"/>
      <c r="N336" s="30"/>
      <c r="O336" s="30"/>
      <c r="P336" s="30"/>
      <c r="Q336" s="30"/>
    </row>
    <row r="337" spans="13:17" x14ac:dyDescent="0.2">
      <c r="M337" s="30"/>
      <c r="N337" s="30"/>
      <c r="O337" s="30"/>
      <c r="P337" s="30"/>
      <c r="Q337" s="30"/>
    </row>
    <row r="338" spans="13:17" x14ac:dyDescent="0.2">
      <c r="M338" s="30"/>
      <c r="N338" s="30"/>
      <c r="O338" s="30"/>
      <c r="P338" s="30"/>
      <c r="Q338" s="30"/>
    </row>
    <row r="339" spans="13:17" x14ac:dyDescent="0.2">
      <c r="M339" s="30"/>
      <c r="N339" s="30"/>
      <c r="O339" s="30"/>
      <c r="P339" s="30"/>
      <c r="Q339" s="30"/>
    </row>
    <row r="340" spans="13:17" x14ac:dyDescent="0.2">
      <c r="M340" s="30"/>
      <c r="N340" s="30"/>
      <c r="O340" s="30"/>
      <c r="P340" s="30"/>
      <c r="Q340" s="30"/>
    </row>
    <row r="341" spans="13:17" x14ac:dyDescent="0.2">
      <c r="M341" s="30"/>
      <c r="N341" s="30"/>
      <c r="O341" s="30"/>
      <c r="P341" s="30"/>
      <c r="Q341" s="30"/>
    </row>
    <row r="342" spans="13:17" x14ac:dyDescent="0.2">
      <c r="M342" s="30"/>
      <c r="N342" s="30"/>
      <c r="O342" s="30"/>
      <c r="P342" s="30"/>
      <c r="Q342" s="30"/>
    </row>
    <row r="343" spans="13:17" x14ac:dyDescent="0.2">
      <c r="M343" s="30"/>
      <c r="N343" s="30"/>
      <c r="O343" s="30"/>
      <c r="P343" s="30"/>
      <c r="Q343" s="30"/>
    </row>
    <row r="344" spans="13:17" x14ac:dyDescent="0.2">
      <c r="M344" s="30"/>
      <c r="N344" s="30"/>
      <c r="O344" s="30"/>
      <c r="P344" s="30"/>
      <c r="Q344" s="30"/>
    </row>
    <row r="345" spans="13:17" x14ac:dyDescent="0.2">
      <c r="M345" s="30"/>
      <c r="N345" s="30"/>
      <c r="O345" s="30"/>
      <c r="P345" s="30"/>
      <c r="Q345" s="30"/>
    </row>
    <row r="346" spans="13:17" x14ac:dyDescent="0.2">
      <c r="M346" s="30"/>
      <c r="N346" s="30"/>
      <c r="O346" s="30"/>
      <c r="P346" s="30"/>
      <c r="Q346" s="30"/>
    </row>
    <row r="347" spans="13:17" x14ac:dyDescent="0.2">
      <c r="M347" s="30"/>
      <c r="N347" s="30"/>
      <c r="O347" s="30"/>
      <c r="P347" s="30"/>
      <c r="Q347" s="30"/>
    </row>
    <row r="348" spans="13:17" x14ac:dyDescent="0.2">
      <c r="M348" s="30"/>
      <c r="N348" s="30"/>
      <c r="O348" s="30"/>
      <c r="P348" s="30"/>
      <c r="Q348" s="30"/>
    </row>
    <row r="349" spans="13:17" x14ac:dyDescent="0.2">
      <c r="M349" s="30"/>
      <c r="N349" s="30"/>
      <c r="O349" s="30"/>
      <c r="P349" s="30"/>
      <c r="Q349" s="30"/>
    </row>
    <row r="350" spans="13:17" x14ac:dyDescent="0.2">
      <c r="M350" s="30"/>
      <c r="N350" s="30"/>
      <c r="O350" s="30"/>
      <c r="P350" s="30"/>
      <c r="Q350" s="30"/>
    </row>
    <row r="351" spans="13:17" x14ac:dyDescent="0.2">
      <c r="M351" s="30"/>
      <c r="N351" s="30"/>
      <c r="O351" s="30"/>
      <c r="P351" s="30"/>
      <c r="Q351" s="30"/>
    </row>
    <row r="352" spans="13:17" x14ac:dyDescent="0.2">
      <c r="M352" s="30"/>
      <c r="N352" s="30"/>
      <c r="O352" s="30"/>
      <c r="P352" s="30"/>
      <c r="Q352" s="30"/>
    </row>
    <row r="353" spans="13:17" x14ac:dyDescent="0.2">
      <c r="M353" s="30"/>
      <c r="N353" s="30"/>
      <c r="O353" s="30"/>
      <c r="P353" s="30"/>
      <c r="Q353" s="30"/>
    </row>
    <row r="354" spans="13:17" x14ac:dyDescent="0.2">
      <c r="M354" s="30"/>
      <c r="N354" s="30"/>
      <c r="O354" s="30"/>
      <c r="P354" s="30"/>
      <c r="Q354" s="30"/>
    </row>
    <row r="355" spans="13:17" x14ac:dyDescent="0.2">
      <c r="M355" s="30"/>
      <c r="N355" s="30"/>
      <c r="O355" s="30"/>
      <c r="P355" s="30"/>
      <c r="Q355" s="30"/>
    </row>
    <row r="356" spans="13:17" x14ac:dyDescent="0.2">
      <c r="M356" s="30"/>
      <c r="N356" s="30"/>
      <c r="O356" s="30"/>
      <c r="P356" s="30"/>
      <c r="Q356" s="30"/>
    </row>
    <row r="357" spans="13:17" x14ac:dyDescent="0.2">
      <c r="M357" s="30"/>
      <c r="N357" s="30"/>
      <c r="O357" s="30"/>
      <c r="P357" s="30"/>
      <c r="Q357" s="30"/>
    </row>
    <row r="358" spans="13:17" x14ac:dyDescent="0.2">
      <c r="M358" s="30"/>
      <c r="N358" s="30"/>
      <c r="O358" s="30"/>
      <c r="P358" s="30"/>
      <c r="Q358" s="30"/>
    </row>
    <row r="359" spans="13:17" x14ac:dyDescent="0.2">
      <c r="M359" s="30"/>
      <c r="N359" s="30"/>
      <c r="O359" s="30"/>
      <c r="P359" s="30"/>
      <c r="Q359" s="30"/>
    </row>
    <row r="360" spans="13:17" x14ac:dyDescent="0.2">
      <c r="M360" s="30"/>
      <c r="N360" s="30"/>
      <c r="O360" s="30"/>
      <c r="P360" s="30"/>
      <c r="Q360" s="30"/>
    </row>
    <row r="361" spans="13:17" x14ac:dyDescent="0.2">
      <c r="M361" s="30"/>
      <c r="N361" s="30"/>
      <c r="O361" s="30"/>
      <c r="P361" s="30"/>
      <c r="Q361" s="30"/>
    </row>
    <row r="362" spans="13:17" x14ac:dyDescent="0.2">
      <c r="M362" s="30"/>
      <c r="N362" s="30"/>
      <c r="O362" s="30"/>
      <c r="P362" s="30"/>
      <c r="Q362" s="30"/>
    </row>
    <row r="363" spans="13:17" x14ac:dyDescent="0.2">
      <c r="M363" s="30"/>
      <c r="N363" s="30"/>
      <c r="O363" s="30"/>
      <c r="P363" s="30"/>
      <c r="Q363" s="30"/>
    </row>
    <row r="364" spans="13:17" x14ac:dyDescent="0.2">
      <c r="M364" s="30"/>
      <c r="N364" s="30"/>
      <c r="O364" s="30"/>
      <c r="P364" s="30"/>
      <c r="Q364" s="30"/>
    </row>
    <row r="365" spans="13:17" x14ac:dyDescent="0.2">
      <c r="M365" s="30"/>
      <c r="N365" s="30"/>
      <c r="O365" s="30"/>
      <c r="P365" s="30"/>
      <c r="Q365" s="30"/>
    </row>
    <row r="366" spans="13:17" x14ac:dyDescent="0.2">
      <c r="M366" s="30"/>
      <c r="N366" s="30"/>
      <c r="O366" s="30"/>
      <c r="P366" s="30"/>
      <c r="Q366" s="30"/>
    </row>
    <row r="367" spans="13:17" x14ac:dyDescent="0.2">
      <c r="M367" s="30"/>
      <c r="N367" s="30"/>
      <c r="O367" s="30"/>
      <c r="P367" s="30"/>
      <c r="Q367" s="30"/>
    </row>
    <row r="368" spans="13:17" x14ac:dyDescent="0.2">
      <c r="M368" s="30"/>
      <c r="N368" s="30"/>
      <c r="O368" s="30"/>
      <c r="P368" s="30"/>
      <c r="Q368" s="30"/>
    </row>
    <row r="369" spans="13:17" x14ac:dyDescent="0.2">
      <c r="M369" s="30"/>
      <c r="N369" s="30"/>
      <c r="O369" s="30"/>
      <c r="P369" s="30"/>
      <c r="Q369" s="30"/>
    </row>
    <row r="370" spans="13:17" x14ac:dyDescent="0.2">
      <c r="M370" s="30"/>
      <c r="N370" s="30"/>
      <c r="O370" s="30"/>
      <c r="P370" s="30"/>
      <c r="Q370" s="30"/>
    </row>
    <row r="371" spans="13:17" x14ac:dyDescent="0.2">
      <c r="M371" s="30"/>
      <c r="N371" s="30"/>
      <c r="O371" s="30"/>
      <c r="P371" s="30"/>
      <c r="Q371" s="30"/>
    </row>
    <row r="372" spans="13:17" x14ac:dyDescent="0.2">
      <c r="M372" s="30"/>
      <c r="N372" s="30"/>
      <c r="O372" s="30"/>
      <c r="P372" s="30"/>
      <c r="Q372" s="30"/>
    </row>
    <row r="373" spans="13:17" x14ac:dyDescent="0.2">
      <c r="M373" s="30"/>
      <c r="N373" s="30"/>
      <c r="O373" s="30"/>
      <c r="P373" s="30"/>
      <c r="Q373" s="30"/>
    </row>
    <row r="374" spans="13:17" x14ac:dyDescent="0.2">
      <c r="M374" s="30"/>
      <c r="N374" s="30"/>
      <c r="O374" s="30"/>
      <c r="P374" s="30"/>
      <c r="Q374" s="30"/>
    </row>
    <row r="375" spans="13:17" x14ac:dyDescent="0.2">
      <c r="M375" s="30"/>
      <c r="N375" s="30"/>
      <c r="O375" s="30"/>
      <c r="P375" s="30"/>
      <c r="Q375" s="30"/>
    </row>
    <row r="376" spans="13:17" x14ac:dyDescent="0.2">
      <c r="M376" s="30"/>
      <c r="N376" s="30"/>
      <c r="O376" s="30"/>
      <c r="P376" s="30"/>
      <c r="Q376" s="30"/>
    </row>
    <row r="377" spans="13:17" x14ac:dyDescent="0.2">
      <c r="M377" s="30"/>
      <c r="N377" s="30"/>
      <c r="O377" s="30"/>
      <c r="P377" s="30"/>
      <c r="Q377" s="30"/>
    </row>
    <row r="378" spans="13:17" x14ac:dyDescent="0.2">
      <c r="M378" s="30"/>
      <c r="N378" s="30"/>
      <c r="O378" s="30"/>
      <c r="P378" s="30"/>
      <c r="Q378" s="30"/>
    </row>
    <row r="379" spans="13:17" x14ac:dyDescent="0.2">
      <c r="M379" s="30"/>
      <c r="N379" s="30"/>
      <c r="O379" s="30"/>
      <c r="P379" s="30"/>
      <c r="Q379" s="30"/>
    </row>
    <row r="380" spans="13:17" x14ac:dyDescent="0.2">
      <c r="M380" s="30"/>
      <c r="N380" s="30"/>
      <c r="O380" s="30"/>
      <c r="P380" s="30"/>
      <c r="Q380" s="30"/>
    </row>
    <row r="381" spans="13:17" x14ac:dyDescent="0.2">
      <c r="M381" s="30"/>
      <c r="N381" s="30"/>
      <c r="O381" s="30"/>
      <c r="P381" s="30"/>
      <c r="Q381" s="30"/>
    </row>
    <row r="382" spans="13:17" x14ac:dyDescent="0.2">
      <c r="M382" s="30"/>
      <c r="N382" s="30"/>
      <c r="O382" s="30"/>
      <c r="P382" s="30"/>
      <c r="Q382" s="30"/>
    </row>
    <row r="383" spans="13:17" x14ac:dyDescent="0.2">
      <c r="M383" s="30"/>
      <c r="N383" s="30"/>
      <c r="O383" s="30"/>
      <c r="P383" s="30"/>
      <c r="Q383" s="30"/>
    </row>
    <row r="384" spans="13:17" x14ac:dyDescent="0.2">
      <c r="M384" s="30"/>
      <c r="N384" s="30"/>
      <c r="O384" s="30"/>
      <c r="P384" s="30"/>
      <c r="Q384" s="30"/>
    </row>
    <row r="385" spans="13:17" x14ac:dyDescent="0.2">
      <c r="M385" s="30"/>
      <c r="N385" s="30"/>
      <c r="O385" s="30"/>
      <c r="P385" s="30"/>
      <c r="Q385" s="30"/>
    </row>
    <row r="386" spans="13:17" x14ac:dyDescent="0.2">
      <c r="M386" s="30"/>
      <c r="N386" s="30"/>
      <c r="O386" s="30"/>
      <c r="P386" s="30"/>
      <c r="Q386" s="30"/>
    </row>
    <row r="387" spans="13:17" x14ac:dyDescent="0.2">
      <c r="M387" s="30"/>
      <c r="N387" s="30"/>
      <c r="O387" s="30"/>
      <c r="P387" s="30"/>
      <c r="Q387" s="30"/>
    </row>
    <row r="388" spans="13:17" x14ac:dyDescent="0.2">
      <c r="M388" s="30"/>
      <c r="N388" s="30"/>
      <c r="O388" s="30"/>
      <c r="P388" s="30"/>
      <c r="Q388" s="30"/>
    </row>
    <row r="389" spans="13:17" x14ac:dyDescent="0.2">
      <c r="M389" s="30"/>
      <c r="N389" s="30"/>
      <c r="O389" s="30"/>
      <c r="P389" s="30"/>
      <c r="Q389" s="30"/>
    </row>
    <row r="390" spans="13:17" x14ac:dyDescent="0.2">
      <c r="M390" s="30"/>
      <c r="N390" s="30"/>
      <c r="O390" s="30"/>
      <c r="P390" s="30"/>
      <c r="Q390" s="30"/>
    </row>
    <row r="391" spans="13:17" x14ac:dyDescent="0.2">
      <c r="M391" s="30"/>
      <c r="N391" s="30"/>
      <c r="O391" s="30"/>
      <c r="P391" s="30"/>
      <c r="Q391" s="30"/>
    </row>
    <row r="392" spans="13:17" x14ac:dyDescent="0.2">
      <c r="M392" s="30"/>
      <c r="N392" s="30"/>
      <c r="O392" s="30"/>
      <c r="P392" s="30"/>
      <c r="Q392" s="30"/>
    </row>
    <row r="393" spans="13:17" x14ac:dyDescent="0.2">
      <c r="M393" s="30"/>
      <c r="N393" s="30"/>
      <c r="O393" s="30"/>
      <c r="P393" s="30"/>
      <c r="Q393" s="30"/>
    </row>
    <row r="394" spans="13:17" x14ac:dyDescent="0.2">
      <c r="M394" s="30"/>
      <c r="N394" s="30"/>
      <c r="O394" s="30"/>
      <c r="P394" s="30"/>
      <c r="Q394" s="30"/>
    </row>
    <row r="395" spans="13:17" x14ac:dyDescent="0.2">
      <c r="M395" s="30"/>
      <c r="N395" s="30"/>
      <c r="O395" s="30"/>
      <c r="P395" s="30"/>
      <c r="Q395" s="30"/>
    </row>
    <row r="396" spans="13:17" x14ac:dyDescent="0.2">
      <c r="M396" s="30"/>
      <c r="N396" s="30"/>
      <c r="O396" s="30"/>
      <c r="P396" s="30"/>
      <c r="Q396" s="30"/>
    </row>
    <row r="397" spans="13:17" x14ac:dyDescent="0.2">
      <c r="M397" s="30"/>
      <c r="N397" s="30"/>
      <c r="O397" s="30"/>
      <c r="P397" s="30"/>
      <c r="Q397" s="30"/>
    </row>
    <row r="398" spans="13:17" x14ac:dyDescent="0.2">
      <c r="M398" s="30"/>
      <c r="N398" s="30"/>
      <c r="O398" s="30"/>
      <c r="P398" s="30"/>
      <c r="Q398" s="30"/>
    </row>
    <row r="399" spans="13:17" x14ac:dyDescent="0.2">
      <c r="M399" s="30"/>
      <c r="N399" s="30"/>
      <c r="O399" s="30"/>
      <c r="P399" s="30"/>
      <c r="Q399" s="30"/>
    </row>
    <row r="400" spans="13:17" x14ac:dyDescent="0.2">
      <c r="M400" s="30"/>
      <c r="N400" s="30"/>
      <c r="O400" s="30"/>
      <c r="P400" s="30"/>
      <c r="Q400" s="30"/>
    </row>
    <row r="401" spans="13:17" x14ac:dyDescent="0.2">
      <c r="M401" s="30"/>
      <c r="N401" s="30"/>
      <c r="O401" s="30"/>
      <c r="P401" s="30"/>
      <c r="Q401" s="30"/>
    </row>
    <row r="402" spans="13:17" x14ac:dyDescent="0.2">
      <c r="M402" s="30"/>
      <c r="N402" s="30"/>
      <c r="O402" s="30"/>
      <c r="P402" s="30"/>
      <c r="Q402" s="30"/>
    </row>
    <row r="403" spans="13:17" x14ac:dyDescent="0.2">
      <c r="M403" s="30"/>
      <c r="N403" s="30"/>
      <c r="O403" s="30"/>
      <c r="P403" s="30"/>
      <c r="Q403" s="30"/>
    </row>
    <row r="404" spans="13:17" x14ac:dyDescent="0.2">
      <c r="M404" s="30"/>
      <c r="N404" s="30"/>
      <c r="O404" s="30"/>
      <c r="P404" s="30"/>
      <c r="Q404" s="30"/>
    </row>
    <row r="405" spans="13:17" x14ac:dyDescent="0.2">
      <c r="M405" s="30"/>
      <c r="N405" s="30"/>
      <c r="O405" s="30"/>
      <c r="P405" s="30"/>
      <c r="Q405" s="30"/>
    </row>
    <row r="406" spans="13:17" x14ac:dyDescent="0.2">
      <c r="M406" s="30"/>
      <c r="N406" s="30"/>
      <c r="O406" s="30"/>
      <c r="P406" s="30"/>
      <c r="Q406" s="30"/>
    </row>
    <row r="407" spans="13:17" x14ac:dyDescent="0.2">
      <c r="M407" s="30"/>
      <c r="N407" s="30"/>
      <c r="O407" s="30"/>
      <c r="P407" s="30"/>
      <c r="Q407" s="30"/>
    </row>
    <row r="408" spans="13:17" x14ac:dyDescent="0.2">
      <c r="M408" s="30"/>
      <c r="N408" s="30"/>
      <c r="O408" s="30"/>
      <c r="P408" s="30"/>
      <c r="Q408" s="30"/>
    </row>
    <row r="409" spans="13:17" x14ac:dyDescent="0.2">
      <c r="M409" s="30"/>
      <c r="N409" s="30"/>
      <c r="O409" s="30"/>
      <c r="P409" s="30"/>
      <c r="Q409" s="30"/>
    </row>
    <row r="410" spans="13:17" x14ac:dyDescent="0.2">
      <c r="M410" s="30"/>
      <c r="N410" s="30"/>
      <c r="O410" s="30"/>
      <c r="P410" s="30"/>
      <c r="Q410" s="30"/>
    </row>
    <row r="411" spans="13:17" x14ac:dyDescent="0.2">
      <c r="M411" s="30"/>
      <c r="N411" s="30"/>
      <c r="O411" s="30"/>
      <c r="P411" s="30"/>
      <c r="Q411" s="30"/>
    </row>
    <row r="412" spans="13:17" x14ac:dyDescent="0.2">
      <c r="M412" s="30"/>
      <c r="N412" s="30"/>
      <c r="O412" s="30"/>
      <c r="P412" s="30"/>
      <c r="Q412" s="30"/>
    </row>
    <row r="413" spans="13:17" x14ac:dyDescent="0.2">
      <c r="M413" s="30"/>
      <c r="N413" s="30"/>
      <c r="O413" s="30"/>
      <c r="P413" s="30"/>
      <c r="Q413" s="30"/>
    </row>
    <row r="414" spans="13:17" x14ac:dyDescent="0.2">
      <c r="M414" s="30"/>
      <c r="N414" s="30"/>
      <c r="O414" s="30"/>
      <c r="P414" s="30"/>
      <c r="Q414" s="30"/>
    </row>
    <row r="415" spans="13:17" x14ac:dyDescent="0.2">
      <c r="M415" s="30"/>
      <c r="N415" s="30"/>
      <c r="O415" s="30"/>
      <c r="P415" s="30"/>
      <c r="Q415" s="30"/>
    </row>
    <row r="416" spans="13:17" x14ac:dyDescent="0.2">
      <c r="M416" s="30"/>
      <c r="N416" s="30"/>
      <c r="O416" s="30"/>
      <c r="P416" s="30"/>
      <c r="Q416" s="30"/>
    </row>
    <row r="417" spans="13:17" x14ac:dyDescent="0.2">
      <c r="M417" s="30"/>
      <c r="N417" s="30"/>
      <c r="O417" s="30"/>
      <c r="P417" s="30"/>
      <c r="Q417" s="30"/>
    </row>
    <row r="418" spans="13:17" x14ac:dyDescent="0.2">
      <c r="M418" s="30"/>
      <c r="N418" s="30"/>
      <c r="O418" s="30"/>
      <c r="P418" s="30"/>
      <c r="Q418" s="30"/>
    </row>
    <row r="419" spans="13:17" x14ac:dyDescent="0.2">
      <c r="M419" s="30"/>
      <c r="N419" s="30"/>
      <c r="O419" s="30"/>
      <c r="P419" s="30"/>
      <c r="Q419" s="30"/>
    </row>
    <row r="420" spans="13:17" x14ac:dyDescent="0.2">
      <c r="M420" s="30"/>
      <c r="N420" s="30"/>
      <c r="O420" s="30"/>
      <c r="P420" s="30"/>
      <c r="Q420" s="30"/>
    </row>
    <row r="421" spans="13:17" x14ac:dyDescent="0.2">
      <c r="M421" s="30"/>
      <c r="N421" s="30"/>
      <c r="O421" s="30"/>
      <c r="P421" s="30"/>
      <c r="Q421" s="30"/>
    </row>
    <row r="422" spans="13:17" x14ac:dyDescent="0.2">
      <c r="M422" s="30"/>
      <c r="N422" s="30"/>
      <c r="O422" s="30"/>
      <c r="P422" s="30"/>
      <c r="Q422" s="30"/>
    </row>
    <row r="423" spans="13:17" x14ac:dyDescent="0.2">
      <c r="M423" s="30"/>
      <c r="N423" s="30"/>
      <c r="O423" s="30"/>
      <c r="P423" s="30"/>
      <c r="Q423" s="30"/>
    </row>
    <row r="424" spans="13:17" x14ac:dyDescent="0.2">
      <c r="M424" s="30"/>
      <c r="N424" s="30"/>
      <c r="O424" s="30"/>
      <c r="P424" s="30"/>
      <c r="Q424" s="30"/>
    </row>
    <row r="425" spans="13:17" x14ac:dyDescent="0.2">
      <c r="M425" s="30"/>
      <c r="N425" s="30"/>
      <c r="O425" s="30"/>
      <c r="P425" s="30"/>
      <c r="Q425" s="30"/>
    </row>
    <row r="426" spans="13:17" x14ac:dyDescent="0.2">
      <c r="M426" s="30"/>
      <c r="N426" s="30"/>
      <c r="O426" s="30"/>
      <c r="P426" s="30"/>
      <c r="Q426" s="30"/>
    </row>
    <row r="427" spans="13:17" x14ac:dyDescent="0.2">
      <c r="M427" s="30"/>
      <c r="N427" s="30"/>
      <c r="O427" s="30"/>
      <c r="P427" s="30"/>
      <c r="Q427" s="30"/>
    </row>
    <row r="428" spans="13:17" x14ac:dyDescent="0.2">
      <c r="M428" s="30"/>
      <c r="N428" s="30"/>
      <c r="O428" s="30"/>
      <c r="P428" s="30"/>
      <c r="Q428" s="30"/>
    </row>
    <row r="429" spans="13:17" x14ac:dyDescent="0.2">
      <c r="M429" s="30"/>
      <c r="N429" s="30"/>
      <c r="O429" s="30"/>
      <c r="P429" s="30"/>
      <c r="Q429" s="30"/>
    </row>
    <row r="430" spans="13:17" x14ac:dyDescent="0.2">
      <c r="M430" s="30"/>
      <c r="N430" s="30"/>
      <c r="O430" s="30"/>
      <c r="P430" s="30"/>
      <c r="Q430" s="30"/>
    </row>
    <row r="431" spans="13:17" x14ac:dyDescent="0.2">
      <c r="M431" s="30"/>
      <c r="N431" s="30"/>
      <c r="O431" s="30"/>
      <c r="P431" s="30"/>
      <c r="Q431" s="30"/>
    </row>
    <row r="432" spans="13:17" x14ac:dyDescent="0.2">
      <c r="M432" s="30"/>
      <c r="N432" s="30"/>
      <c r="O432" s="30"/>
      <c r="P432" s="30"/>
      <c r="Q432" s="30"/>
    </row>
    <row r="433" spans="13:17" x14ac:dyDescent="0.2">
      <c r="M433" s="30"/>
      <c r="N433" s="30"/>
      <c r="O433" s="30"/>
      <c r="P433" s="30"/>
      <c r="Q433" s="30"/>
    </row>
    <row r="434" spans="13:17" x14ac:dyDescent="0.2">
      <c r="M434" s="30"/>
      <c r="N434" s="30"/>
      <c r="O434" s="30"/>
      <c r="P434" s="30"/>
      <c r="Q434" s="30"/>
    </row>
    <row r="435" spans="13:17" x14ac:dyDescent="0.2">
      <c r="M435" s="30"/>
      <c r="N435" s="30"/>
      <c r="O435" s="30"/>
      <c r="P435" s="30"/>
      <c r="Q435" s="30"/>
    </row>
    <row r="436" spans="13:17" x14ac:dyDescent="0.2">
      <c r="M436" s="30"/>
      <c r="N436" s="30"/>
      <c r="O436" s="30"/>
      <c r="P436" s="30"/>
      <c r="Q436" s="30"/>
    </row>
    <row r="437" spans="13:17" x14ac:dyDescent="0.2">
      <c r="M437" s="30"/>
      <c r="N437" s="30"/>
      <c r="O437" s="30"/>
      <c r="P437" s="30"/>
      <c r="Q437" s="30"/>
    </row>
    <row r="438" spans="13:17" x14ac:dyDescent="0.2">
      <c r="M438" s="30"/>
      <c r="N438" s="30"/>
      <c r="O438" s="30"/>
      <c r="P438" s="30"/>
      <c r="Q438" s="30"/>
    </row>
    <row r="439" spans="13:17" x14ac:dyDescent="0.2">
      <c r="M439" s="30"/>
      <c r="N439" s="30"/>
      <c r="O439" s="30"/>
      <c r="P439" s="30"/>
      <c r="Q439" s="30"/>
    </row>
    <row r="440" spans="13:17" x14ac:dyDescent="0.2">
      <c r="M440" s="30"/>
      <c r="N440" s="30"/>
      <c r="O440" s="30"/>
      <c r="P440" s="30"/>
      <c r="Q440" s="30"/>
    </row>
    <row r="441" spans="13:17" x14ac:dyDescent="0.2">
      <c r="M441" s="30"/>
      <c r="N441" s="30"/>
      <c r="O441" s="30"/>
      <c r="P441" s="30"/>
      <c r="Q441" s="30"/>
    </row>
    <row r="442" spans="13:17" x14ac:dyDescent="0.2">
      <c r="M442" s="30"/>
      <c r="N442" s="30"/>
      <c r="O442" s="30"/>
      <c r="P442" s="30"/>
      <c r="Q442" s="30"/>
    </row>
    <row r="443" spans="13:17" x14ac:dyDescent="0.2">
      <c r="M443" s="30"/>
      <c r="N443" s="30"/>
      <c r="O443" s="30"/>
      <c r="P443" s="30"/>
      <c r="Q443" s="30"/>
    </row>
    <row r="444" spans="13:17" x14ac:dyDescent="0.2">
      <c r="M444" s="30"/>
      <c r="N444" s="30"/>
      <c r="O444" s="30"/>
      <c r="P444" s="30"/>
      <c r="Q444" s="30"/>
    </row>
    <row r="445" spans="13:17" x14ac:dyDescent="0.2">
      <c r="M445" s="30"/>
      <c r="N445" s="30"/>
      <c r="O445" s="30"/>
      <c r="P445" s="30"/>
      <c r="Q445" s="30"/>
    </row>
    <row r="446" spans="13:17" x14ac:dyDescent="0.2">
      <c r="M446" s="30"/>
      <c r="N446" s="30"/>
      <c r="O446" s="30"/>
      <c r="P446" s="30"/>
      <c r="Q446" s="30"/>
    </row>
    <row r="447" spans="13:17" x14ac:dyDescent="0.2">
      <c r="M447" s="30"/>
      <c r="N447" s="30"/>
      <c r="O447" s="30"/>
      <c r="P447" s="30"/>
      <c r="Q447" s="30"/>
    </row>
    <row r="448" spans="13:17" x14ac:dyDescent="0.2">
      <c r="M448" s="30"/>
      <c r="N448" s="30"/>
      <c r="O448" s="30"/>
      <c r="P448" s="30"/>
      <c r="Q448" s="30"/>
    </row>
    <row r="449" spans="13:17" x14ac:dyDescent="0.2">
      <c r="M449" s="30"/>
      <c r="N449" s="30"/>
      <c r="O449" s="30"/>
      <c r="P449" s="30"/>
      <c r="Q449" s="30"/>
    </row>
    <row r="450" spans="13:17" x14ac:dyDescent="0.2">
      <c r="M450" s="30"/>
      <c r="N450" s="30"/>
      <c r="O450" s="30"/>
      <c r="P450" s="30"/>
      <c r="Q450" s="30"/>
    </row>
    <row r="451" spans="13:17" x14ac:dyDescent="0.2">
      <c r="M451" s="30"/>
      <c r="N451" s="30"/>
      <c r="O451" s="30"/>
      <c r="P451" s="30"/>
      <c r="Q451" s="30"/>
    </row>
    <row r="452" spans="13:17" x14ac:dyDescent="0.2">
      <c r="M452" s="30"/>
      <c r="N452" s="30"/>
      <c r="O452" s="30"/>
      <c r="P452" s="30"/>
      <c r="Q452" s="30"/>
    </row>
    <row r="453" spans="13:17" x14ac:dyDescent="0.2">
      <c r="M453" s="30"/>
      <c r="N453" s="30"/>
      <c r="O453" s="30"/>
      <c r="P453" s="30"/>
      <c r="Q453" s="30"/>
    </row>
    <row r="454" spans="13:17" x14ac:dyDescent="0.2">
      <c r="M454" s="30"/>
      <c r="N454" s="30"/>
      <c r="O454" s="30"/>
      <c r="P454" s="30"/>
      <c r="Q454" s="30"/>
    </row>
    <row r="455" spans="13:17" x14ac:dyDescent="0.2">
      <c r="M455" s="30"/>
      <c r="N455" s="30"/>
      <c r="O455" s="30"/>
      <c r="P455" s="30"/>
      <c r="Q455" s="30"/>
    </row>
    <row r="456" spans="13:17" x14ac:dyDescent="0.2">
      <c r="M456" s="30"/>
      <c r="N456" s="30"/>
      <c r="O456" s="30"/>
      <c r="P456" s="30"/>
      <c r="Q456" s="30"/>
    </row>
    <row r="457" spans="13:17" x14ac:dyDescent="0.2">
      <c r="M457" s="30"/>
      <c r="N457" s="30"/>
      <c r="O457" s="30"/>
      <c r="P457" s="30"/>
      <c r="Q457" s="30"/>
    </row>
    <row r="458" spans="13:17" x14ac:dyDescent="0.2">
      <c r="M458" s="30"/>
      <c r="N458" s="30"/>
      <c r="O458" s="30"/>
      <c r="P458" s="30"/>
      <c r="Q458" s="30"/>
    </row>
    <row r="459" spans="13:17" x14ac:dyDescent="0.2">
      <c r="M459" s="30"/>
      <c r="N459" s="30"/>
      <c r="O459" s="30"/>
      <c r="P459" s="30"/>
      <c r="Q459" s="30"/>
    </row>
    <row r="460" spans="13:17" x14ac:dyDescent="0.2">
      <c r="M460" s="30"/>
      <c r="N460" s="30"/>
      <c r="O460" s="30"/>
      <c r="P460" s="30"/>
      <c r="Q460" s="30"/>
    </row>
    <row r="461" spans="13:17" x14ac:dyDescent="0.2">
      <c r="M461" s="30"/>
      <c r="N461" s="30"/>
      <c r="O461" s="30"/>
      <c r="P461" s="30"/>
      <c r="Q461" s="30"/>
    </row>
    <row r="462" spans="13:17" x14ac:dyDescent="0.2">
      <c r="M462" s="30"/>
      <c r="N462" s="30"/>
      <c r="O462" s="30"/>
      <c r="P462" s="30"/>
      <c r="Q462" s="30"/>
    </row>
    <row r="463" spans="13:17" x14ac:dyDescent="0.2">
      <c r="M463" s="30"/>
      <c r="N463" s="30"/>
      <c r="O463" s="30"/>
      <c r="P463" s="30"/>
      <c r="Q463" s="30"/>
    </row>
  </sheetData>
  <dataValidations count="4">
    <dataValidation type="list" allowBlank="1" showInputMessage="1" showErrorMessage="1" sqref="G23:G40 G58 G68 G72 G99 G103:G105">
      <formula1>$BD$2:$BD$4</formula1>
    </dataValidation>
    <dataValidation type="list" allowBlank="1" showInputMessage="1" showErrorMessage="1" sqref="F42:F67 F69:F108">
      <formula1>$P$4:$P$4</formula1>
    </dataValidation>
    <dataValidation type="list" allowBlank="1" showInputMessage="1" showErrorMessage="1" sqref="G12:G16 G59 G69:G71 G61:G67 G92:G98 G43:G57 G74:G90 G106:G108 G100:G102">
      <formula1>$R$4:$R$4</formula1>
    </dataValidation>
    <dataValidation type="list" allowBlank="1" showInputMessage="1" showErrorMessage="1" sqref="D42:D72">
      <formula1>#REF!</formula1>
    </dataValidation>
  </dataValidations>
  <pageMargins left="0.25" right="0.25" top="0.75" bottom="0.75" header="0.3" footer="0.3"/>
  <pageSetup paperSize="9" scale="31"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Y1172"/>
  <sheetViews>
    <sheetView topLeftCell="N1" zoomScale="80" zoomScaleNormal="80" zoomScaleSheetLayoutView="100" workbookViewId="0">
      <pane ySplit="4" topLeftCell="A20" activePane="bottomLeft" state="frozen"/>
      <selection activeCell="J1" sqref="J1"/>
      <selection pane="bottomLeft" activeCell="O25" sqref="O25"/>
    </sheetView>
  </sheetViews>
  <sheetFormatPr defaultColWidth="11.42578125" defaultRowHeight="12.75" x14ac:dyDescent="0.2"/>
  <cols>
    <col min="1" max="1" width="6.85546875" style="19" customWidth="1"/>
    <col min="2" max="2" width="13" style="19" customWidth="1"/>
    <col min="3" max="3" width="14.7109375" style="19" customWidth="1"/>
    <col min="4" max="4" width="18.5703125" style="19" customWidth="1"/>
    <col min="5" max="5" width="47.42578125" style="19" bestFit="1" customWidth="1"/>
    <col min="6" max="6" width="18.7109375" style="19" customWidth="1"/>
    <col min="7" max="7" width="47.28515625" style="19" bestFit="1" customWidth="1"/>
    <col min="8" max="8" width="28.5703125" style="19" bestFit="1" customWidth="1"/>
    <col min="9" max="9" width="31.42578125" style="19" bestFit="1" customWidth="1"/>
    <col min="10" max="10" width="20.85546875" style="19" customWidth="1"/>
    <col min="11" max="11" width="15.7109375" style="19" bestFit="1" customWidth="1"/>
    <col min="12" max="12" width="54" style="19" customWidth="1"/>
    <col min="13" max="13" width="26.5703125" style="19" customWidth="1"/>
    <col min="14" max="14" width="13.42578125" style="19" customWidth="1"/>
    <col min="15" max="15" width="57" style="19" customWidth="1"/>
    <col min="16" max="16" width="18.5703125" style="19" customWidth="1"/>
    <col min="17" max="17" width="20.42578125" style="19" customWidth="1"/>
    <col min="18" max="18" width="84.85546875" style="19" bestFit="1" customWidth="1"/>
    <col min="19" max="24" width="11.42578125" style="19"/>
    <col min="25" max="25" width="52.7109375" style="19" customWidth="1"/>
    <col min="26" max="16384" width="11.42578125" style="19"/>
  </cols>
  <sheetData>
    <row r="1" spans="1:25" ht="13.5" thickBot="1" x14ac:dyDescent="0.25">
      <c r="A1" s="23" t="s">
        <v>101</v>
      </c>
    </row>
    <row r="2" spans="1:25" x14ac:dyDescent="0.2">
      <c r="A2" s="49"/>
      <c r="B2" s="20"/>
      <c r="C2" s="20"/>
      <c r="D2" s="20"/>
      <c r="E2" s="20"/>
      <c r="F2" s="20"/>
      <c r="G2" s="20"/>
      <c r="H2" s="20"/>
      <c r="I2" s="20"/>
      <c r="J2" s="20"/>
      <c r="K2" s="20"/>
      <c r="L2" s="20"/>
      <c r="M2" s="20"/>
      <c r="N2" s="20"/>
      <c r="O2" s="20"/>
      <c r="Q2" s="96" t="s">
        <v>56</v>
      </c>
      <c r="R2" s="88" t="s">
        <v>50</v>
      </c>
    </row>
    <row r="3" spans="1:25" ht="13.5" thickBot="1" x14ac:dyDescent="0.25">
      <c r="A3" s="49"/>
      <c r="B3" s="20"/>
      <c r="C3" s="20"/>
      <c r="D3" s="20"/>
      <c r="E3" s="20"/>
      <c r="F3" s="20"/>
      <c r="G3" s="20"/>
      <c r="H3" s="20"/>
      <c r="I3" s="20"/>
      <c r="J3" s="20"/>
      <c r="K3" s="20"/>
      <c r="L3" s="20"/>
      <c r="M3" s="20"/>
      <c r="N3" s="20"/>
      <c r="O3" s="20"/>
      <c r="Q3" s="77">
        <v>2019</v>
      </c>
      <c r="R3" s="150">
        <v>2019</v>
      </c>
    </row>
    <row r="4" spans="1:25" ht="39" thickBot="1" x14ac:dyDescent="0.25">
      <c r="A4" s="100" t="s">
        <v>0</v>
      </c>
      <c r="B4" s="101" t="s">
        <v>81</v>
      </c>
      <c r="C4" s="102" t="s">
        <v>84</v>
      </c>
      <c r="D4" s="103" t="s">
        <v>85</v>
      </c>
      <c r="E4" s="166" t="s">
        <v>102</v>
      </c>
      <c r="F4" s="104" t="s">
        <v>103</v>
      </c>
      <c r="G4" s="105" t="s">
        <v>83</v>
      </c>
      <c r="H4" s="557" t="s">
        <v>104</v>
      </c>
      <c r="I4" s="107" t="s">
        <v>105</v>
      </c>
      <c r="J4" s="107" t="s">
        <v>9</v>
      </c>
      <c r="K4" s="555" t="s">
        <v>106</v>
      </c>
      <c r="L4" s="101" t="s">
        <v>4</v>
      </c>
      <c r="M4" s="556" t="s">
        <v>239</v>
      </c>
      <c r="N4" s="556" t="s">
        <v>240</v>
      </c>
      <c r="O4" s="554" t="s">
        <v>107</v>
      </c>
      <c r="P4" s="554" t="s">
        <v>241</v>
      </c>
      <c r="Q4" s="326" t="s">
        <v>242</v>
      </c>
      <c r="R4" s="662" t="s">
        <v>154</v>
      </c>
    </row>
    <row r="5" spans="1:25" x14ac:dyDescent="0.2">
      <c r="A5" s="558" t="s">
        <v>277</v>
      </c>
      <c r="B5" s="559" t="s">
        <v>914</v>
      </c>
      <c r="C5" s="559" t="s">
        <v>97</v>
      </c>
      <c r="D5" s="327" t="s">
        <v>282</v>
      </c>
      <c r="E5" s="560" t="s">
        <v>1843</v>
      </c>
      <c r="F5" s="561" t="s">
        <v>109</v>
      </c>
      <c r="G5" s="562" t="s">
        <v>917</v>
      </c>
      <c r="H5" s="563" t="s">
        <v>918</v>
      </c>
      <c r="I5" s="564" t="s">
        <v>919</v>
      </c>
      <c r="J5" s="564" t="s">
        <v>757</v>
      </c>
      <c r="K5" s="561">
        <v>100</v>
      </c>
      <c r="L5" s="335"/>
      <c r="M5" s="565">
        <v>6</v>
      </c>
      <c r="N5" s="565">
        <v>6</v>
      </c>
      <c r="O5" s="566">
        <f>IFERROR(N5/M5,0)</f>
        <v>1</v>
      </c>
      <c r="P5" s="567">
        <f>IFERROR(N5/(M5*(K5/100)),0)</f>
        <v>1</v>
      </c>
      <c r="Q5" s="568">
        <f t="shared" ref="Q5:Q68" si="0">N5/(M5*K5/100)</f>
        <v>1</v>
      </c>
      <c r="R5" s="673"/>
    </row>
    <row r="6" spans="1:25" x14ac:dyDescent="0.2">
      <c r="A6" s="558" t="s">
        <v>277</v>
      </c>
      <c r="B6" s="559" t="s">
        <v>914</v>
      </c>
      <c r="C6" s="569" t="s">
        <v>97</v>
      </c>
      <c r="D6" s="329" t="s">
        <v>285</v>
      </c>
      <c r="E6" s="570" t="s">
        <v>1843</v>
      </c>
      <c r="F6" s="561" t="s">
        <v>109</v>
      </c>
      <c r="G6" s="562" t="s">
        <v>917</v>
      </c>
      <c r="H6" s="563" t="s">
        <v>918</v>
      </c>
      <c r="I6" s="564" t="s">
        <v>919</v>
      </c>
      <c r="J6" s="564" t="s">
        <v>757</v>
      </c>
      <c r="K6" s="561">
        <v>100</v>
      </c>
      <c r="L6" s="336"/>
      <c r="M6" s="565">
        <v>8</v>
      </c>
      <c r="N6" s="565">
        <v>8</v>
      </c>
      <c r="O6" s="566">
        <f t="shared" ref="O6:O69" si="1">IFERROR(N6/M6,0)</f>
        <v>1</v>
      </c>
      <c r="P6" s="567">
        <f t="shared" ref="P6:P69" si="2">IFERROR(N6/(M6*(K6/100)),0)</f>
        <v>1</v>
      </c>
      <c r="Q6" s="568">
        <f t="shared" si="0"/>
        <v>1</v>
      </c>
      <c r="R6" s="674"/>
    </row>
    <row r="7" spans="1:25" x14ac:dyDescent="0.2">
      <c r="A7" s="558" t="s">
        <v>277</v>
      </c>
      <c r="B7" s="559" t="s">
        <v>914</v>
      </c>
      <c r="C7" s="569" t="s">
        <v>286</v>
      </c>
      <c r="D7" s="329" t="s">
        <v>300</v>
      </c>
      <c r="E7" s="572" t="s">
        <v>1715</v>
      </c>
      <c r="F7" s="561" t="s">
        <v>109</v>
      </c>
      <c r="G7" s="562" t="s">
        <v>917</v>
      </c>
      <c r="H7" s="563" t="s">
        <v>920</v>
      </c>
      <c r="I7" s="564" t="s">
        <v>919</v>
      </c>
      <c r="J7" s="564" t="s">
        <v>757</v>
      </c>
      <c r="K7" s="561">
        <v>100</v>
      </c>
      <c r="L7" s="336"/>
      <c r="M7" s="565">
        <v>39</v>
      </c>
      <c r="N7" s="565">
        <v>39</v>
      </c>
      <c r="O7" s="566">
        <f t="shared" si="1"/>
        <v>1</v>
      </c>
      <c r="P7" s="567">
        <f t="shared" si="2"/>
        <v>1</v>
      </c>
      <c r="Q7" s="568">
        <f t="shared" si="0"/>
        <v>1</v>
      </c>
      <c r="R7" s="674"/>
    </row>
    <row r="8" spans="1:25" x14ac:dyDescent="0.2">
      <c r="A8" s="558" t="s">
        <v>277</v>
      </c>
      <c r="B8" s="559" t="s">
        <v>914</v>
      </c>
      <c r="C8" s="573" t="s">
        <v>286</v>
      </c>
      <c r="D8" s="329" t="s">
        <v>292</v>
      </c>
      <c r="E8" s="572" t="s">
        <v>1715</v>
      </c>
      <c r="F8" s="561" t="s">
        <v>109</v>
      </c>
      <c r="G8" s="562" t="s">
        <v>917</v>
      </c>
      <c r="H8" s="563" t="s">
        <v>918</v>
      </c>
      <c r="I8" s="564" t="s">
        <v>919</v>
      </c>
      <c r="J8" s="564" t="s">
        <v>757</v>
      </c>
      <c r="K8" s="561">
        <v>100</v>
      </c>
      <c r="L8" s="336"/>
      <c r="M8" s="565">
        <v>12</v>
      </c>
      <c r="N8" s="565">
        <v>12</v>
      </c>
      <c r="O8" s="566">
        <f t="shared" si="1"/>
        <v>1</v>
      </c>
      <c r="P8" s="567">
        <f t="shared" si="2"/>
        <v>1</v>
      </c>
      <c r="Q8" s="568">
        <f t="shared" si="0"/>
        <v>1</v>
      </c>
      <c r="R8" s="674"/>
    </row>
    <row r="9" spans="1:25" x14ac:dyDescent="0.2">
      <c r="A9" s="558" t="s">
        <v>277</v>
      </c>
      <c r="B9" s="559" t="s">
        <v>914</v>
      </c>
      <c r="C9" s="573" t="s">
        <v>286</v>
      </c>
      <c r="D9" s="329" t="s">
        <v>294</v>
      </c>
      <c r="E9" s="572" t="s">
        <v>1715</v>
      </c>
      <c r="F9" s="561" t="s">
        <v>109</v>
      </c>
      <c r="G9" s="562" t="s">
        <v>917</v>
      </c>
      <c r="H9" s="563" t="s">
        <v>918</v>
      </c>
      <c r="I9" s="564" t="s">
        <v>919</v>
      </c>
      <c r="J9" s="564" t="s">
        <v>757</v>
      </c>
      <c r="K9" s="561">
        <v>100</v>
      </c>
      <c r="L9" s="337"/>
      <c r="M9" s="565">
        <v>40</v>
      </c>
      <c r="N9" s="565">
        <v>40</v>
      </c>
      <c r="O9" s="566">
        <f t="shared" si="1"/>
        <v>1</v>
      </c>
      <c r="P9" s="567">
        <f t="shared" si="2"/>
        <v>1</v>
      </c>
      <c r="Q9" s="568">
        <f t="shared" si="0"/>
        <v>1</v>
      </c>
      <c r="R9" s="674"/>
    </row>
    <row r="10" spans="1:25" x14ac:dyDescent="0.2">
      <c r="A10" s="558" t="s">
        <v>277</v>
      </c>
      <c r="B10" s="559" t="s">
        <v>914</v>
      </c>
      <c r="C10" s="573" t="s">
        <v>286</v>
      </c>
      <c r="D10" s="330" t="s">
        <v>282</v>
      </c>
      <c r="E10" s="572" t="s">
        <v>1715</v>
      </c>
      <c r="F10" s="561" t="s">
        <v>109</v>
      </c>
      <c r="G10" s="562" t="s">
        <v>917</v>
      </c>
      <c r="H10" s="563" t="s">
        <v>918</v>
      </c>
      <c r="I10" s="564" t="s">
        <v>919</v>
      </c>
      <c r="J10" s="564" t="s">
        <v>757</v>
      </c>
      <c r="K10" s="561">
        <v>100</v>
      </c>
      <c r="L10" s="337"/>
      <c r="M10" s="565">
        <v>68</v>
      </c>
      <c r="N10" s="565">
        <v>68</v>
      </c>
      <c r="O10" s="566">
        <f t="shared" si="1"/>
        <v>1</v>
      </c>
      <c r="P10" s="567">
        <f t="shared" si="2"/>
        <v>1</v>
      </c>
      <c r="Q10" s="568">
        <f t="shared" si="0"/>
        <v>1</v>
      </c>
      <c r="R10" s="675"/>
    </row>
    <row r="11" spans="1:25" x14ac:dyDescent="0.2">
      <c r="A11" s="558" t="s">
        <v>277</v>
      </c>
      <c r="B11" s="559" t="s">
        <v>914</v>
      </c>
      <c r="C11" s="573" t="s">
        <v>286</v>
      </c>
      <c r="D11" s="330" t="s">
        <v>285</v>
      </c>
      <c r="E11" s="572" t="s">
        <v>1715</v>
      </c>
      <c r="F11" s="561" t="s">
        <v>109</v>
      </c>
      <c r="G11" s="562" t="s">
        <v>917</v>
      </c>
      <c r="H11" s="563" t="s">
        <v>918</v>
      </c>
      <c r="I11" s="564" t="s">
        <v>919</v>
      </c>
      <c r="J11" s="564" t="s">
        <v>757</v>
      </c>
      <c r="K11" s="561">
        <v>100</v>
      </c>
      <c r="L11" s="337"/>
      <c r="M11" s="565">
        <v>47</v>
      </c>
      <c r="N11" s="565">
        <v>47</v>
      </c>
      <c r="O11" s="566">
        <f t="shared" si="1"/>
        <v>1</v>
      </c>
      <c r="P11" s="567">
        <f t="shared" si="2"/>
        <v>1</v>
      </c>
      <c r="Q11" s="568">
        <f>N11/(M11*K11/100)</f>
        <v>1</v>
      </c>
      <c r="R11" s="675"/>
      <c r="S11" s="30"/>
      <c r="T11" s="30"/>
      <c r="U11" s="30"/>
      <c r="V11" s="30"/>
      <c r="W11" s="30"/>
      <c r="X11" s="30"/>
      <c r="Y11" s="30"/>
    </row>
    <row r="12" spans="1:25" x14ac:dyDescent="0.2">
      <c r="A12" s="558" t="s">
        <v>277</v>
      </c>
      <c r="B12" s="559" t="s">
        <v>914</v>
      </c>
      <c r="C12" s="573" t="s">
        <v>303</v>
      </c>
      <c r="D12" s="330" t="s">
        <v>300</v>
      </c>
      <c r="E12" s="572" t="s">
        <v>1715</v>
      </c>
      <c r="F12" s="561" t="s">
        <v>109</v>
      </c>
      <c r="G12" s="562" t="s">
        <v>917</v>
      </c>
      <c r="H12" s="563" t="s">
        <v>920</v>
      </c>
      <c r="I12" s="564" t="s">
        <v>919</v>
      </c>
      <c r="J12" s="564" t="s">
        <v>757</v>
      </c>
      <c r="K12" s="561">
        <v>100</v>
      </c>
      <c r="L12" s="337"/>
      <c r="M12" s="565">
        <v>144</v>
      </c>
      <c r="N12" s="565">
        <v>144</v>
      </c>
      <c r="O12" s="566">
        <f t="shared" si="1"/>
        <v>1</v>
      </c>
      <c r="P12" s="567">
        <f t="shared" si="2"/>
        <v>1</v>
      </c>
      <c r="Q12" s="568">
        <f t="shared" si="0"/>
        <v>1</v>
      </c>
      <c r="R12" s="675"/>
      <c r="S12" s="30"/>
      <c r="T12" s="30"/>
      <c r="U12" s="30"/>
      <c r="V12" s="30"/>
      <c r="W12" s="30"/>
      <c r="X12" s="30"/>
      <c r="Y12" s="30"/>
    </row>
    <row r="13" spans="1:25" x14ac:dyDescent="0.2">
      <c r="A13" s="558" t="s">
        <v>277</v>
      </c>
      <c r="B13" s="559" t="s">
        <v>914</v>
      </c>
      <c r="C13" s="573" t="s">
        <v>303</v>
      </c>
      <c r="D13" s="330" t="s">
        <v>292</v>
      </c>
      <c r="E13" s="572" t="s">
        <v>1844</v>
      </c>
      <c r="F13" s="561" t="s">
        <v>109</v>
      </c>
      <c r="G13" s="562" t="s">
        <v>917</v>
      </c>
      <c r="H13" s="563" t="s">
        <v>918</v>
      </c>
      <c r="I13" s="564" t="s">
        <v>919</v>
      </c>
      <c r="J13" s="564" t="s">
        <v>757</v>
      </c>
      <c r="K13" s="561">
        <v>100</v>
      </c>
      <c r="L13" s="337"/>
      <c r="M13" s="565">
        <v>42</v>
      </c>
      <c r="N13" s="565">
        <v>42</v>
      </c>
      <c r="O13" s="566">
        <f t="shared" si="1"/>
        <v>1</v>
      </c>
      <c r="P13" s="567">
        <f t="shared" si="2"/>
        <v>1</v>
      </c>
      <c r="Q13" s="568">
        <f t="shared" si="0"/>
        <v>1</v>
      </c>
      <c r="R13" s="675"/>
      <c r="S13" s="30"/>
      <c r="T13" s="30"/>
      <c r="U13" s="30"/>
      <c r="V13" s="30"/>
      <c r="W13" s="30"/>
      <c r="X13" s="30"/>
      <c r="Y13" s="30"/>
    </row>
    <row r="14" spans="1:25" x14ac:dyDescent="0.2">
      <c r="A14" s="558" t="s">
        <v>277</v>
      </c>
      <c r="B14" s="559" t="s">
        <v>914</v>
      </c>
      <c r="C14" s="573" t="s">
        <v>303</v>
      </c>
      <c r="D14" s="330" t="s">
        <v>294</v>
      </c>
      <c r="E14" s="572" t="s">
        <v>1844</v>
      </c>
      <c r="F14" s="561" t="s">
        <v>109</v>
      </c>
      <c r="G14" s="562" t="s">
        <v>917</v>
      </c>
      <c r="H14" s="563" t="s">
        <v>918</v>
      </c>
      <c r="I14" s="564" t="s">
        <v>919</v>
      </c>
      <c r="J14" s="564" t="s">
        <v>757</v>
      </c>
      <c r="K14" s="561">
        <v>100</v>
      </c>
      <c r="L14" s="337"/>
      <c r="M14" s="565">
        <v>10</v>
      </c>
      <c r="N14" s="565">
        <v>10</v>
      </c>
      <c r="O14" s="566">
        <f t="shared" si="1"/>
        <v>1</v>
      </c>
      <c r="P14" s="567">
        <f t="shared" si="2"/>
        <v>1</v>
      </c>
      <c r="Q14" s="568">
        <f t="shared" si="0"/>
        <v>1</v>
      </c>
      <c r="R14" s="675"/>
      <c r="S14" s="30"/>
      <c r="T14" s="30"/>
      <c r="U14" s="30"/>
      <c r="V14" s="30"/>
      <c r="W14" s="30"/>
      <c r="X14" s="30"/>
      <c r="Y14" s="30"/>
    </row>
    <row r="15" spans="1:25" x14ac:dyDescent="0.2">
      <c r="A15" s="558" t="s">
        <v>277</v>
      </c>
      <c r="B15" s="559" t="s">
        <v>914</v>
      </c>
      <c r="C15" s="573" t="s">
        <v>303</v>
      </c>
      <c r="D15" s="330" t="s">
        <v>282</v>
      </c>
      <c r="E15" s="572" t="s">
        <v>1845</v>
      </c>
      <c r="F15" s="561" t="s">
        <v>109</v>
      </c>
      <c r="G15" s="562" t="s">
        <v>917</v>
      </c>
      <c r="H15" s="563" t="s">
        <v>918</v>
      </c>
      <c r="I15" s="564" t="s">
        <v>919</v>
      </c>
      <c r="J15" s="564" t="s">
        <v>757</v>
      </c>
      <c r="K15" s="561">
        <v>100</v>
      </c>
      <c r="L15" s="337"/>
      <c r="M15" s="565">
        <v>2</v>
      </c>
      <c r="N15" s="565">
        <v>2</v>
      </c>
      <c r="O15" s="566">
        <f t="shared" si="1"/>
        <v>1</v>
      </c>
      <c r="P15" s="567">
        <f t="shared" si="2"/>
        <v>1</v>
      </c>
      <c r="Q15" s="568">
        <f t="shared" si="0"/>
        <v>1</v>
      </c>
      <c r="R15" s="675"/>
      <c r="S15" s="30"/>
      <c r="T15" s="30"/>
      <c r="U15" s="30"/>
      <c r="V15" s="30"/>
      <c r="W15" s="30"/>
      <c r="X15" s="30"/>
      <c r="Y15" s="30"/>
    </row>
    <row r="16" spans="1:25" x14ac:dyDescent="0.2">
      <c r="A16" s="558" t="s">
        <v>277</v>
      </c>
      <c r="B16" s="559" t="s">
        <v>914</v>
      </c>
      <c r="C16" s="573" t="s">
        <v>303</v>
      </c>
      <c r="D16" s="330" t="s">
        <v>285</v>
      </c>
      <c r="E16" s="572" t="s">
        <v>1845</v>
      </c>
      <c r="F16" s="561" t="s">
        <v>109</v>
      </c>
      <c r="G16" s="562" t="s">
        <v>917</v>
      </c>
      <c r="H16" s="563" t="s">
        <v>918</v>
      </c>
      <c r="I16" s="564" t="s">
        <v>919</v>
      </c>
      <c r="J16" s="564" t="s">
        <v>757</v>
      </c>
      <c r="K16" s="561">
        <v>100</v>
      </c>
      <c r="L16" s="337"/>
      <c r="M16" s="565">
        <v>5</v>
      </c>
      <c r="N16" s="565">
        <v>5</v>
      </c>
      <c r="O16" s="566">
        <f t="shared" si="1"/>
        <v>1</v>
      </c>
      <c r="P16" s="567">
        <f t="shared" si="2"/>
        <v>1</v>
      </c>
      <c r="Q16" s="568">
        <f t="shared" si="0"/>
        <v>1</v>
      </c>
      <c r="R16" s="675"/>
      <c r="S16" s="30"/>
      <c r="T16" s="30"/>
      <c r="U16" s="30"/>
      <c r="V16" s="30"/>
      <c r="W16" s="30"/>
      <c r="X16" s="30"/>
      <c r="Y16" s="30"/>
    </row>
    <row r="17" spans="1:25" x14ac:dyDescent="0.2">
      <c r="A17" s="558" t="s">
        <v>277</v>
      </c>
      <c r="B17" s="559" t="s">
        <v>914</v>
      </c>
      <c r="C17" s="573" t="s">
        <v>99</v>
      </c>
      <c r="D17" s="330" t="s">
        <v>300</v>
      </c>
      <c r="E17" s="572" t="s">
        <v>1715</v>
      </c>
      <c r="F17" s="561" t="s">
        <v>109</v>
      </c>
      <c r="G17" s="562" t="s">
        <v>917</v>
      </c>
      <c r="H17" s="563" t="s">
        <v>920</v>
      </c>
      <c r="I17" s="564" t="s">
        <v>919</v>
      </c>
      <c r="J17" s="564" t="s">
        <v>757</v>
      </c>
      <c r="K17" s="561">
        <v>100</v>
      </c>
      <c r="L17" s="337"/>
      <c r="M17" s="565">
        <v>158</v>
      </c>
      <c r="N17" s="565">
        <v>158</v>
      </c>
      <c r="O17" s="566">
        <f t="shared" si="1"/>
        <v>1</v>
      </c>
      <c r="P17" s="567">
        <f t="shared" si="2"/>
        <v>1</v>
      </c>
      <c r="Q17" s="568">
        <f t="shared" si="0"/>
        <v>1</v>
      </c>
      <c r="R17" s="675"/>
      <c r="S17" s="30"/>
      <c r="T17" s="30"/>
      <c r="U17" s="30"/>
      <c r="V17" s="30"/>
      <c r="W17" s="30"/>
      <c r="X17" s="30"/>
      <c r="Y17" s="30"/>
    </row>
    <row r="18" spans="1:25" x14ac:dyDescent="0.2">
      <c r="A18" s="558" t="s">
        <v>277</v>
      </c>
      <c r="B18" s="559" t="s">
        <v>914</v>
      </c>
      <c r="C18" s="573" t="s">
        <v>99</v>
      </c>
      <c r="D18" s="330" t="s">
        <v>292</v>
      </c>
      <c r="E18" s="572" t="s">
        <v>1715</v>
      </c>
      <c r="F18" s="561" t="s">
        <v>109</v>
      </c>
      <c r="G18" s="562" t="s">
        <v>917</v>
      </c>
      <c r="H18" s="563" t="s">
        <v>918</v>
      </c>
      <c r="I18" s="564" t="s">
        <v>919</v>
      </c>
      <c r="J18" s="564" t="s">
        <v>757</v>
      </c>
      <c r="K18" s="561">
        <v>100</v>
      </c>
      <c r="L18" s="337"/>
      <c r="M18" s="565">
        <v>7</v>
      </c>
      <c r="N18" s="565">
        <v>7</v>
      </c>
      <c r="O18" s="566">
        <f t="shared" si="1"/>
        <v>1</v>
      </c>
      <c r="P18" s="567">
        <f t="shared" si="2"/>
        <v>1</v>
      </c>
      <c r="Q18" s="568">
        <f t="shared" si="0"/>
        <v>1</v>
      </c>
      <c r="R18" s="675"/>
      <c r="S18" s="30"/>
      <c r="T18" s="30"/>
      <c r="U18" s="30"/>
      <c r="V18" s="30"/>
      <c r="W18" s="30"/>
      <c r="X18" s="30"/>
      <c r="Y18" s="30"/>
    </row>
    <row r="19" spans="1:25" x14ac:dyDescent="0.2">
      <c r="A19" s="558" t="s">
        <v>277</v>
      </c>
      <c r="B19" s="559" t="s">
        <v>914</v>
      </c>
      <c r="C19" s="573" t="s">
        <v>99</v>
      </c>
      <c r="D19" s="330" t="s">
        <v>294</v>
      </c>
      <c r="E19" s="572" t="s">
        <v>1846</v>
      </c>
      <c r="F19" s="561" t="s">
        <v>109</v>
      </c>
      <c r="G19" s="562" t="s">
        <v>917</v>
      </c>
      <c r="H19" s="563" t="s">
        <v>918</v>
      </c>
      <c r="I19" s="564" t="s">
        <v>919</v>
      </c>
      <c r="J19" s="564" t="s">
        <v>757</v>
      </c>
      <c r="K19" s="561">
        <v>100</v>
      </c>
      <c r="L19" s="337"/>
      <c r="M19" s="565">
        <v>8</v>
      </c>
      <c r="N19" s="565">
        <v>8</v>
      </c>
      <c r="O19" s="566">
        <f t="shared" si="1"/>
        <v>1</v>
      </c>
      <c r="P19" s="567">
        <f t="shared" si="2"/>
        <v>1</v>
      </c>
      <c r="Q19" s="568">
        <f t="shared" si="0"/>
        <v>1</v>
      </c>
      <c r="R19" s="675"/>
      <c r="S19" s="30"/>
      <c r="T19" s="30"/>
      <c r="U19" s="30"/>
      <c r="V19" s="30"/>
      <c r="W19" s="30"/>
      <c r="X19" s="30"/>
      <c r="Y19" s="30"/>
    </row>
    <row r="20" spans="1:25" x14ac:dyDescent="0.2">
      <c r="A20" s="558" t="s">
        <v>277</v>
      </c>
      <c r="B20" s="559" t="s">
        <v>914</v>
      </c>
      <c r="C20" s="573" t="s">
        <v>99</v>
      </c>
      <c r="D20" s="330" t="s">
        <v>282</v>
      </c>
      <c r="E20" s="572" t="s">
        <v>1846</v>
      </c>
      <c r="F20" s="561" t="s">
        <v>109</v>
      </c>
      <c r="G20" s="562" t="s">
        <v>917</v>
      </c>
      <c r="H20" s="563" t="s">
        <v>918</v>
      </c>
      <c r="I20" s="564" t="s">
        <v>919</v>
      </c>
      <c r="J20" s="564" t="s">
        <v>757</v>
      </c>
      <c r="K20" s="561">
        <v>100</v>
      </c>
      <c r="L20" s="337"/>
      <c r="M20" s="565">
        <v>4</v>
      </c>
      <c r="N20" s="565">
        <v>4</v>
      </c>
      <c r="O20" s="566">
        <f t="shared" si="1"/>
        <v>1</v>
      </c>
      <c r="P20" s="567">
        <f t="shared" si="2"/>
        <v>1</v>
      </c>
      <c r="Q20" s="568">
        <f t="shared" si="0"/>
        <v>1</v>
      </c>
      <c r="R20" s="675"/>
      <c r="S20" s="30"/>
      <c r="T20" s="30"/>
      <c r="U20" s="30"/>
      <c r="V20" s="30"/>
      <c r="W20" s="30"/>
      <c r="X20" s="30"/>
      <c r="Y20" s="30"/>
    </row>
    <row r="21" spans="1:25" x14ac:dyDescent="0.2">
      <c r="A21" s="558" t="s">
        <v>277</v>
      </c>
      <c r="B21" s="559" t="s">
        <v>914</v>
      </c>
      <c r="C21" s="573" t="s">
        <v>99</v>
      </c>
      <c r="D21" s="330" t="s">
        <v>285</v>
      </c>
      <c r="E21" s="574" t="s">
        <v>1846</v>
      </c>
      <c r="F21" s="561" t="s">
        <v>109</v>
      </c>
      <c r="G21" s="562" t="s">
        <v>917</v>
      </c>
      <c r="H21" s="563" t="s">
        <v>918</v>
      </c>
      <c r="I21" s="564" t="s">
        <v>919</v>
      </c>
      <c r="J21" s="564" t="s">
        <v>757</v>
      </c>
      <c r="K21" s="561">
        <v>100</v>
      </c>
      <c r="L21" s="337"/>
      <c r="M21" s="565">
        <v>1</v>
      </c>
      <c r="N21" s="565">
        <v>1</v>
      </c>
      <c r="O21" s="566">
        <f t="shared" si="1"/>
        <v>1</v>
      </c>
      <c r="P21" s="567">
        <f t="shared" si="2"/>
        <v>1</v>
      </c>
      <c r="Q21" s="568">
        <f t="shared" si="0"/>
        <v>1</v>
      </c>
      <c r="R21" s="675"/>
      <c r="S21" s="30"/>
      <c r="T21" s="30"/>
      <c r="U21" s="30"/>
      <c r="V21" s="25"/>
      <c r="W21" s="25"/>
      <c r="X21" s="25"/>
      <c r="Y21" s="25"/>
    </row>
    <row r="22" spans="1:25" x14ac:dyDescent="0.2">
      <c r="A22" s="558" t="s">
        <v>277</v>
      </c>
      <c r="B22" s="559" t="s">
        <v>914</v>
      </c>
      <c r="C22" s="573" t="s">
        <v>296</v>
      </c>
      <c r="D22" s="330" t="s">
        <v>300</v>
      </c>
      <c r="E22" s="574" t="s">
        <v>1847</v>
      </c>
      <c r="F22" s="561" t="s">
        <v>109</v>
      </c>
      <c r="G22" s="562" t="s">
        <v>917</v>
      </c>
      <c r="H22" s="563" t="s">
        <v>920</v>
      </c>
      <c r="I22" s="564" t="s">
        <v>919</v>
      </c>
      <c r="J22" s="564" t="s">
        <v>757</v>
      </c>
      <c r="K22" s="561">
        <v>100</v>
      </c>
      <c r="M22" s="565">
        <v>0</v>
      </c>
      <c r="N22" s="565">
        <v>0</v>
      </c>
      <c r="O22" s="566">
        <f t="shared" si="1"/>
        <v>0</v>
      </c>
      <c r="P22" s="567">
        <f t="shared" si="2"/>
        <v>0</v>
      </c>
      <c r="Q22" s="568" t="e">
        <f t="shared" si="0"/>
        <v>#DIV/0!</v>
      </c>
      <c r="R22" s="676" t="s">
        <v>1919</v>
      </c>
      <c r="S22" s="30"/>
      <c r="T22" s="30"/>
      <c r="U22" s="30"/>
      <c r="V22" s="25"/>
      <c r="W22" s="25"/>
      <c r="X22" s="25"/>
      <c r="Y22" s="25"/>
    </row>
    <row r="23" spans="1:25" x14ac:dyDescent="0.2">
      <c r="A23" s="558" t="s">
        <v>277</v>
      </c>
      <c r="B23" s="559" t="s">
        <v>914</v>
      </c>
      <c r="C23" s="573" t="s">
        <v>296</v>
      </c>
      <c r="D23" s="330" t="s">
        <v>292</v>
      </c>
      <c r="E23" s="574" t="s">
        <v>1847</v>
      </c>
      <c r="F23" s="561" t="s">
        <v>109</v>
      </c>
      <c r="G23" s="562" t="s">
        <v>917</v>
      </c>
      <c r="H23" s="563" t="s">
        <v>918</v>
      </c>
      <c r="I23" s="564" t="s">
        <v>919</v>
      </c>
      <c r="J23" s="564" t="s">
        <v>757</v>
      </c>
      <c r="K23" s="561">
        <v>100</v>
      </c>
      <c r="L23" s="337"/>
      <c r="M23" s="565">
        <v>3</v>
      </c>
      <c r="N23" s="565">
        <v>3</v>
      </c>
      <c r="O23" s="566">
        <f t="shared" si="1"/>
        <v>1</v>
      </c>
      <c r="P23" s="567">
        <f t="shared" si="2"/>
        <v>1</v>
      </c>
      <c r="Q23" s="568">
        <f t="shared" si="0"/>
        <v>1</v>
      </c>
      <c r="R23" s="675"/>
      <c r="S23" s="30"/>
      <c r="T23" s="30"/>
      <c r="U23" s="30"/>
      <c r="V23" s="25"/>
      <c r="W23" s="25"/>
      <c r="X23" s="25"/>
      <c r="Y23" s="25"/>
    </row>
    <row r="24" spans="1:25" x14ac:dyDescent="0.2">
      <c r="A24" s="558" t="s">
        <v>277</v>
      </c>
      <c r="B24" s="559" t="s">
        <v>914</v>
      </c>
      <c r="C24" s="573" t="s">
        <v>296</v>
      </c>
      <c r="D24" s="330" t="s">
        <v>294</v>
      </c>
      <c r="E24" s="574" t="s">
        <v>1848</v>
      </c>
      <c r="F24" s="561" t="s">
        <v>109</v>
      </c>
      <c r="G24" s="562" t="s">
        <v>917</v>
      </c>
      <c r="H24" s="563" t="s">
        <v>918</v>
      </c>
      <c r="I24" s="564" t="s">
        <v>919</v>
      </c>
      <c r="J24" s="564" t="s">
        <v>757</v>
      </c>
      <c r="K24" s="561">
        <v>100</v>
      </c>
      <c r="L24" s="337"/>
      <c r="M24" s="565">
        <v>1</v>
      </c>
      <c r="N24" s="565">
        <v>1</v>
      </c>
      <c r="O24" s="566">
        <f t="shared" si="1"/>
        <v>1</v>
      </c>
      <c r="P24" s="567">
        <f t="shared" si="2"/>
        <v>1</v>
      </c>
      <c r="Q24" s="568">
        <f t="shared" si="0"/>
        <v>1</v>
      </c>
      <c r="R24" s="675"/>
      <c r="S24" s="30"/>
      <c r="T24" s="30"/>
      <c r="U24" s="30"/>
    </row>
    <row r="25" spans="1:25" x14ac:dyDescent="0.2">
      <c r="A25" s="558" t="s">
        <v>277</v>
      </c>
      <c r="B25" s="559" t="s">
        <v>914</v>
      </c>
      <c r="C25" s="573" t="s">
        <v>296</v>
      </c>
      <c r="D25" s="330" t="s">
        <v>282</v>
      </c>
      <c r="E25" s="574" t="s">
        <v>1848</v>
      </c>
      <c r="F25" s="561" t="s">
        <v>109</v>
      </c>
      <c r="G25" s="562" t="s">
        <v>917</v>
      </c>
      <c r="H25" s="563" t="s">
        <v>918</v>
      </c>
      <c r="I25" s="564" t="s">
        <v>919</v>
      </c>
      <c r="J25" s="564" t="s">
        <v>757</v>
      </c>
      <c r="K25" s="561">
        <v>100</v>
      </c>
      <c r="L25" s="337"/>
      <c r="M25" s="565">
        <v>2</v>
      </c>
      <c r="N25" s="565">
        <v>2</v>
      </c>
      <c r="O25" s="566">
        <f t="shared" si="1"/>
        <v>1</v>
      </c>
      <c r="P25" s="567">
        <f t="shared" si="2"/>
        <v>1</v>
      </c>
      <c r="Q25" s="568">
        <f t="shared" si="0"/>
        <v>1</v>
      </c>
      <c r="R25" s="675"/>
      <c r="S25" s="30"/>
      <c r="T25" s="30"/>
      <c r="U25" s="30"/>
    </row>
    <row r="26" spans="1:25" x14ac:dyDescent="0.2">
      <c r="A26" s="558" t="s">
        <v>277</v>
      </c>
      <c r="B26" s="559" t="s">
        <v>914</v>
      </c>
      <c r="C26" s="573" t="s">
        <v>296</v>
      </c>
      <c r="D26" s="330" t="s">
        <v>285</v>
      </c>
      <c r="E26" s="574" t="s">
        <v>1715</v>
      </c>
      <c r="F26" s="561" t="s">
        <v>109</v>
      </c>
      <c r="G26" s="562" t="s">
        <v>917</v>
      </c>
      <c r="H26" s="563" t="s">
        <v>918</v>
      </c>
      <c r="I26" s="564" t="s">
        <v>919</v>
      </c>
      <c r="J26" s="564" t="s">
        <v>757</v>
      </c>
      <c r="K26" s="561">
        <v>100</v>
      </c>
      <c r="L26" s="337"/>
      <c r="M26" s="565">
        <v>11</v>
      </c>
      <c r="N26" s="565">
        <v>11</v>
      </c>
      <c r="O26" s="566">
        <f t="shared" si="1"/>
        <v>1</v>
      </c>
      <c r="P26" s="567">
        <f t="shared" si="2"/>
        <v>1</v>
      </c>
      <c r="Q26" s="568">
        <f t="shared" si="0"/>
        <v>1</v>
      </c>
      <c r="R26" s="675"/>
      <c r="S26" s="30"/>
      <c r="T26" s="30"/>
      <c r="U26" s="30"/>
    </row>
    <row r="27" spans="1:25" x14ac:dyDescent="0.2">
      <c r="A27" s="558" t="s">
        <v>277</v>
      </c>
      <c r="B27" s="559" t="s">
        <v>914</v>
      </c>
      <c r="C27" s="573" t="s">
        <v>296</v>
      </c>
      <c r="D27" s="330" t="s">
        <v>298</v>
      </c>
      <c r="E27" s="574" t="s">
        <v>1715</v>
      </c>
      <c r="F27" s="561" t="s">
        <v>109</v>
      </c>
      <c r="G27" s="562" t="s">
        <v>917</v>
      </c>
      <c r="H27" s="563" t="s">
        <v>918</v>
      </c>
      <c r="I27" s="564" t="s">
        <v>919</v>
      </c>
      <c r="J27" s="564" t="s">
        <v>757</v>
      </c>
      <c r="K27" s="561">
        <v>100</v>
      </c>
      <c r="L27" s="337"/>
      <c r="M27" s="565">
        <v>20</v>
      </c>
      <c r="N27" s="565">
        <v>20</v>
      </c>
      <c r="O27" s="566">
        <f t="shared" si="1"/>
        <v>1</v>
      </c>
      <c r="P27" s="567">
        <f t="shared" si="2"/>
        <v>1</v>
      </c>
      <c r="Q27" s="568">
        <f t="shared" si="0"/>
        <v>1</v>
      </c>
      <c r="R27" s="675"/>
      <c r="S27" s="30"/>
      <c r="T27" s="30"/>
      <c r="U27" s="30"/>
    </row>
    <row r="28" spans="1:25" x14ac:dyDescent="0.2">
      <c r="A28" s="558" t="s">
        <v>277</v>
      </c>
      <c r="B28" s="559" t="s">
        <v>914</v>
      </c>
      <c r="C28" s="573" t="s">
        <v>316</v>
      </c>
      <c r="D28" s="330" t="s">
        <v>292</v>
      </c>
      <c r="E28" s="574" t="s">
        <v>1849</v>
      </c>
      <c r="F28" s="561" t="s">
        <v>109</v>
      </c>
      <c r="G28" s="562" t="s">
        <v>917</v>
      </c>
      <c r="H28" s="563" t="s">
        <v>918</v>
      </c>
      <c r="I28" s="564" t="s">
        <v>919</v>
      </c>
      <c r="J28" s="564" t="s">
        <v>757</v>
      </c>
      <c r="K28" s="561">
        <v>100</v>
      </c>
      <c r="L28" s="337"/>
      <c r="M28" s="565">
        <v>0</v>
      </c>
      <c r="N28" s="565">
        <v>0</v>
      </c>
      <c r="O28" s="566">
        <f t="shared" si="1"/>
        <v>0</v>
      </c>
      <c r="P28" s="567">
        <f t="shared" si="2"/>
        <v>0</v>
      </c>
      <c r="Q28" s="568" t="e">
        <f t="shared" si="0"/>
        <v>#DIV/0!</v>
      </c>
      <c r="R28" s="676" t="s">
        <v>1919</v>
      </c>
      <c r="S28" s="30"/>
      <c r="T28" s="30"/>
      <c r="U28" s="30"/>
    </row>
    <row r="29" spans="1:25" x14ac:dyDescent="0.2">
      <c r="A29" s="558" t="s">
        <v>277</v>
      </c>
      <c r="B29" s="559" t="s">
        <v>914</v>
      </c>
      <c r="C29" s="573" t="s">
        <v>316</v>
      </c>
      <c r="D29" s="330" t="s">
        <v>294</v>
      </c>
      <c r="E29" s="570" t="s">
        <v>1849</v>
      </c>
      <c r="F29" s="561" t="s">
        <v>109</v>
      </c>
      <c r="G29" s="562" t="s">
        <v>917</v>
      </c>
      <c r="H29" s="563" t="s">
        <v>918</v>
      </c>
      <c r="I29" s="564" t="s">
        <v>919</v>
      </c>
      <c r="J29" s="564" t="s">
        <v>757</v>
      </c>
      <c r="K29" s="561">
        <v>100</v>
      </c>
      <c r="L29" s="337"/>
      <c r="M29" s="565">
        <v>0</v>
      </c>
      <c r="N29" s="565">
        <v>0</v>
      </c>
      <c r="O29" s="566">
        <f t="shared" si="1"/>
        <v>0</v>
      </c>
      <c r="P29" s="567">
        <f t="shared" si="2"/>
        <v>0</v>
      </c>
      <c r="Q29" s="568" t="e">
        <f t="shared" si="0"/>
        <v>#DIV/0!</v>
      </c>
      <c r="R29" s="676" t="s">
        <v>1919</v>
      </c>
      <c r="S29" s="30"/>
      <c r="T29" s="30"/>
      <c r="U29" s="30"/>
    </row>
    <row r="30" spans="1:25" x14ac:dyDescent="0.2">
      <c r="A30" s="558" t="s">
        <v>277</v>
      </c>
      <c r="B30" s="559" t="s">
        <v>914</v>
      </c>
      <c r="C30" s="573" t="s">
        <v>308</v>
      </c>
      <c r="D30" s="330" t="s">
        <v>300</v>
      </c>
      <c r="E30" s="575" t="s">
        <v>1715</v>
      </c>
      <c r="F30" s="561" t="s">
        <v>109</v>
      </c>
      <c r="G30" s="562" t="s">
        <v>917</v>
      </c>
      <c r="H30" s="563" t="s">
        <v>920</v>
      </c>
      <c r="I30" s="564" t="s">
        <v>919</v>
      </c>
      <c r="J30" s="564" t="s">
        <v>757</v>
      </c>
      <c r="K30" s="561">
        <v>100</v>
      </c>
      <c r="L30" s="337"/>
      <c r="M30" s="565">
        <v>51</v>
      </c>
      <c r="N30" s="565">
        <v>51</v>
      </c>
      <c r="O30" s="566">
        <f t="shared" si="1"/>
        <v>1</v>
      </c>
      <c r="P30" s="567">
        <f t="shared" si="2"/>
        <v>1</v>
      </c>
      <c r="Q30" s="568">
        <f t="shared" si="0"/>
        <v>1</v>
      </c>
      <c r="R30" s="675"/>
      <c r="S30" s="30"/>
      <c r="T30" s="30"/>
      <c r="U30" s="30"/>
    </row>
    <row r="31" spans="1:25" x14ac:dyDescent="0.2">
      <c r="A31" s="558" t="s">
        <v>277</v>
      </c>
      <c r="B31" s="559" t="s">
        <v>914</v>
      </c>
      <c r="C31" s="573" t="s">
        <v>308</v>
      </c>
      <c r="D31" s="330" t="s">
        <v>292</v>
      </c>
      <c r="E31" s="575" t="s">
        <v>1850</v>
      </c>
      <c r="F31" s="561" t="s">
        <v>109</v>
      </c>
      <c r="G31" s="562" t="s">
        <v>917</v>
      </c>
      <c r="H31" s="563" t="s">
        <v>918</v>
      </c>
      <c r="I31" s="564" t="s">
        <v>919</v>
      </c>
      <c r="J31" s="564" t="s">
        <v>757</v>
      </c>
      <c r="K31" s="561">
        <v>100</v>
      </c>
      <c r="L31" s="337"/>
      <c r="M31" s="565">
        <v>7</v>
      </c>
      <c r="N31" s="565">
        <v>7</v>
      </c>
      <c r="O31" s="566">
        <f t="shared" si="1"/>
        <v>1</v>
      </c>
      <c r="P31" s="567">
        <f t="shared" si="2"/>
        <v>1</v>
      </c>
      <c r="Q31" s="568">
        <f t="shared" si="0"/>
        <v>1</v>
      </c>
      <c r="R31" s="675"/>
    </row>
    <row r="32" spans="1:25" x14ac:dyDescent="0.2">
      <c r="A32" s="558" t="s">
        <v>277</v>
      </c>
      <c r="B32" s="559" t="s">
        <v>914</v>
      </c>
      <c r="C32" s="573" t="s">
        <v>308</v>
      </c>
      <c r="D32" s="330" t="s">
        <v>294</v>
      </c>
      <c r="E32" s="575" t="s">
        <v>1850</v>
      </c>
      <c r="F32" s="561" t="s">
        <v>109</v>
      </c>
      <c r="G32" s="562" t="s">
        <v>917</v>
      </c>
      <c r="H32" s="563" t="s">
        <v>918</v>
      </c>
      <c r="I32" s="564" t="s">
        <v>919</v>
      </c>
      <c r="J32" s="564" t="s">
        <v>757</v>
      </c>
      <c r="K32" s="561">
        <v>100</v>
      </c>
      <c r="L32" s="337"/>
      <c r="M32" s="565">
        <v>1</v>
      </c>
      <c r="N32" s="565">
        <v>1</v>
      </c>
      <c r="O32" s="566">
        <f t="shared" si="1"/>
        <v>1</v>
      </c>
      <c r="P32" s="567">
        <f t="shared" si="2"/>
        <v>1</v>
      </c>
      <c r="Q32" s="568">
        <f t="shared" si="0"/>
        <v>1</v>
      </c>
      <c r="R32" s="675"/>
    </row>
    <row r="33" spans="1:18" x14ac:dyDescent="0.2">
      <c r="A33" s="558" t="s">
        <v>277</v>
      </c>
      <c r="B33" s="559" t="s">
        <v>914</v>
      </c>
      <c r="C33" s="573" t="s">
        <v>305</v>
      </c>
      <c r="D33" s="330" t="s">
        <v>300</v>
      </c>
      <c r="E33" s="575" t="s">
        <v>1715</v>
      </c>
      <c r="F33" s="561" t="s">
        <v>109</v>
      </c>
      <c r="G33" s="562" t="s">
        <v>917</v>
      </c>
      <c r="H33" s="563" t="s">
        <v>920</v>
      </c>
      <c r="I33" s="564" t="s">
        <v>919</v>
      </c>
      <c r="J33" s="564" t="s">
        <v>757</v>
      </c>
      <c r="K33" s="561">
        <v>100</v>
      </c>
      <c r="L33" s="337"/>
      <c r="M33" s="565">
        <v>568</v>
      </c>
      <c r="N33" s="565">
        <v>568</v>
      </c>
      <c r="O33" s="566">
        <f t="shared" si="1"/>
        <v>1</v>
      </c>
      <c r="P33" s="567">
        <f t="shared" si="2"/>
        <v>1</v>
      </c>
      <c r="Q33" s="568">
        <f t="shared" si="0"/>
        <v>1</v>
      </c>
      <c r="R33" s="675"/>
    </row>
    <row r="34" spans="1:18" x14ac:dyDescent="0.2">
      <c r="A34" s="558" t="s">
        <v>277</v>
      </c>
      <c r="B34" s="559" t="s">
        <v>914</v>
      </c>
      <c r="C34" s="573" t="s">
        <v>305</v>
      </c>
      <c r="D34" s="330" t="s">
        <v>292</v>
      </c>
      <c r="E34" s="575" t="s">
        <v>1715</v>
      </c>
      <c r="F34" s="561" t="s">
        <v>109</v>
      </c>
      <c r="G34" s="562" t="s">
        <v>917</v>
      </c>
      <c r="H34" s="563" t="s">
        <v>918</v>
      </c>
      <c r="I34" s="564" t="s">
        <v>919</v>
      </c>
      <c r="J34" s="564" t="s">
        <v>757</v>
      </c>
      <c r="K34" s="561">
        <v>100</v>
      </c>
      <c r="L34" s="337"/>
      <c r="M34" s="565">
        <v>85</v>
      </c>
      <c r="N34" s="565">
        <v>85</v>
      </c>
      <c r="O34" s="566">
        <f t="shared" si="1"/>
        <v>1</v>
      </c>
      <c r="P34" s="567">
        <f t="shared" si="2"/>
        <v>1</v>
      </c>
      <c r="Q34" s="568">
        <f t="shared" si="0"/>
        <v>1</v>
      </c>
      <c r="R34" s="675"/>
    </row>
    <row r="35" spans="1:18" x14ac:dyDescent="0.2">
      <c r="A35" s="558" t="s">
        <v>277</v>
      </c>
      <c r="B35" s="559" t="s">
        <v>914</v>
      </c>
      <c r="C35" s="573" t="s">
        <v>305</v>
      </c>
      <c r="D35" s="330" t="s">
        <v>294</v>
      </c>
      <c r="E35" s="575" t="s">
        <v>1851</v>
      </c>
      <c r="F35" s="561" t="s">
        <v>109</v>
      </c>
      <c r="G35" s="562" t="s">
        <v>917</v>
      </c>
      <c r="H35" s="563" t="s">
        <v>918</v>
      </c>
      <c r="I35" s="564" t="s">
        <v>919</v>
      </c>
      <c r="J35" s="564" t="s">
        <v>757</v>
      </c>
      <c r="K35" s="561">
        <v>100</v>
      </c>
      <c r="L35" s="337"/>
      <c r="M35" s="565">
        <v>24</v>
      </c>
      <c r="N35" s="565">
        <v>24</v>
      </c>
      <c r="O35" s="566">
        <f t="shared" si="1"/>
        <v>1</v>
      </c>
      <c r="P35" s="567">
        <f t="shared" si="2"/>
        <v>1</v>
      </c>
      <c r="Q35" s="568">
        <f t="shared" si="0"/>
        <v>1</v>
      </c>
      <c r="R35" s="675"/>
    </row>
    <row r="36" spans="1:18" x14ac:dyDescent="0.2">
      <c r="A36" s="558" t="s">
        <v>277</v>
      </c>
      <c r="B36" s="559" t="s">
        <v>914</v>
      </c>
      <c r="C36" s="573" t="s">
        <v>305</v>
      </c>
      <c r="D36" s="330" t="s">
        <v>285</v>
      </c>
      <c r="E36" s="575" t="s">
        <v>1851</v>
      </c>
      <c r="F36" s="561" t="s">
        <v>109</v>
      </c>
      <c r="G36" s="562" t="s">
        <v>917</v>
      </c>
      <c r="H36" s="563" t="s">
        <v>918</v>
      </c>
      <c r="I36" s="564" t="s">
        <v>919</v>
      </c>
      <c r="J36" s="564" t="s">
        <v>757</v>
      </c>
      <c r="K36" s="561">
        <v>100</v>
      </c>
      <c r="L36" s="337"/>
      <c r="M36" s="565">
        <v>2</v>
      </c>
      <c r="N36" s="565">
        <v>2</v>
      </c>
      <c r="O36" s="566">
        <f t="shared" si="1"/>
        <v>1</v>
      </c>
      <c r="P36" s="567">
        <f t="shared" si="2"/>
        <v>1</v>
      </c>
      <c r="Q36" s="568">
        <f t="shared" si="0"/>
        <v>1</v>
      </c>
      <c r="R36" s="675"/>
    </row>
    <row r="37" spans="1:18" x14ac:dyDescent="0.2">
      <c r="A37" s="558" t="s">
        <v>277</v>
      </c>
      <c r="B37" s="559" t="s">
        <v>914</v>
      </c>
      <c r="C37" s="559" t="s">
        <v>915</v>
      </c>
      <c r="D37" s="327" t="s">
        <v>915</v>
      </c>
      <c r="E37" s="575" t="s">
        <v>1852</v>
      </c>
      <c r="F37" s="561" t="s">
        <v>109</v>
      </c>
      <c r="G37" s="562" t="s">
        <v>921</v>
      </c>
      <c r="H37" s="559" t="s">
        <v>7</v>
      </c>
      <c r="I37" s="559" t="s">
        <v>7</v>
      </c>
      <c r="J37" s="559" t="s">
        <v>7</v>
      </c>
      <c r="K37" s="576">
        <v>0</v>
      </c>
      <c r="L37" s="327" t="s">
        <v>922</v>
      </c>
      <c r="M37" s="565">
        <v>0</v>
      </c>
      <c r="N37" s="565">
        <v>0</v>
      </c>
      <c r="O37" s="566">
        <f t="shared" si="1"/>
        <v>0</v>
      </c>
      <c r="P37" s="567">
        <f t="shared" si="2"/>
        <v>0</v>
      </c>
      <c r="Q37" s="568" t="e">
        <f t="shared" si="0"/>
        <v>#DIV/0!</v>
      </c>
      <c r="R37" s="676" t="s">
        <v>1853</v>
      </c>
    </row>
    <row r="38" spans="1:18" x14ac:dyDescent="0.2">
      <c r="A38" s="558" t="s">
        <v>277</v>
      </c>
      <c r="B38" s="559" t="s">
        <v>914</v>
      </c>
      <c r="C38" s="573" t="s">
        <v>97</v>
      </c>
      <c r="D38" s="327" t="s">
        <v>282</v>
      </c>
      <c r="E38" s="575" t="s">
        <v>1843</v>
      </c>
      <c r="F38" s="561" t="s">
        <v>109</v>
      </c>
      <c r="G38" s="562" t="s">
        <v>923</v>
      </c>
      <c r="H38" s="563" t="s">
        <v>924</v>
      </c>
      <c r="I38" s="578" t="s">
        <v>925</v>
      </c>
      <c r="J38" s="564" t="s">
        <v>757</v>
      </c>
      <c r="K38" s="561">
        <v>33</v>
      </c>
      <c r="L38" s="338"/>
      <c r="M38" s="565">
        <v>6</v>
      </c>
      <c r="N38" s="565">
        <v>3</v>
      </c>
      <c r="O38" s="566">
        <f t="shared" si="1"/>
        <v>0.5</v>
      </c>
      <c r="P38" s="567">
        <f t="shared" si="2"/>
        <v>1.5151515151515151</v>
      </c>
      <c r="Q38" s="568">
        <f t="shared" si="0"/>
        <v>1.5151515151515151</v>
      </c>
      <c r="R38" s="675"/>
    </row>
    <row r="39" spans="1:18" x14ac:dyDescent="0.2">
      <c r="A39" s="558" t="s">
        <v>277</v>
      </c>
      <c r="B39" s="559" t="s">
        <v>914</v>
      </c>
      <c r="C39" s="573" t="s">
        <v>97</v>
      </c>
      <c r="D39" s="327" t="s">
        <v>285</v>
      </c>
      <c r="E39" s="575" t="s">
        <v>1843</v>
      </c>
      <c r="F39" s="561" t="s">
        <v>109</v>
      </c>
      <c r="G39" s="562" t="s">
        <v>923</v>
      </c>
      <c r="H39" s="563" t="s">
        <v>924</v>
      </c>
      <c r="I39" s="578" t="s">
        <v>925</v>
      </c>
      <c r="J39" s="564" t="s">
        <v>757</v>
      </c>
      <c r="K39" s="561">
        <v>0</v>
      </c>
      <c r="L39" s="338" t="s">
        <v>926</v>
      </c>
      <c r="M39" s="565">
        <v>8</v>
      </c>
      <c r="N39" s="565">
        <v>7</v>
      </c>
      <c r="O39" s="566">
        <f t="shared" si="1"/>
        <v>0.875</v>
      </c>
      <c r="P39" s="567">
        <f t="shared" si="2"/>
        <v>0</v>
      </c>
      <c r="Q39" s="568" t="e">
        <f t="shared" si="0"/>
        <v>#DIV/0!</v>
      </c>
      <c r="R39" s="676" t="s">
        <v>926</v>
      </c>
    </row>
    <row r="40" spans="1:18" x14ac:dyDescent="0.2">
      <c r="A40" s="558" t="s">
        <v>277</v>
      </c>
      <c r="B40" s="559" t="s">
        <v>914</v>
      </c>
      <c r="C40" s="573" t="s">
        <v>286</v>
      </c>
      <c r="D40" s="327" t="s">
        <v>300</v>
      </c>
      <c r="E40" s="575" t="s">
        <v>1715</v>
      </c>
      <c r="F40" s="561" t="s">
        <v>109</v>
      </c>
      <c r="G40" s="562" t="s">
        <v>923</v>
      </c>
      <c r="H40" s="563" t="s">
        <v>927</v>
      </c>
      <c r="I40" s="578" t="s">
        <v>925</v>
      </c>
      <c r="J40" s="564" t="s">
        <v>757</v>
      </c>
      <c r="K40" s="561">
        <v>5</v>
      </c>
      <c r="L40" s="338" t="s">
        <v>926</v>
      </c>
      <c r="M40" s="565">
        <v>39</v>
      </c>
      <c r="N40" s="565">
        <v>5</v>
      </c>
      <c r="O40" s="566">
        <f t="shared" si="1"/>
        <v>0.12820512820512819</v>
      </c>
      <c r="P40" s="567">
        <f t="shared" si="2"/>
        <v>2.5641025641025639</v>
      </c>
      <c r="Q40" s="568">
        <f t="shared" si="0"/>
        <v>2.5641025641025643</v>
      </c>
      <c r="R40" s="676"/>
    </row>
    <row r="41" spans="1:18" x14ac:dyDescent="0.2">
      <c r="A41" s="558" t="s">
        <v>277</v>
      </c>
      <c r="B41" s="559" t="s">
        <v>914</v>
      </c>
      <c r="C41" s="573" t="s">
        <v>286</v>
      </c>
      <c r="D41" s="327" t="s">
        <v>292</v>
      </c>
      <c r="E41" s="575" t="s">
        <v>1715</v>
      </c>
      <c r="F41" s="561" t="s">
        <v>109</v>
      </c>
      <c r="G41" s="562" t="s">
        <v>923</v>
      </c>
      <c r="H41" s="563" t="s">
        <v>924</v>
      </c>
      <c r="I41" s="578" t="s">
        <v>925</v>
      </c>
      <c r="J41" s="564" t="s">
        <v>757</v>
      </c>
      <c r="K41" s="561">
        <v>26</v>
      </c>
      <c r="L41" s="338"/>
      <c r="M41" s="565">
        <v>12</v>
      </c>
      <c r="N41" s="565">
        <v>4</v>
      </c>
      <c r="O41" s="566">
        <f t="shared" si="1"/>
        <v>0.33333333333333331</v>
      </c>
      <c r="P41" s="567">
        <f t="shared" si="2"/>
        <v>1.2820512820512819</v>
      </c>
      <c r="Q41" s="568">
        <f t="shared" si="0"/>
        <v>1.2820512820512819</v>
      </c>
      <c r="R41" s="676"/>
    </row>
    <row r="42" spans="1:18" x14ac:dyDescent="0.2">
      <c r="A42" s="558" t="s">
        <v>277</v>
      </c>
      <c r="B42" s="559" t="s">
        <v>914</v>
      </c>
      <c r="C42" s="573" t="s">
        <v>286</v>
      </c>
      <c r="D42" s="327" t="s">
        <v>294</v>
      </c>
      <c r="E42" s="575" t="s">
        <v>1715</v>
      </c>
      <c r="F42" s="561" t="s">
        <v>109</v>
      </c>
      <c r="G42" s="562" t="s">
        <v>923</v>
      </c>
      <c r="H42" s="563" t="s">
        <v>924</v>
      </c>
      <c r="I42" s="578" t="s">
        <v>925</v>
      </c>
      <c r="J42" s="564" t="s">
        <v>757</v>
      </c>
      <c r="K42" s="561">
        <v>16</v>
      </c>
      <c r="L42" s="338"/>
      <c r="M42" s="565">
        <v>40</v>
      </c>
      <c r="N42" s="565">
        <v>7</v>
      </c>
      <c r="O42" s="566">
        <f t="shared" si="1"/>
        <v>0.17499999999999999</v>
      </c>
      <c r="P42" s="567">
        <f t="shared" si="2"/>
        <v>1.09375</v>
      </c>
      <c r="Q42" s="568">
        <f t="shared" si="0"/>
        <v>1.09375</v>
      </c>
      <c r="R42" s="676"/>
    </row>
    <row r="43" spans="1:18" x14ac:dyDescent="0.2">
      <c r="A43" s="558" t="s">
        <v>277</v>
      </c>
      <c r="B43" s="559" t="s">
        <v>914</v>
      </c>
      <c r="C43" s="573" t="s">
        <v>286</v>
      </c>
      <c r="D43" s="327" t="s">
        <v>282</v>
      </c>
      <c r="E43" s="575" t="s">
        <v>1715</v>
      </c>
      <c r="F43" s="561" t="s">
        <v>109</v>
      </c>
      <c r="G43" s="562" t="s">
        <v>923</v>
      </c>
      <c r="H43" s="563" t="s">
        <v>924</v>
      </c>
      <c r="I43" s="578" t="s">
        <v>925</v>
      </c>
      <c r="J43" s="564" t="s">
        <v>757</v>
      </c>
      <c r="K43" s="561">
        <v>6</v>
      </c>
      <c r="L43" s="338"/>
      <c r="M43" s="565">
        <v>68</v>
      </c>
      <c r="N43" s="565">
        <v>9</v>
      </c>
      <c r="O43" s="566">
        <f t="shared" si="1"/>
        <v>0.13235294117647059</v>
      </c>
      <c r="P43" s="567">
        <f t="shared" si="2"/>
        <v>2.2058823529411766</v>
      </c>
      <c r="Q43" s="568">
        <f t="shared" si="0"/>
        <v>2.2058823529411766</v>
      </c>
      <c r="R43" s="676"/>
    </row>
    <row r="44" spans="1:18" x14ac:dyDescent="0.2">
      <c r="A44" s="558" t="s">
        <v>277</v>
      </c>
      <c r="B44" s="559" t="s">
        <v>914</v>
      </c>
      <c r="C44" s="573" t="s">
        <v>286</v>
      </c>
      <c r="D44" s="327" t="s">
        <v>285</v>
      </c>
      <c r="E44" s="575" t="s">
        <v>1715</v>
      </c>
      <c r="F44" s="561" t="s">
        <v>109</v>
      </c>
      <c r="G44" s="562" t="s">
        <v>923</v>
      </c>
      <c r="H44" s="563" t="s">
        <v>924</v>
      </c>
      <c r="I44" s="578" t="s">
        <v>925</v>
      </c>
      <c r="J44" s="564" t="s">
        <v>757</v>
      </c>
      <c r="K44" s="561">
        <v>8</v>
      </c>
      <c r="L44" s="338"/>
      <c r="M44" s="565">
        <v>47</v>
      </c>
      <c r="N44" s="565">
        <v>12</v>
      </c>
      <c r="O44" s="566">
        <f t="shared" si="1"/>
        <v>0.25531914893617019</v>
      </c>
      <c r="P44" s="567">
        <f t="shared" si="2"/>
        <v>3.1914893617021276</v>
      </c>
      <c r="Q44" s="568">
        <f t="shared" si="0"/>
        <v>3.191489361702128</v>
      </c>
      <c r="R44" s="676"/>
    </row>
    <row r="45" spans="1:18" x14ac:dyDescent="0.2">
      <c r="A45" s="558" t="s">
        <v>277</v>
      </c>
      <c r="B45" s="559" t="s">
        <v>914</v>
      </c>
      <c r="C45" s="573" t="s">
        <v>303</v>
      </c>
      <c r="D45" s="327" t="s">
        <v>300</v>
      </c>
      <c r="E45" s="575" t="s">
        <v>1715</v>
      </c>
      <c r="F45" s="561" t="s">
        <v>109</v>
      </c>
      <c r="G45" s="562" t="s">
        <v>923</v>
      </c>
      <c r="H45" s="563" t="s">
        <v>927</v>
      </c>
      <c r="I45" s="578" t="s">
        <v>925</v>
      </c>
      <c r="J45" s="564" t="s">
        <v>757</v>
      </c>
      <c r="K45" s="561">
        <v>28.999999999999996</v>
      </c>
      <c r="L45" s="338"/>
      <c r="M45" s="565">
        <v>144</v>
      </c>
      <c r="N45" s="565">
        <v>7</v>
      </c>
      <c r="O45" s="566">
        <f t="shared" si="1"/>
        <v>4.8611111111111112E-2</v>
      </c>
      <c r="P45" s="567">
        <f t="shared" si="2"/>
        <v>0.16762452107279693</v>
      </c>
      <c r="Q45" s="568">
        <f t="shared" si="0"/>
        <v>0.16762452107279696</v>
      </c>
      <c r="R45" s="676"/>
    </row>
    <row r="46" spans="1:18" x14ac:dyDescent="0.2">
      <c r="A46" s="558" t="s">
        <v>277</v>
      </c>
      <c r="B46" s="559" t="s">
        <v>914</v>
      </c>
      <c r="C46" s="573" t="s">
        <v>303</v>
      </c>
      <c r="D46" s="327" t="s">
        <v>292</v>
      </c>
      <c r="E46" s="575" t="s">
        <v>1844</v>
      </c>
      <c r="F46" s="561" t="s">
        <v>109</v>
      </c>
      <c r="G46" s="562" t="s">
        <v>923</v>
      </c>
      <c r="H46" s="563" t="s">
        <v>924</v>
      </c>
      <c r="I46" s="578" t="s">
        <v>925</v>
      </c>
      <c r="J46" s="564" t="s">
        <v>757</v>
      </c>
      <c r="K46" s="561">
        <v>8</v>
      </c>
      <c r="L46" s="338"/>
      <c r="M46" s="565">
        <v>42</v>
      </c>
      <c r="N46" s="565">
        <v>6</v>
      </c>
      <c r="O46" s="566">
        <f t="shared" si="1"/>
        <v>0.14285714285714285</v>
      </c>
      <c r="P46" s="567">
        <f t="shared" si="2"/>
        <v>1.7857142857142858</v>
      </c>
      <c r="Q46" s="568">
        <f t="shared" si="0"/>
        <v>1.7857142857142858</v>
      </c>
      <c r="R46" s="676"/>
    </row>
    <row r="47" spans="1:18" x14ac:dyDescent="0.2">
      <c r="A47" s="558" t="s">
        <v>277</v>
      </c>
      <c r="B47" s="559" t="s">
        <v>914</v>
      </c>
      <c r="C47" s="573" t="s">
        <v>303</v>
      </c>
      <c r="D47" s="327" t="s">
        <v>294</v>
      </c>
      <c r="E47" s="575" t="s">
        <v>1844</v>
      </c>
      <c r="F47" s="561" t="s">
        <v>109</v>
      </c>
      <c r="G47" s="562" t="s">
        <v>923</v>
      </c>
      <c r="H47" s="563" t="s">
        <v>924</v>
      </c>
      <c r="I47" s="578" t="s">
        <v>925</v>
      </c>
      <c r="J47" s="564" t="s">
        <v>757</v>
      </c>
      <c r="K47" s="561">
        <v>0</v>
      </c>
      <c r="L47" s="338" t="s">
        <v>926</v>
      </c>
      <c r="M47" s="565">
        <v>10</v>
      </c>
      <c r="N47" s="565">
        <v>0</v>
      </c>
      <c r="O47" s="566">
        <f t="shared" si="1"/>
        <v>0</v>
      </c>
      <c r="P47" s="567">
        <f t="shared" si="2"/>
        <v>0</v>
      </c>
      <c r="Q47" s="568" t="e">
        <f t="shared" si="0"/>
        <v>#DIV/0!</v>
      </c>
      <c r="R47" s="676" t="s">
        <v>926</v>
      </c>
    </row>
    <row r="48" spans="1:18" x14ac:dyDescent="0.2">
      <c r="A48" s="558" t="s">
        <v>277</v>
      </c>
      <c r="B48" s="559" t="s">
        <v>914</v>
      </c>
      <c r="C48" s="573" t="s">
        <v>303</v>
      </c>
      <c r="D48" s="327" t="s">
        <v>282</v>
      </c>
      <c r="E48" s="575" t="s">
        <v>1845</v>
      </c>
      <c r="F48" s="561" t="s">
        <v>109</v>
      </c>
      <c r="G48" s="562" t="s">
        <v>923</v>
      </c>
      <c r="H48" s="563" t="s">
        <v>924</v>
      </c>
      <c r="I48" s="578" t="s">
        <v>925</v>
      </c>
      <c r="J48" s="564" t="s">
        <v>757</v>
      </c>
      <c r="K48" s="561">
        <v>0</v>
      </c>
      <c r="L48" s="338" t="s">
        <v>926</v>
      </c>
      <c r="M48" s="565">
        <v>2</v>
      </c>
      <c r="N48" s="565">
        <v>0</v>
      </c>
      <c r="O48" s="566">
        <f t="shared" si="1"/>
        <v>0</v>
      </c>
      <c r="P48" s="567">
        <f t="shared" si="2"/>
        <v>0</v>
      </c>
      <c r="Q48" s="568" t="e">
        <f t="shared" si="0"/>
        <v>#DIV/0!</v>
      </c>
      <c r="R48" s="676" t="s">
        <v>926</v>
      </c>
    </row>
    <row r="49" spans="1:18" x14ac:dyDescent="0.2">
      <c r="A49" s="558" t="s">
        <v>277</v>
      </c>
      <c r="B49" s="559" t="s">
        <v>914</v>
      </c>
      <c r="C49" s="573" t="s">
        <v>303</v>
      </c>
      <c r="D49" s="327" t="s">
        <v>285</v>
      </c>
      <c r="E49" s="575" t="s">
        <v>1845</v>
      </c>
      <c r="F49" s="561" t="s">
        <v>109</v>
      </c>
      <c r="G49" s="562" t="s">
        <v>923</v>
      </c>
      <c r="H49" s="563" t="s">
        <v>924</v>
      </c>
      <c r="I49" s="578" t="s">
        <v>925</v>
      </c>
      <c r="J49" s="564" t="s">
        <v>757</v>
      </c>
      <c r="K49" s="561">
        <v>0</v>
      </c>
      <c r="L49" s="338" t="s">
        <v>926</v>
      </c>
      <c r="M49" s="565">
        <v>5</v>
      </c>
      <c r="N49" s="565">
        <v>1</v>
      </c>
      <c r="O49" s="566">
        <f t="shared" si="1"/>
        <v>0.2</v>
      </c>
      <c r="P49" s="567">
        <f t="shared" si="2"/>
        <v>0</v>
      </c>
      <c r="Q49" s="568" t="e">
        <f t="shared" si="0"/>
        <v>#DIV/0!</v>
      </c>
      <c r="R49" s="676" t="s">
        <v>926</v>
      </c>
    </row>
    <row r="50" spans="1:18" x14ac:dyDescent="0.2">
      <c r="A50" s="558" t="s">
        <v>277</v>
      </c>
      <c r="B50" s="559" t="s">
        <v>914</v>
      </c>
      <c r="C50" s="573" t="s">
        <v>99</v>
      </c>
      <c r="D50" s="327" t="s">
        <v>300</v>
      </c>
      <c r="E50" s="575" t="s">
        <v>1715</v>
      </c>
      <c r="F50" s="561" t="s">
        <v>109</v>
      </c>
      <c r="G50" s="562" t="s">
        <v>923</v>
      </c>
      <c r="H50" s="563" t="s">
        <v>927</v>
      </c>
      <c r="I50" s="578" t="s">
        <v>925</v>
      </c>
      <c r="J50" s="564" t="s">
        <v>757</v>
      </c>
      <c r="K50" s="561">
        <v>17</v>
      </c>
      <c r="L50" s="338"/>
      <c r="M50" s="565">
        <v>158</v>
      </c>
      <c r="N50" s="565">
        <v>15</v>
      </c>
      <c r="O50" s="566">
        <f t="shared" si="1"/>
        <v>9.49367088607595E-2</v>
      </c>
      <c r="P50" s="567">
        <f t="shared" si="2"/>
        <v>0.5584512285927028</v>
      </c>
      <c r="Q50" s="568">
        <f t="shared" si="0"/>
        <v>0.55845122859270291</v>
      </c>
      <c r="R50" s="675"/>
    </row>
    <row r="51" spans="1:18" x14ac:dyDescent="0.2">
      <c r="A51" s="558" t="s">
        <v>277</v>
      </c>
      <c r="B51" s="559" t="s">
        <v>914</v>
      </c>
      <c r="C51" s="573" t="s">
        <v>99</v>
      </c>
      <c r="D51" s="327" t="s">
        <v>292</v>
      </c>
      <c r="E51" s="575" t="s">
        <v>1715</v>
      </c>
      <c r="F51" s="561" t="s">
        <v>109</v>
      </c>
      <c r="G51" s="562" t="s">
        <v>923</v>
      </c>
      <c r="H51" s="563" t="s">
        <v>924</v>
      </c>
      <c r="I51" s="578" t="s">
        <v>925</v>
      </c>
      <c r="J51" s="564" t="s">
        <v>757</v>
      </c>
      <c r="K51" s="561">
        <v>36</v>
      </c>
      <c r="L51" s="338"/>
      <c r="M51" s="565">
        <v>7</v>
      </c>
      <c r="N51" s="565">
        <v>1</v>
      </c>
      <c r="O51" s="566">
        <f t="shared" si="1"/>
        <v>0.14285714285714285</v>
      </c>
      <c r="P51" s="567">
        <f t="shared" si="2"/>
        <v>0.3968253968253968</v>
      </c>
      <c r="Q51" s="568">
        <f t="shared" si="0"/>
        <v>0.3968253968253968</v>
      </c>
      <c r="R51" s="675"/>
    </row>
    <row r="52" spans="1:18" x14ac:dyDescent="0.2">
      <c r="A52" s="558" t="s">
        <v>277</v>
      </c>
      <c r="B52" s="559" t="s">
        <v>914</v>
      </c>
      <c r="C52" s="573" t="s">
        <v>99</v>
      </c>
      <c r="D52" s="327" t="s">
        <v>294</v>
      </c>
      <c r="E52" s="575" t="s">
        <v>1846</v>
      </c>
      <c r="F52" s="561" t="s">
        <v>109</v>
      </c>
      <c r="G52" s="562" t="s">
        <v>923</v>
      </c>
      <c r="H52" s="563" t="s">
        <v>924</v>
      </c>
      <c r="I52" s="578" t="s">
        <v>925</v>
      </c>
      <c r="J52" s="564" t="s">
        <v>757</v>
      </c>
      <c r="K52" s="561">
        <v>80</v>
      </c>
      <c r="L52" s="338"/>
      <c r="M52" s="565">
        <v>8</v>
      </c>
      <c r="N52" s="565">
        <v>3</v>
      </c>
      <c r="O52" s="566">
        <f t="shared" si="1"/>
        <v>0.375</v>
      </c>
      <c r="P52" s="567">
        <f t="shared" si="2"/>
        <v>0.46875</v>
      </c>
      <c r="Q52" s="568">
        <f t="shared" si="0"/>
        <v>0.46875</v>
      </c>
      <c r="R52" s="675"/>
    </row>
    <row r="53" spans="1:18" x14ac:dyDescent="0.2">
      <c r="A53" s="558" t="s">
        <v>277</v>
      </c>
      <c r="B53" s="559" t="s">
        <v>914</v>
      </c>
      <c r="C53" s="573" t="s">
        <v>99</v>
      </c>
      <c r="D53" s="327" t="s">
        <v>282</v>
      </c>
      <c r="E53" s="575" t="s">
        <v>1846</v>
      </c>
      <c r="F53" s="561" t="s">
        <v>109</v>
      </c>
      <c r="G53" s="562" t="s">
        <v>923</v>
      </c>
      <c r="H53" s="563" t="s">
        <v>924</v>
      </c>
      <c r="I53" s="578" t="s">
        <v>925</v>
      </c>
      <c r="J53" s="564" t="s">
        <v>757</v>
      </c>
      <c r="K53" s="561">
        <v>0</v>
      </c>
      <c r="L53" s="338" t="s">
        <v>926</v>
      </c>
      <c r="M53" s="565">
        <v>4</v>
      </c>
      <c r="N53" s="565">
        <v>1</v>
      </c>
      <c r="O53" s="566">
        <f t="shared" si="1"/>
        <v>0.25</v>
      </c>
      <c r="P53" s="567">
        <f t="shared" si="2"/>
        <v>0</v>
      </c>
      <c r="Q53" s="568" t="e">
        <f t="shared" si="0"/>
        <v>#DIV/0!</v>
      </c>
      <c r="R53" s="676" t="s">
        <v>926</v>
      </c>
    </row>
    <row r="54" spans="1:18" x14ac:dyDescent="0.2">
      <c r="A54" s="558" t="s">
        <v>277</v>
      </c>
      <c r="B54" s="559" t="s">
        <v>914</v>
      </c>
      <c r="C54" s="573" t="s">
        <v>99</v>
      </c>
      <c r="D54" s="327" t="s">
        <v>285</v>
      </c>
      <c r="E54" s="575" t="s">
        <v>1846</v>
      </c>
      <c r="F54" s="561" t="s">
        <v>109</v>
      </c>
      <c r="G54" s="562" t="s">
        <v>923</v>
      </c>
      <c r="H54" s="563" t="s">
        <v>924</v>
      </c>
      <c r="I54" s="578" t="s">
        <v>925</v>
      </c>
      <c r="J54" s="564" t="s">
        <v>757</v>
      </c>
      <c r="K54" s="561">
        <v>0</v>
      </c>
      <c r="L54" s="338" t="s">
        <v>926</v>
      </c>
      <c r="M54" s="565">
        <v>1</v>
      </c>
      <c r="N54" s="565">
        <v>0</v>
      </c>
      <c r="O54" s="566">
        <f t="shared" si="1"/>
        <v>0</v>
      </c>
      <c r="P54" s="567">
        <f t="shared" si="2"/>
        <v>0</v>
      </c>
      <c r="Q54" s="568" t="e">
        <f t="shared" si="0"/>
        <v>#DIV/0!</v>
      </c>
      <c r="R54" s="676" t="s">
        <v>926</v>
      </c>
    </row>
    <row r="55" spans="1:18" x14ac:dyDescent="0.2">
      <c r="A55" s="558" t="s">
        <v>277</v>
      </c>
      <c r="B55" s="559" t="s">
        <v>914</v>
      </c>
      <c r="C55" s="573" t="s">
        <v>296</v>
      </c>
      <c r="D55" s="327" t="s">
        <v>300</v>
      </c>
      <c r="E55" s="575" t="s">
        <v>1847</v>
      </c>
      <c r="F55" s="561" t="s">
        <v>109</v>
      </c>
      <c r="G55" s="562" t="s">
        <v>923</v>
      </c>
      <c r="H55" s="563" t="s">
        <v>927</v>
      </c>
      <c r="I55" s="578" t="s">
        <v>925</v>
      </c>
      <c r="J55" s="564" t="s">
        <v>757</v>
      </c>
      <c r="K55" s="561">
        <v>13</v>
      </c>
      <c r="L55" s="338"/>
      <c r="M55" s="565">
        <v>0</v>
      </c>
      <c r="N55" s="565">
        <v>0</v>
      </c>
      <c r="O55" s="566">
        <f t="shared" si="1"/>
        <v>0</v>
      </c>
      <c r="P55" s="567">
        <f t="shared" si="2"/>
        <v>0</v>
      </c>
      <c r="Q55" s="568" t="e">
        <f t="shared" si="0"/>
        <v>#DIV/0!</v>
      </c>
      <c r="R55" s="676" t="s">
        <v>1919</v>
      </c>
    </row>
    <row r="56" spans="1:18" x14ac:dyDescent="0.2">
      <c r="A56" s="558" t="s">
        <v>277</v>
      </c>
      <c r="B56" s="559" t="s">
        <v>914</v>
      </c>
      <c r="C56" s="573" t="s">
        <v>296</v>
      </c>
      <c r="D56" s="327" t="s">
        <v>292</v>
      </c>
      <c r="E56" s="575" t="s">
        <v>1847</v>
      </c>
      <c r="F56" s="561" t="s">
        <v>109</v>
      </c>
      <c r="G56" s="562" t="s">
        <v>923</v>
      </c>
      <c r="H56" s="563" t="s">
        <v>924</v>
      </c>
      <c r="I56" s="578" t="s">
        <v>925</v>
      </c>
      <c r="J56" s="564" t="s">
        <v>757</v>
      </c>
      <c r="K56" s="561">
        <v>0</v>
      </c>
      <c r="L56" s="338" t="s">
        <v>926</v>
      </c>
      <c r="M56" s="565">
        <v>3</v>
      </c>
      <c r="N56" s="565">
        <v>1</v>
      </c>
      <c r="O56" s="566">
        <f t="shared" si="1"/>
        <v>0.33333333333333331</v>
      </c>
      <c r="P56" s="567">
        <f t="shared" si="2"/>
        <v>0</v>
      </c>
      <c r="Q56" s="568" t="e">
        <f t="shared" si="0"/>
        <v>#DIV/0!</v>
      </c>
      <c r="R56" s="676" t="s">
        <v>926</v>
      </c>
    </row>
    <row r="57" spans="1:18" x14ac:dyDescent="0.2">
      <c r="A57" s="558" t="s">
        <v>277</v>
      </c>
      <c r="B57" s="559" t="s">
        <v>914</v>
      </c>
      <c r="C57" s="573" t="s">
        <v>296</v>
      </c>
      <c r="D57" s="327" t="s">
        <v>294</v>
      </c>
      <c r="E57" s="575" t="s">
        <v>1848</v>
      </c>
      <c r="F57" s="561" t="s">
        <v>109</v>
      </c>
      <c r="G57" s="562" t="s">
        <v>923</v>
      </c>
      <c r="H57" s="563" t="s">
        <v>924</v>
      </c>
      <c r="I57" s="578" t="s">
        <v>925</v>
      </c>
      <c r="J57" s="564" t="s">
        <v>757</v>
      </c>
      <c r="K57" s="561">
        <v>0</v>
      </c>
      <c r="L57" s="338" t="s">
        <v>926</v>
      </c>
      <c r="M57" s="565">
        <v>1</v>
      </c>
      <c r="N57" s="565">
        <v>0</v>
      </c>
      <c r="O57" s="566">
        <f t="shared" si="1"/>
        <v>0</v>
      </c>
      <c r="P57" s="567">
        <f t="shared" si="2"/>
        <v>0</v>
      </c>
      <c r="Q57" s="568" t="e">
        <f t="shared" si="0"/>
        <v>#DIV/0!</v>
      </c>
      <c r="R57" s="676" t="s">
        <v>926</v>
      </c>
    </row>
    <row r="58" spans="1:18" x14ac:dyDescent="0.2">
      <c r="A58" s="558" t="s">
        <v>277</v>
      </c>
      <c r="B58" s="559" t="s">
        <v>914</v>
      </c>
      <c r="C58" s="573" t="s">
        <v>296</v>
      </c>
      <c r="D58" s="327" t="s">
        <v>282</v>
      </c>
      <c r="E58" s="575" t="s">
        <v>1848</v>
      </c>
      <c r="F58" s="561" t="s">
        <v>109</v>
      </c>
      <c r="G58" s="562" t="s">
        <v>923</v>
      </c>
      <c r="H58" s="563" t="s">
        <v>924</v>
      </c>
      <c r="I58" s="578" t="s">
        <v>925</v>
      </c>
      <c r="J58" s="564" t="s">
        <v>757</v>
      </c>
      <c r="K58" s="561">
        <v>0</v>
      </c>
      <c r="L58" s="338" t="s">
        <v>926</v>
      </c>
      <c r="M58" s="565">
        <v>2</v>
      </c>
      <c r="N58" s="565">
        <v>1</v>
      </c>
      <c r="O58" s="566">
        <f t="shared" si="1"/>
        <v>0.5</v>
      </c>
      <c r="P58" s="567">
        <f t="shared" si="2"/>
        <v>0</v>
      </c>
      <c r="Q58" s="568" t="e">
        <f t="shared" si="0"/>
        <v>#DIV/0!</v>
      </c>
      <c r="R58" s="676" t="s">
        <v>926</v>
      </c>
    </row>
    <row r="59" spans="1:18" x14ac:dyDescent="0.2">
      <c r="A59" s="558" t="s">
        <v>277</v>
      </c>
      <c r="B59" s="559" t="s">
        <v>914</v>
      </c>
      <c r="C59" s="573" t="s">
        <v>296</v>
      </c>
      <c r="D59" s="327" t="s">
        <v>285</v>
      </c>
      <c r="E59" s="575" t="s">
        <v>1715</v>
      </c>
      <c r="F59" s="561" t="s">
        <v>109</v>
      </c>
      <c r="G59" s="562" t="s">
        <v>923</v>
      </c>
      <c r="H59" s="563" t="s">
        <v>924</v>
      </c>
      <c r="I59" s="578" t="s">
        <v>925</v>
      </c>
      <c r="J59" s="564" t="s">
        <v>757</v>
      </c>
      <c r="K59" s="561">
        <v>25</v>
      </c>
      <c r="L59" s="338"/>
      <c r="M59" s="565">
        <v>11</v>
      </c>
      <c r="N59" s="565">
        <v>3</v>
      </c>
      <c r="O59" s="566">
        <f t="shared" si="1"/>
        <v>0.27272727272727271</v>
      </c>
      <c r="P59" s="567">
        <f t="shared" si="2"/>
        <v>1.0909090909090908</v>
      </c>
      <c r="Q59" s="568">
        <f t="shared" si="0"/>
        <v>1.0909090909090908</v>
      </c>
      <c r="R59" s="675"/>
    </row>
    <row r="60" spans="1:18" x14ac:dyDescent="0.2">
      <c r="A60" s="558" t="s">
        <v>277</v>
      </c>
      <c r="B60" s="559" t="s">
        <v>914</v>
      </c>
      <c r="C60" s="573" t="s">
        <v>296</v>
      </c>
      <c r="D60" s="327" t="s">
        <v>298</v>
      </c>
      <c r="E60" s="575" t="s">
        <v>1715</v>
      </c>
      <c r="F60" s="561" t="s">
        <v>109</v>
      </c>
      <c r="G60" s="562" t="s">
        <v>923</v>
      </c>
      <c r="H60" s="563" t="s">
        <v>924</v>
      </c>
      <c r="I60" s="578" t="s">
        <v>925</v>
      </c>
      <c r="J60" s="564" t="s">
        <v>757</v>
      </c>
      <c r="K60" s="561">
        <v>10</v>
      </c>
      <c r="L60" s="338"/>
      <c r="M60" s="565">
        <v>20</v>
      </c>
      <c r="N60" s="565">
        <v>7</v>
      </c>
      <c r="O60" s="566">
        <f t="shared" si="1"/>
        <v>0.35</v>
      </c>
      <c r="P60" s="567">
        <f t="shared" si="2"/>
        <v>3.5</v>
      </c>
      <c r="Q60" s="568">
        <f t="shared" si="0"/>
        <v>3.5</v>
      </c>
      <c r="R60" s="675"/>
    </row>
    <row r="61" spans="1:18" x14ac:dyDescent="0.2">
      <c r="A61" s="558" t="s">
        <v>277</v>
      </c>
      <c r="B61" s="559" t="s">
        <v>914</v>
      </c>
      <c r="C61" s="573" t="s">
        <v>316</v>
      </c>
      <c r="D61" s="327" t="s">
        <v>292</v>
      </c>
      <c r="E61" s="575" t="s">
        <v>1849</v>
      </c>
      <c r="F61" s="561" t="s">
        <v>109</v>
      </c>
      <c r="G61" s="562" t="s">
        <v>923</v>
      </c>
      <c r="H61" s="563" t="s">
        <v>924</v>
      </c>
      <c r="I61" s="578" t="s">
        <v>925</v>
      </c>
      <c r="J61" s="564" t="s">
        <v>757</v>
      </c>
      <c r="K61" s="561">
        <v>0</v>
      </c>
      <c r="L61" s="338" t="s">
        <v>926</v>
      </c>
      <c r="M61" s="565">
        <v>0</v>
      </c>
      <c r="N61" s="565">
        <v>0</v>
      </c>
      <c r="O61" s="566">
        <f t="shared" si="1"/>
        <v>0</v>
      </c>
      <c r="P61" s="567">
        <f t="shared" si="2"/>
        <v>0</v>
      </c>
      <c r="Q61" s="568" t="e">
        <f t="shared" si="0"/>
        <v>#DIV/0!</v>
      </c>
      <c r="R61" s="676" t="s">
        <v>1919</v>
      </c>
    </row>
    <row r="62" spans="1:18" x14ac:dyDescent="0.2">
      <c r="A62" s="558" t="s">
        <v>277</v>
      </c>
      <c r="B62" s="559" t="s">
        <v>914</v>
      </c>
      <c r="C62" s="573" t="s">
        <v>316</v>
      </c>
      <c r="D62" s="327" t="s">
        <v>294</v>
      </c>
      <c r="E62" s="575" t="s">
        <v>1849</v>
      </c>
      <c r="F62" s="561" t="s">
        <v>109</v>
      </c>
      <c r="G62" s="562" t="s">
        <v>923</v>
      </c>
      <c r="H62" s="563" t="s">
        <v>924</v>
      </c>
      <c r="I62" s="578" t="s">
        <v>925</v>
      </c>
      <c r="J62" s="564" t="s">
        <v>757</v>
      </c>
      <c r="K62" s="561">
        <v>0</v>
      </c>
      <c r="L62" s="338" t="s">
        <v>926</v>
      </c>
      <c r="M62" s="565">
        <v>0</v>
      </c>
      <c r="N62" s="565">
        <v>0</v>
      </c>
      <c r="O62" s="566">
        <f t="shared" si="1"/>
        <v>0</v>
      </c>
      <c r="P62" s="567">
        <f t="shared" si="2"/>
        <v>0</v>
      </c>
      <c r="Q62" s="568" t="e">
        <f t="shared" si="0"/>
        <v>#DIV/0!</v>
      </c>
      <c r="R62" s="676" t="s">
        <v>1919</v>
      </c>
    </row>
    <row r="63" spans="1:18" x14ac:dyDescent="0.2">
      <c r="A63" s="558" t="s">
        <v>277</v>
      </c>
      <c r="B63" s="559" t="s">
        <v>914</v>
      </c>
      <c r="C63" s="573" t="s">
        <v>308</v>
      </c>
      <c r="D63" s="327" t="s">
        <v>300</v>
      </c>
      <c r="E63" s="575" t="s">
        <v>1715</v>
      </c>
      <c r="F63" s="561" t="s">
        <v>109</v>
      </c>
      <c r="G63" s="562" t="s">
        <v>923</v>
      </c>
      <c r="H63" s="563" t="s">
        <v>927</v>
      </c>
      <c r="I63" s="578" t="s">
        <v>925</v>
      </c>
      <c r="J63" s="564" t="s">
        <v>757</v>
      </c>
      <c r="K63" s="561">
        <v>38</v>
      </c>
      <c r="L63" s="338"/>
      <c r="M63" s="565">
        <v>51</v>
      </c>
      <c r="N63" s="565">
        <v>3</v>
      </c>
      <c r="O63" s="566">
        <f t="shared" si="1"/>
        <v>5.8823529411764705E-2</v>
      </c>
      <c r="P63" s="567">
        <f t="shared" si="2"/>
        <v>0.15479876160990713</v>
      </c>
      <c r="Q63" s="568">
        <f t="shared" si="0"/>
        <v>0.15479876160990713</v>
      </c>
      <c r="R63" s="675"/>
    </row>
    <row r="64" spans="1:18" x14ac:dyDescent="0.2">
      <c r="A64" s="558" t="s">
        <v>277</v>
      </c>
      <c r="B64" s="559" t="s">
        <v>914</v>
      </c>
      <c r="C64" s="573" t="s">
        <v>308</v>
      </c>
      <c r="D64" s="327" t="s">
        <v>292</v>
      </c>
      <c r="E64" s="575" t="s">
        <v>1850</v>
      </c>
      <c r="F64" s="561" t="s">
        <v>109</v>
      </c>
      <c r="G64" s="562" t="s">
        <v>923</v>
      </c>
      <c r="H64" s="563" t="s">
        <v>924</v>
      </c>
      <c r="I64" s="578" t="s">
        <v>925</v>
      </c>
      <c r="J64" s="564" t="s">
        <v>757</v>
      </c>
      <c r="K64" s="561">
        <v>0</v>
      </c>
      <c r="L64" s="338" t="s">
        <v>926</v>
      </c>
      <c r="M64" s="565">
        <v>7</v>
      </c>
      <c r="N64" s="565">
        <v>2</v>
      </c>
      <c r="O64" s="566">
        <f t="shared" si="1"/>
        <v>0.2857142857142857</v>
      </c>
      <c r="P64" s="567">
        <f t="shared" si="2"/>
        <v>0</v>
      </c>
      <c r="Q64" s="568" t="e">
        <f t="shared" si="0"/>
        <v>#DIV/0!</v>
      </c>
      <c r="R64" s="676" t="s">
        <v>926</v>
      </c>
    </row>
    <row r="65" spans="1:18" x14ac:dyDescent="0.2">
      <c r="A65" s="558" t="s">
        <v>277</v>
      </c>
      <c r="B65" s="559" t="s">
        <v>914</v>
      </c>
      <c r="C65" s="573" t="s">
        <v>308</v>
      </c>
      <c r="D65" s="327" t="s">
        <v>294</v>
      </c>
      <c r="E65" s="575" t="s">
        <v>1850</v>
      </c>
      <c r="F65" s="561" t="s">
        <v>109</v>
      </c>
      <c r="G65" s="562" t="s">
        <v>923</v>
      </c>
      <c r="H65" s="563" t="s">
        <v>924</v>
      </c>
      <c r="I65" s="578" t="s">
        <v>925</v>
      </c>
      <c r="J65" s="564" t="s">
        <v>757</v>
      </c>
      <c r="K65" s="561">
        <v>0</v>
      </c>
      <c r="L65" s="338" t="s">
        <v>926</v>
      </c>
      <c r="M65" s="565">
        <v>1</v>
      </c>
      <c r="N65" s="565">
        <v>0</v>
      </c>
      <c r="O65" s="566">
        <f t="shared" si="1"/>
        <v>0</v>
      </c>
      <c r="P65" s="567">
        <f t="shared" si="2"/>
        <v>0</v>
      </c>
      <c r="Q65" s="568" t="e">
        <f t="shared" si="0"/>
        <v>#DIV/0!</v>
      </c>
      <c r="R65" s="676" t="s">
        <v>926</v>
      </c>
    </row>
    <row r="66" spans="1:18" x14ac:dyDescent="0.2">
      <c r="A66" s="558" t="s">
        <v>277</v>
      </c>
      <c r="B66" s="559" t="s">
        <v>914</v>
      </c>
      <c r="C66" s="573" t="s">
        <v>305</v>
      </c>
      <c r="D66" s="327" t="s">
        <v>300</v>
      </c>
      <c r="E66" s="575" t="s">
        <v>1715</v>
      </c>
      <c r="F66" s="561" t="s">
        <v>109</v>
      </c>
      <c r="G66" s="562" t="s">
        <v>923</v>
      </c>
      <c r="H66" s="563" t="s">
        <v>927</v>
      </c>
      <c r="I66" s="578" t="s">
        <v>925</v>
      </c>
      <c r="J66" s="564" t="s">
        <v>757</v>
      </c>
      <c r="K66" s="561">
        <v>5</v>
      </c>
      <c r="L66" s="338"/>
      <c r="M66" s="565">
        <v>568</v>
      </c>
      <c r="N66" s="565">
        <v>24</v>
      </c>
      <c r="O66" s="566">
        <f t="shared" si="1"/>
        <v>4.2253521126760563E-2</v>
      </c>
      <c r="P66" s="567">
        <f t="shared" si="2"/>
        <v>0.84507042253521125</v>
      </c>
      <c r="Q66" s="568">
        <f t="shared" si="0"/>
        <v>0.84507042253521136</v>
      </c>
      <c r="R66" s="675"/>
    </row>
    <row r="67" spans="1:18" x14ac:dyDescent="0.2">
      <c r="A67" s="558" t="s">
        <v>277</v>
      </c>
      <c r="B67" s="559" t="s">
        <v>914</v>
      </c>
      <c r="C67" s="573" t="s">
        <v>305</v>
      </c>
      <c r="D67" s="327" t="s">
        <v>292</v>
      </c>
      <c r="E67" s="575" t="s">
        <v>1715</v>
      </c>
      <c r="F67" s="561" t="s">
        <v>109</v>
      </c>
      <c r="G67" s="562" t="s">
        <v>923</v>
      </c>
      <c r="H67" s="563" t="s">
        <v>924</v>
      </c>
      <c r="I67" s="578" t="s">
        <v>925</v>
      </c>
      <c r="J67" s="564" t="s">
        <v>757</v>
      </c>
      <c r="K67" s="561">
        <v>32</v>
      </c>
      <c r="L67" s="338"/>
      <c r="M67" s="565">
        <v>85</v>
      </c>
      <c r="N67" s="565">
        <v>22</v>
      </c>
      <c r="O67" s="566">
        <f t="shared" si="1"/>
        <v>0.25882352941176473</v>
      </c>
      <c r="P67" s="567">
        <f t="shared" si="2"/>
        <v>0.80882352941176472</v>
      </c>
      <c r="Q67" s="568">
        <f t="shared" si="0"/>
        <v>0.80882352941176472</v>
      </c>
      <c r="R67" s="675"/>
    </row>
    <row r="68" spans="1:18" x14ac:dyDescent="0.2">
      <c r="A68" s="558" t="s">
        <v>277</v>
      </c>
      <c r="B68" s="559" t="s">
        <v>914</v>
      </c>
      <c r="C68" s="573" t="s">
        <v>305</v>
      </c>
      <c r="D68" s="327" t="s">
        <v>294</v>
      </c>
      <c r="E68" s="575" t="s">
        <v>1851</v>
      </c>
      <c r="F68" s="561" t="s">
        <v>109</v>
      </c>
      <c r="G68" s="562" t="s">
        <v>923</v>
      </c>
      <c r="H68" s="563" t="s">
        <v>924</v>
      </c>
      <c r="I68" s="578" t="s">
        <v>925</v>
      </c>
      <c r="J68" s="564" t="s">
        <v>757</v>
      </c>
      <c r="K68" s="561">
        <v>33</v>
      </c>
      <c r="L68" s="338"/>
      <c r="M68" s="565">
        <v>24</v>
      </c>
      <c r="N68" s="565">
        <v>8</v>
      </c>
      <c r="O68" s="566">
        <f t="shared" si="1"/>
        <v>0.33333333333333331</v>
      </c>
      <c r="P68" s="567">
        <f t="shared" si="2"/>
        <v>1.0101010101010102</v>
      </c>
      <c r="Q68" s="568">
        <f t="shared" si="0"/>
        <v>1.0101010101010102</v>
      </c>
      <c r="R68" s="675"/>
    </row>
    <row r="69" spans="1:18" x14ac:dyDescent="0.2">
      <c r="A69" s="558" t="s">
        <v>277</v>
      </c>
      <c r="B69" s="559" t="s">
        <v>914</v>
      </c>
      <c r="C69" s="573" t="s">
        <v>305</v>
      </c>
      <c r="D69" s="327" t="s">
        <v>285</v>
      </c>
      <c r="E69" s="575" t="s">
        <v>1851</v>
      </c>
      <c r="F69" s="561" t="s">
        <v>109</v>
      </c>
      <c r="G69" s="562" t="s">
        <v>923</v>
      </c>
      <c r="H69" s="563" t="s">
        <v>924</v>
      </c>
      <c r="I69" s="578" t="s">
        <v>925</v>
      </c>
      <c r="J69" s="564" t="s">
        <v>757</v>
      </c>
      <c r="K69" s="561">
        <v>0</v>
      </c>
      <c r="L69" s="338" t="s">
        <v>926</v>
      </c>
      <c r="M69" s="565">
        <v>2</v>
      </c>
      <c r="N69" s="565">
        <v>1</v>
      </c>
      <c r="O69" s="566">
        <f t="shared" si="1"/>
        <v>0.5</v>
      </c>
      <c r="P69" s="567">
        <f t="shared" si="2"/>
        <v>0</v>
      </c>
      <c r="Q69" s="568" t="e">
        <f t="shared" ref="Q69:Q132" si="3">N69/(M69*K69/100)</f>
        <v>#DIV/0!</v>
      </c>
      <c r="R69" s="676" t="s">
        <v>926</v>
      </c>
    </row>
    <row r="70" spans="1:18" x14ac:dyDescent="0.2">
      <c r="A70" s="558" t="s">
        <v>277</v>
      </c>
      <c r="B70" s="559" t="s">
        <v>914</v>
      </c>
      <c r="C70" s="573" t="s">
        <v>97</v>
      </c>
      <c r="D70" s="327" t="s">
        <v>282</v>
      </c>
      <c r="E70" s="575" t="s">
        <v>1843</v>
      </c>
      <c r="F70" s="561" t="s">
        <v>109</v>
      </c>
      <c r="G70" s="562" t="s">
        <v>928</v>
      </c>
      <c r="H70" s="563" t="s">
        <v>924</v>
      </c>
      <c r="I70" s="578" t="s">
        <v>925</v>
      </c>
      <c r="J70" s="564" t="s">
        <v>757</v>
      </c>
      <c r="K70" s="561">
        <v>33</v>
      </c>
      <c r="L70" s="338"/>
      <c r="M70" s="565">
        <v>6</v>
      </c>
      <c r="N70" s="565">
        <v>3</v>
      </c>
      <c r="O70" s="566">
        <f t="shared" ref="O70:O133" si="4">IFERROR(N70/M70,0)</f>
        <v>0.5</v>
      </c>
      <c r="P70" s="567">
        <f t="shared" ref="P70:P133" si="5">IFERROR(N70/(M70*(K70/100)),0)</f>
        <v>1.5151515151515151</v>
      </c>
      <c r="Q70" s="568">
        <f t="shared" si="3"/>
        <v>1.5151515151515151</v>
      </c>
      <c r="R70" s="675"/>
    </row>
    <row r="71" spans="1:18" x14ac:dyDescent="0.2">
      <c r="A71" s="558" t="s">
        <v>277</v>
      </c>
      <c r="B71" s="559" t="s">
        <v>914</v>
      </c>
      <c r="C71" s="573" t="s">
        <v>97</v>
      </c>
      <c r="D71" s="327" t="s">
        <v>285</v>
      </c>
      <c r="E71" s="575" t="s">
        <v>1843</v>
      </c>
      <c r="F71" s="561" t="s">
        <v>109</v>
      </c>
      <c r="G71" s="562" t="s">
        <v>928</v>
      </c>
      <c r="H71" s="563" t="s">
        <v>924</v>
      </c>
      <c r="I71" s="578" t="s">
        <v>925</v>
      </c>
      <c r="J71" s="564" t="s">
        <v>757</v>
      </c>
      <c r="K71" s="561">
        <v>0</v>
      </c>
      <c r="L71" s="338" t="s">
        <v>926</v>
      </c>
      <c r="M71" s="565">
        <v>8</v>
      </c>
      <c r="N71" s="565">
        <v>7</v>
      </c>
      <c r="O71" s="566">
        <f t="shared" si="4"/>
        <v>0.875</v>
      </c>
      <c r="P71" s="567">
        <f t="shared" si="5"/>
        <v>0</v>
      </c>
      <c r="Q71" s="568" t="e">
        <f t="shared" si="3"/>
        <v>#DIV/0!</v>
      </c>
      <c r="R71" s="676" t="s">
        <v>926</v>
      </c>
    </row>
    <row r="72" spans="1:18" x14ac:dyDescent="0.2">
      <c r="A72" s="558" t="s">
        <v>277</v>
      </c>
      <c r="B72" s="559" t="s">
        <v>914</v>
      </c>
      <c r="C72" s="573" t="s">
        <v>286</v>
      </c>
      <c r="D72" s="327" t="s">
        <v>300</v>
      </c>
      <c r="E72" s="575" t="s">
        <v>1715</v>
      </c>
      <c r="F72" s="561" t="s">
        <v>109</v>
      </c>
      <c r="G72" s="562" t="s">
        <v>928</v>
      </c>
      <c r="H72" s="563" t="s">
        <v>927</v>
      </c>
      <c r="I72" s="578" t="s">
        <v>925</v>
      </c>
      <c r="J72" s="564" t="s">
        <v>757</v>
      </c>
      <c r="K72" s="561">
        <v>0</v>
      </c>
      <c r="L72" s="338" t="s">
        <v>926</v>
      </c>
      <c r="M72" s="565">
        <v>39</v>
      </c>
      <c r="N72" s="565">
        <v>5</v>
      </c>
      <c r="O72" s="566">
        <f t="shared" si="4"/>
        <v>0.12820512820512819</v>
      </c>
      <c r="P72" s="567">
        <f t="shared" si="5"/>
        <v>0</v>
      </c>
      <c r="Q72" s="568" t="e">
        <f t="shared" si="3"/>
        <v>#DIV/0!</v>
      </c>
      <c r="R72" s="676" t="s">
        <v>926</v>
      </c>
    </row>
    <row r="73" spans="1:18" x14ac:dyDescent="0.2">
      <c r="A73" s="558" t="s">
        <v>277</v>
      </c>
      <c r="B73" s="559" t="s">
        <v>914</v>
      </c>
      <c r="C73" s="573" t="s">
        <v>286</v>
      </c>
      <c r="D73" s="327" t="s">
        <v>292</v>
      </c>
      <c r="E73" s="575" t="s">
        <v>1715</v>
      </c>
      <c r="F73" s="561" t="s">
        <v>109</v>
      </c>
      <c r="G73" s="562" t="s">
        <v>928</v>
      </c>
      <c r="H73" s="563" t="s">
        <v>924</v>
      </c>
      <c r="I73" s="578" t="s">
        <v>925</v>
      </c>
      <c r="J73" s="564" t="s">
        <v>757</v>
      </c>
      <c r="K73" s="561">
        <v>26</v>
      </c>
      <c r="L73" s="338"/>
      <c r="M73" s="565">
        <v>12</v>
      </c>
      <c r="N73" s="565">
        <v>4</v>
      </c>
      <c r="O73" s="566">
        <f t="shared" si="4"/>
        <v>0.33333333333333331</v>
      </c>
      <c r="P73" s="567">
        <f t="shared" si="5"/>
        <v>1.2820512820512819</v>
      </c>
      <c r="Q73" s="568">
        <f t="shared" si="3"/>
        <v>1.2820512820512819</v>
      </c>
      <c r="R73" s="675"/>
    </row>
    <row r="74" spans="1:18" x14ac:dyDescent="0.2">
      <c r="A74" s="558" t="s">
        <v>277</v>
      </c>
      <c r="B74" s="559" t="s">
        <v>914</v>
      </c>
      <c r="C74" s="573" t="s">
        <v>286</v>
      </c>
      <c r="D74" s="327" t="s">
        <v>294</v>
      </c>
      <c r="E74" s="575" t="s">
        <v>1715</v>
      </c>
      <c r="F74" s="561" t="s">
        <v>109</v>
      </c>
      <c r="G74" s="562" t="s">
        <v>928</v>
      </c>
      <c r="H74" s="563" t="s">
        <v>924</v>
      </c>
      <c r="I74" s="578" t="s">
        <v>925</v>
      </c>
      <c r="J74" s="564" t="s">
        <v>757</v>
      </c>
      <c r="K74" s="561">
        <v>16</v>
      </c>
      <c r="L74" s="338"/>
      <c r="M74" s="565">
        <v>40</v>
      </c>
      <c r="N74" s="565">
        <v>7</v>
      </c>
      <c r="O74" s="566">
        <f t="shared" si="4"/>
        <v>0.17499999999999999</v>
      </c>
      <c r="P74" s="567">
        <f t="shared" si="5"/>
        <v>1.09375</v>
      </c>
      <c r="Q74" s="568">
        <f t="shared" si="3"/>
        <v>1.09375</v>
      </c>
      <c r="R74" s="675"/>
    </row>
    <row r="75" spans="1:18" x14ac:dyDescent="0.2">
      <c r="A75" s="558" t="s">
        <v>277</v>
      </c>
      <c r="B75" s="559" t="s">
        <v>914</v>
      </c>
      <c r="C75" s="573" t="s">
        <v>286</v>
      </c>
      <c r="D75" s="327" t="s">
        <v>282</v>
      </c>
      <c r="E75" s="575" t="s">
        <v>1715</v>
      </c>
      <c r="F75" s="561" t="s">
        <v>109</v>
      </c>
      <c r="G75" s="562" t="s">
        <v>928</v>
      </c>
      <c r="H75" s="563" t="s">
        <v>924</v>
      </c>
      <c r="I75" s="578" t="s">
        <v>925</v>
      </c>
      <c r="J75" s="564" t="s">
        <v>757</v>
      </c>
      <c r="K75" s="561">
        <v>6</v>
      </c>
      <c r="L75" s="338"/>
      <c r="M75" s="565">
        <v>68</v>
      </c>
      <c r="N75" s="565">
        <v>9</v>
      </c>
      <c r="O75" s="566">
        <f t="shared" si="4"/>
        <v>0.13235294117647059</v>
      </c>
      <c r="P75" s="567">
        <f t="shared" si="5"/>
        <v>2.2058823529411766</v>
      </c>
      <c r="Q75" s="568">
        <f t="shared" si="3"/>
        <v>2.2058823529411766</v>
      </c>
      <c r="R75" s="675"/>
    </row>
    <row r="76" spans="1:18" x14ac:dyDescent="0.2">
      <c r="A76" s="558" t="s">
        <v>277</v>
      </c>
      <c r="B76" s="559" t="s">
        <v>914</v>
      </c>
      <c r="C76" s="573" t="s">
        <v>286</v>
      </c>
      <c r="D76" s="327" t="s">
        <v>285</v>
      </c>
      <c r="E76" s="575" t="s">
        <v>1715</v>
      </c>
      <c r="F76" s="561" t="s">
        <v>109</v>
      </c>
      <c r="G76" s="562" t="s">
        <v>928</v>
      </c>
      <c r="H76" s="563" t="s">
        <v>924</v>
      </c>
      <c r="I76" s="578" t="s">
        <v>925</v>
      </c>
      <c r="J76" s="564" t="s">
        <v>757</v>
      </c>
      <c r="K76" s="561">
        <v>8</v>
      </c>
      <c r="L76" s="338"/>
      <c r="M76" s="565">
        <v>47</v>
      </c>
      <c r="N76" s="565">
        <v>12</v>
      </c>
      <c r="O76" s="566">
        <f t="shared" si="4"/>
        <v>0.25531914893617019</v>
      </c>
      <c r="P76" s="567">
        <f t="shared" si="5"/>
        <v>3.1914893617021276</v>
      </c>
      <c r="Q76" s="568">
        <f t="shared" si="3"/>
        <v>3.191489361702128</v>
      </c>
      <c r="R76" s="675"/>
    </row>
    <row r="77" spans="1:18" x14ac:dyDescent="0.2">
      <c r="A77" s="558" t="s">
        <v>277</v>
      </c>
      <c r="B77" s="559" t="s">
        <v>914</v>
      </c>
      <c r="C77" s="573" t="s">
        <v>303</v>
      </c>
      <c r="D77" s="327" t="s">
        <v>300</v>
      </c>
      <c r="E77" s="575" t="s">
        <v>1715</v>
      </c>
      <c r="F77" s="561" t="s">
        <v>109</v>
      </c>
      <c r="G77" s="562" t="s">
        <v>928</v>
      </c>
      <c r="H77" s="563" t="s">
        <v>927</v>
      </c>
      <c r="I77" s="578" t="s">
        <v>925</v>
      </c>
      <c r="J77" s="564" t="s">
        <v>757</v>
      </c>
      <c r="K77" s="561">
        <v>28.999999999999996</v>
      </c>
      <c r="L77" s="338"/>
      <c r="M77" s="565">
        <v>144</v>
      </c>
      <c r="N77" s="565">
        <v>7</v>
      </c>
      <c r="O77" s="566">
        <f t="shared" si="4"/>
        <v>4.8611111111111112E-2</v>
      </c>
      <c r="P77" s="567">
        <f t="shared" si="5"/>
        <v>0.16762452107279693</v>
      </c>
      <c r="Q77" s="568">
        <f t="shared" si="3"/>
        <v>0.16762452107279696</v>
      </c>
      <c r="R77" s="675"/>
    </row>
    <row r="78" spans="1:18" x14ac:dyDescent="0.2">
      <c r="A78" s="558" t="s">
        <v>277</v>
      </c>
      <c r="B78" s="559" t="s">
        <v>914</v>
      </c>
      <c r="C78" s="573" t="s">
        <v>303</v>
      </c>
      <c r="D78" s="327" t="s">
        <v>292</v>
      </c>
      <c r="E78" s="575" t="s">
        <v>1844</v>
      </c>
      <c r="F78" s="561" t="s">
        <v>109</v>
      </c>
      <c r="G78" s="562" t="s">
        <v>928</v>
      </c>
      <c r="H78" s="563" t="s">
        <v>924</v>
      </c>
      <c r="I78" s="578" t="s">
        <v>925</v>
      </c>
      <c r="J78" s="564" t="s">
        <v>757</v>
      </c>
      <c r="K78" s="561">
        <v>8</v>
      </c>
      <c r="L78" s="338"/>
      <c r="M78" s="565">
        <v>42</v>
      </c>
      <c r="N78" s="565">
        <v>6</v>
      </c>
      <c r="O78" s="566">
        <f t="shared" si="4"/>
        <v>0.14285714285714285</v>
      </c>
      <c r="P78" s="567">
        <f t="shared" si="5"/>
        <v>1.7857142857142858</v>
      </c>
      <c r="Q78" s="568">
        <f t="shared" si="3"/>
        <v>1.7857142857142858</v>
      </c>
      <c r="R78" s="675"/>
    </row>
    <row r="79" spans="1:18" x14ac:dyDescent="0.2">
      <c r="A79" s="558" t="s">
        <v>277</v>
      </c>
      <c r="B79" s="559" t="s">
        <v>914</v>
      </c>
      <c r="C79" s="573" t="s">
        <v>303</v>
      </c>
      <c r="D79" s="327" t="s">
        <v>294</v>
      </c>
      <c r="E79" s="575" t="s">
        <v>1844</v>
      </c>
      <c r="F79" s="561" t="s">
        <v>109</v>
      </c>
      <c r="G79" s="562" t="s">
        <v>928</v>
      </c>
      <c r="H79" s="563" t="s">
        <v>924</v>
      </c>
      <c r="I79" s="578" t="s">
        <v>925</v>
      </c>
      <c r="J79" s="564" t="s">
        <v>757</v>
      </c>
      <c r="K79" s="561">
        <v>0</v>
      </c>
      <c r="L79" s="338" t="s">
        <v>926</v>
      </c>
      <c r="M79" s="565">
        <v>10</v>
      </c>
      <c r="N79" s="565">
        <v>0</v>
      </c>
      <c r="O79" s="566">
        <f t="shared" si="4"/>
        <v>0</v>
      </c>
      <c r="P79" s="567">
        <f t="shared" si="5"/>
        <v>0</v>
      </c>
      <c r="Q79" s="568" t="e">
        <f t="shared" si="3"/>
        <v>#DIV/0!</v>
      </c>
      <c r="R79" s="676" t="s">
        <v>926</v>
      </c>
    </row>
    <row r="80" spans="1:18" x14ac:dyDescent="0.2">
      <c r="A80" s="558" t="s">
        <v>277</v>
      </c>
      <c r="B80" s="559" t="s">
        <v>914</v>
      </c>
      <c r="C80" s="573" t="s">
        <v>303</v>
      </c>
      <c r="D80" s="327" t="s">
        <v>282</v>
      </c>
      <c r="E80" s="575" t="s">
        <v>1845</v>
      </c>
      <c r="F80" s="561" t="s">
        <v>109</v>
      </c>
      <c r="G80" s="562" t="s">
        <v>928</v>
      </c>
      <c r="H80" s="563" t="s">
        <v>924</v>
      </c>
      <c r="I80" s="578" t="s">
        <v>925</v>
      </c>
      <c r="J80" s="564" t="s">
        <v>757</v>
      </c>
      <c r="K80" s="561">
        <v>0</v>
      </c>
      <c r="L80" s="338" t="s">
        <v>926</v>
      </c>
      <c r="M80" s="565">
        <v>2</v>
      </c>
      <c r="N80" s="565">
        <v>0</v>
      </c>
      <c r="O80" s="566">
        <f t="shared" si="4"/>
        <v>0</v>
      </c>
      <c r="P80" s="567">
        <f t="shared" si="5"/>
        <v>0</v>
      </c>
      <c r="Q80" s="568" t="e">
        <f t="shared" si="3"/>
        <v>#DIV/0!</v>
      </c>
      <c r="R80" s="676" t="s">
        <v>926</v>
      </c>
    </row>
    <row r="81" spans="1:18" x14ac:dyDescent="0.2">
      <c r="A81" s="558" t="s">
        <v>277</v>
      </c>
      <c r="B81" s="559" t="s">
        <v>914</v>
      </c>
      <c r="C81" s="573" t="s">
        <v>303</v>
      </c>
      <c r="D81" s="327" t="s">
        <v>285</v>
      </c>
      <c r="E81" s="575" t="s">
        <v>1845</v>
      </c>
      <c r="F81" s="561" t="s">
        <v>109</v>
      </c>
      <c r="G81" s="562" t="s">
        <v>928</v>
      </c>
      <c r="H81" s="563" t="s">
        <v>924</v>
      </c>
      <c r="I81" s="578" t="s">
        <v>925</v>
      </c>
      <c r="J81" s="564" t="s">
        <v>757</v>
      </c>
      <c r="K81" s="561">
        <v>0</v>
      </c>
      <c r="L81" s="338" t="s">
        <v>926</v>
      </c>
      <c r="M81" s="565">
        <v>5</v>
      </c>
      <c r="N81" s="565">
        <v>1</v>
      </c>
      <c r="O81" s="566">
        <f t="shared" si="4"/>
        <v>0.2</v>
      </c>
      <c r="P81" s="567">
        <f t="shared" si="5"/>
        <v>0</v>
      </c>
      <c r="Q81" s="568" t="e">
        <f t="shared" si="3"/>
        <v>#DIV/0!</v>
      </c>
      <c r="R81" s="676" t="s">
        <v>926</v>
      </c>
    </row>
    <row r="82" spans="1:18" x14ac:dyDescent="0.2">
      <c r="A82" s="558" t="s">
        <v>277</v>
      </c>
      <c r="B82" s="559" t="s">
        <v>914</v>
      </c>
      <c r="C82" s="573" t="s">
        <v>99</v>
      </c>
      <c r="D82" s="327" t="s">
        <v>300</v>
      </c>
      <c r="E82" s="575" t="s">
        <v>1715</v>
      </c>
      <c r="F82" s="561" t="s">
        <v>109</v>
      </c>
      <c r="G82" s="562" t="s">
        <v>928</v>
      </c>
      <c r="H82" s="563" t="s">
        <v>927</v>
      </c>
      <c r="I82" s="578" t="s">
        <v>925</v>
      </c>
      <c r="J82" s="564" t="s">
        <v>757</v>
      </c>
      <c r="K82" s="561">
        <v>17</v>
      </c>
      <c r="L82" s="338"/>
      <c r="M82" s="565">
        <v>158</v>
      </c>
      <c r="N82" s="565">
        <v>15</v>
      </c>
      <c r="O82" s="566">
        <f t="shared" si="4"/>
        <v>9.49367088607595E-2</v>
      </c>
      <c r="P82" s="567">
        <f t="shared" si="5"/>
        <v>0.5584512285927028</v>
      </c>
      <c r="Q82" s="568">
        <f t="shared" si="3"/>
        <v>0.55845122859270291</v>
      </c>
      <c r="R82" s="675"/>
    </row>
    <row r="83" spans="1:18" x14ac:dyDescent="0.2">
      <c r="A83" s="558" t="s">
        <v>277</v>
      </c>
      <c r="B83" s="559" t="s">
        <v>914</v>
      </c>
      <c r="C83" s="573" t="s">
        <v>99</v>
      </c>
      <c r="D83" s="327" t="s">
        <v>292</v>
      </c>
      <c r="E83" s="575" t="s">
        <v>1715</v>
      </c>
      <c r="F83" s="561" t="s">
        <v>109</v>
      </c>
      <c r="G83" s="562" t="s">
        <v>928</v>
      </c>
      <c r="H83" s="563" t="s">
        <v>924</v>
      </c>
      <c r="I83" s="578" t="s">
        <v>925</v>
      </c>
      <c r="J83" s="564" t="s">
        <v>757</v>
      </c>
      <c r="K83" s="561">
        <v>36</v>
      </c>
      <c r="L83" s="338"/>
      <c r="M83" s="565">
        <v>7</v>
      </c>
      <c r="N83" s="565">
        <v>1</v>
      </c>
      <c r="O83" s="566">
        <f t="shared" si="4"/>
        <v>0.14285714285714285</v>
      </c>
      <c r="P83" s="567">
        <f t="shared" si="5"/>
        <v>0.3968253968253968</v>
      </c>
      <c r="Q83" s="568">
        <f t="shared" si="3"/>
        <v>0.3968253968253968</v>
      </c>
      <c r="R83" s="675"/>
    </row>
    <row r="84" spans="1:18" x14ac:dyDescent="0.2">
      <c r="A84" s="558" t="s">
        <v>277</v>
      </c>
      <c r="B84" s="559" t="s">
        <v>914</v>
      </c>
      <c r="C84" s="573" t="s">
        <v>99</v>
      </c>
      <c r="D84" s="327" t="s">
        <v>294</v>
      </c>
      <c r="E84" s="575" t="s">
        <v>1846</v>
      </c>
      <c r="F84" s="561" t="s">
        <v>109</v>
      </c>
      <c r="G84" s="562" t="s">
        <v>928</v>
      </c>
      <c r="H84" s="563" t="s">
        <v>924</v>
      </c>
      <c r="I84" s="578" t="s">
        <v>925</v>
      </c>
      <c r="J84" s="564" t="s">
        <v>757</v>
      </c>
      <c r="K84" s="561">
        <v>80</v>
      </c>
      <c r="L84" s="338"/>
      <c r="M84" s="565">
        <v>8</v>
      </c>
      <c r="N84" s="565">
        <v>3</v>
      </c>
      <c r="O84" s="566">
        <f t="shared" si="4"/>
        <v>0.375</v>
      </c>
      <c r="P84" s="567">
        <f t="shared" si="5"/>
        <v>0.46875</v>
      </c>
      <c r="Q84" s="568">
        <f t="shared" si="3"/>
        <v>0.46875</v>
      </c>
      <c r="R84" s="675"/>
    </row>
    <row r="85" spans="1:18" x14ac:dyDescent="0.2">
      <c r="A85" s="558" t="s">
        <v>277</v>
      </c>
      <c r="B85" s="559" t="s">
        <v>914</v>
      </c>
      <c r="C85" s="573" t="s">
        <v>99</v>
      </c>
      <c r="D85" s="327" t="s">
        <v>282</v>
      </c>
      <c r="E85" s="575" t="s">
        <v>1846</v>
      </c>
      <c r="F85" s="561" t="s">
        <v>109</v>
      </c>
      <c r="G85" s="562" t="s">
        <v>928</v>
      </c>
      <c r="H85" s="563" t="s">
        <v>924</v>
      </c>
      <c r="I85" s="578" t="s">
        <v>925</v>
      </c>
      <c r="J85" s="564" t="s">
        <v>757</v>
      </c>
      <c r="K85" s="561">
        <v>0</v>
      </c>
      <c r="L85" s="338" t="s">
        <v>926</v>
      </c>
      <c r="M85" s="565">
        <v>4</v>
      </c>
      <c r="N85" s="565">
        <v>1</v>
      </c>
      <c r="O85" s="566">
        <f t="shared" si="4"/>
        <v>0.25</v>
      </c>
      <c r="P85" s="567">
        <f t="shared" si="5"/>
        <v>0</v>
      </c>
      <c r="Q85" s="568" t="e">
        <f t="shared" si="3"/>
        <v>#DIV/0!</v>
      </c>
      <c r="R85" s="676" t="s">
        <v>926</v>
      </c>
    </row>
    <row r="86" spans="1:18" x14ac:dyDescent="0.2">
      <c r="A86" s="558" t="s">
        <v>277</v>
      </c>
      <c r="B86" s="559" t="s">
        <v>914</v>
      </c>
      <c r="C86" s="573" t="s">
        <v>99</v>
      </c>
      <c r="D86" s="327" t="s">
        <v>285</v>
      </c>
      <c r="E86" s="575" t="s">
        <v>1846</v>
      </c>
      <c r="F86" s="561" t="s">
        <v>109</v>
      </c>
      <c r="G86" s="562" t="s">
        <v>928</v>
      </c>
      <c r="H86" s="563" t="s">
        <v>924</v>
      </c>
      <c r="I86" s="578" t="s">
        <v>925</v>
      </c>
      <c r="J86" s="564" t="s">
        <v>757</v>
      </c>
      <c r="K86" s="561">
        <v>0</v>
      </c>
      <c r="L86" s="338" t="s">
        <v>926</v>
      </c>
      <c r="M86" s="565">
        <v>1</v>
      </c>
      <c r="N86" s="565">
        <v>0</v>
      </c>
      <c r="O86" s="566">
        <f t="shared" si="4"/>
        <v>0</v>
      </c>
      <c r="P86" s="567">
        <f t="shared" si="5"/>
        <v>0</v>
      </c>
      <c r="Q86" s="568" t="e">
        <f t="shared" si="3"/>
        <v>#DIV/0!</v>
      </c>
      <c r="R86" s="676" t="s">
        <v>1919</v>
      </c>
    </row>
    <row r="87" spans="1:18" x14ac:dyDescent="0.2">
      <c r="A87" s="558" t="s">
        <v>277</v>
      </c>
      <c r="B87" s="559" t="s">
        <v>914</v>
      </c>
      <c r="C87" s="573" t="s">
        <v>296</v>
      </c>
      <c r="D87" s="327" t="s">
        <v>300</v>
      </c>
      <c r="E87" s="575" t="s">
        <v>1847</v>
      </c>
      <c r="F87" s="561" t="s">
        <v>109</v>
      </c>
      <c r="G87" s="562" t="s">
        <v>928</v>
      </c>
      <c r="H87" s="563" t="s">
        <v>927</v>
      </c>
      <c r="I87" s="578" t="s">
        <v>925</v>
      </c>
      <c r="J87" s="564" t="s">
        <v>757</v>
      </c>
      <c r="K87" s="561">
        <v>13</v>
      </c>
      <c r="L87" s="338"/>
      <c r="M87" s="565">
        <v>0</v>
      </c>
      <c r="N87" s="565">
        <v>0</v>
      </c>
      <c r="O87" s="566">
        <f t="shared" si="4"/>
        <v>0</v>
      </c>
      <c r="P87" s="567">
        <f t="shared" si="5"/>
        <v>0</v>
      </c>
      <c r="Q87" s="568" t="e">
        <f t="shared" si="3"/>
        <v>#DIV/0!</v>
      </c>
      <c r="R87" s="676" t="s">
        <v>1919</v>
      </c>
    </row>
    <row r="88" spans="1:18" x14ac:dyDescent="0.2">
      <c r="A88" s="558" t="s">
        <v>277</v>
      </c>
      <c r="B88" s="559" t="s">
        <v>914</v>
      </c>
      <c r="C88" s="573" t="s">
        <v>296</v>
      </c>
      <c r="D88" s="327" t="s">
        <v>292</v>
      </c>
      <c r="E88" s="575" t="s">
        <v>1847</v>
      </c>
      <c r="F88" s="561" t="s">
        <v>109</v>
      </c>
      <c r="G88" s="562" t="s">
        <v>928</v>
      </c>
      <c r="H88" s="563" t="s">
        <v>924</v>
      </c>
      <c r="I88" s="578" t="s">
        <v>925</v>
      </c>
      <c r="J88" s="564" t="s">
        <v>757</v>
      </c>
      <c r="K88" s="561">
        <v>0</v>
      </c>
      <c r="L88" s="338" t="s">
        <v>926</v>
      </c>
      <c r="M88" s="565">
        <v>3</v>
      </c>
      <c r="N88" s="565">
        <v>1</v>
      </c>
      <c r="O88" s="566">
        <f t="shared" si="4"/>
        <v>0.33333333333333331</v>
      </c>
      <c r="P88" s="567">
        <f t="shared" si="5"/>
        <v>0</v>
      </c>
      <c r="Q88" s="568" t="e">
        <f t="shared" si="3"/>
        <v>#DIV/0!</v>
      </c>
      <c r="R88" s="676" t="s">
        <v>926</v>
      </c>
    </row>
    <row r="89" spans="1:18" x14ac:dyDescent="0.2">
      <c r="A89" s="558" t="s">
        <v>277</v>
      </c>
      <c r="B89" s="559" t="s">
        <v>914</v>
      </c>
      <c r="C89" s="573" t="s">
        <v>296</v>
      </c>
      <c r="D89" s="327" t="s">
        <v>294</v>
      </c>
      <c r="E89" s="575" t="s">
        <v>1848</v>
      </c>
      <c r="F89" s="561" t="s">
        <v>109</v>
      </c>
      <c r="G89" s="562" t="s">
        <v>928</v>
      </c>
      <c r="H89" s="563" t="s">
        <v>924</v>
      </c>
      <c r="I89" s="578" t="s">
        <v>925</v>
      </c>
      <c r="J89" s="564" t="s">
        <v>757</v>
      </c>
      <c r="K89" s="561">
        <v>0</v>
      </c>
      <c r="L89" s="338" t="s">
        <v>926</v>
      </c>
      <c r="M89" s="565">
        <v>1</v>
      </c>
      <c r="N89" s="565">
        <v>0</v>
      </c>
      <c r="O89" s="566">
        <f t="shared" si="4"/>
        <v>0</v>
      </c>
      <c r="P89" s="567">
        <f t="shared" si="5"/>
        <v>0</v>
      </c>
      <c r="Q89" s="568" t="e">
        <f t="shared" si="3"/>
        <v>#DIV/0!</v>
      </c>
      <c r="R89" s="676" t="s">
        <v>926</v>
      </c>
    </row>
    <row r="90" spans="1:18" x14ac:dyDescent="0.2">
      <c r="A90" s="558" t="s">
        <v>277</v>
      </c>
      <c r="B90" s="559" t="s">
        <v>914</v>
      </c>
      <c r="C90" s="573" t="s">
        <v>296</v>
      </c>
      <c r="D90" s="327" t="s">
        <v>282</v>
      </c>
      <c r="E90" s="575" t="s">
        <v>1848</v>
      </c>
      <c r="F90" s="561" t="s">
        <v>109</v>
      </c>
      <c r="G90" s="562" t="s">
        <v>928</v>
      </c>
      <c r="H90" s="563" t="s">
        <v>924</v>
      </c>
      <c r="I90" s="578" t="s">
        <v>925</v>
      </c>
      <c r="J90" s="564" t="s">
        <v>757</v>
      </c>
      <c r="K90" s="561">
        <v>0</v>
      </c>
      <c r="L90" s="338" t="s">
        <v>926</v>
      </c>
      <c r="M90" s="565">
        <v>2</v>
      </c>
      <c r="N90" s="565">
        <v>1</v>
      </c>
      <c r="O90" s="566">
        <f t="shared" si="4"/>
        <v>0.5</v>
      </c>
      <c r="P90" s="567">
        <f t="shared" si="5"/>
        <v>0</v>
      </c>
      <c r="Q90" s="568" t="e">
        <f t="shared" si="3"/>
        <v>#DIV/0!</v>
      </c>
      <c r="R90" s="676" t="s">
        <v>926</v>
      </c>
    </row>
    <row r="91" spans="1:18" x14ac:dyDescent="0.2">
      <c r="A91" s="558" t="s">
        <v>277</v>
      </c>
      <c r="B91" s="559" t="s">
        <v>914</v>
      </c>
      <c r="C91" s="573" t="s">
        <v>296</v>
      </c>
      <c r="D91" s="327" t="s">
        <v>285</v>
      </c>
      <c r="E91" s="575" t="s">
        <v>1715</v>
      </c>
      <c r="F91" s="561" t="s">
        <v>109</v>
      </c>
      <c r="G91" s="562" t="s">
        <v>928</v>
      </c>
      <c r="H91" s="563" t="s">
        <v>924</v>
      </c>
      <c r="I91" s="578" t="s">
        <v>925</v>
      </c>
      <c r="J91" s="564" t="s">
        <v>757</v>
      </c>
      <c r="K91" s="561">
        <v>25</v>
      </c>
      <c r="L91" s="338"/>
      <c r="M91" s="565">
        <v>11</v>
      </c>
      <c r="N91" s="565">
        <v>3</v>
      </c>
      <c r="O91" s="566">
        <f t="shared" si="4"/>
        <v>0.27272727272727271</v>
      </c>
      <c r="P91" s="567">
        <f t="shared" si="5"/>
        <v>1.0909090909090908</v>
      </c>
      <c r="Q91" s="568">
        <f t="shared" si="3"/>
        <v>1.0909090909090908</v>
      </c>
      <c r="R91" s="675"/>
    </row>
    <row r="92" spans="1:18" x14ac:dyDescent="0.2">
      <c r="A92" s="558" t="s">
        <v>277</v>
      </c>
      <c r="B92" s="559" t="s">
        <v>914</v>
      </c>
      <c r="C92" s="573" t="s">
        <v>296</v>
      </c>
      <c r="D92" s="327" t="s">
        <v>298</v>
      </c>
      <c r="E92" s="575" t="s">
        <v>1715</v>
      </c>
      <c r="F92" s="561" t="s">
        <v>109</v>
      </c>
      <c r="G92" s="562" t="s">
        <v>928</v>
      </c>
      <c r="H92" s="563" t="s">
        <v>924</v>
      </c>
      <c r="I92" s="578" t="s">
        <v>925</v>
      </c>
      <c r="J92" s="564" t="s">
        <v>757</v>
      </c>
      <c r="K92" s="561">
        <v>10</v>
      </c>
      <c r="L92" s="338"/>
      <c r="M92" s="565">
        <v>20</v>
      </c>
      <c r="N92" s="565">
        <v>7</v>
      </c>
      <c r="O92" s="566">
        <f t="shared" si="4"/>
        <v>0.35</v>
      </c>
      <c r="P92" s="567">
        <f t="shared" si="5"/>
        <v>3.5</v>
      </c>
      <c r="Q92" s="568">
        <f t="shared" si="3"/>
        <v>3.5</v>
      </c>
      <c r="R92" s="675"/>
    </row>
    <row r="93" spans="1:18" x14ac:dyDescent="0.2">
      <c r="A93" s="558" t="s">
        <v>277</v>
      </c>
      <c r="B93" s="559" t="s">
        <v>914</v>
      </c>
      <c r="C93" s="573" t="s">
        <v>316</v>
      </c>
      <c r="D93" s="327" t="s">
        <v>292</v>
      </c>
      <c r="E93" s="575" t="s">
        <v>1849</v>
      </c>
      <c r="F93" s="561" t="s">
        <v>109</v>
      </c>
      <c r="G93" s="562" t="s">
        <v>928</v>
      </c>
      <c r="H93" s="563" t="s">
        <v>924</v>
      </c>
      <c r="I93" s="578" t="s">
        <v>925</v>
      </c>
      <c r="J93" s="564" t="s">
        <v>757</v>
      </c>
      <c r="K93" s="561">
        <v>0</v>
      </c>
      <c r="L93" s="338" t="s">
        <v>926</v>
      </c>
      <c r="M93" s="565">
        <v>0</v>
      </c>
      <c r="N93" s="565">
        <v>0</v>
      </c>
      <c r="O93" s="566">
        <f t="shared" si="4"/>
        <v>0</v>
      </c>
      <c r="P93" s="567">
        <f t="shared" si="5"/>
        <v>0</v>
      </c>
      <c r="Q93" s="568" t="e">
        <f t="shared" si="3"/>
        <v>#DIV/0!</v>
      </c>
      <c r="R93" s="676" t="s">
        <v>1919</v>
      </c>
    </row>
    <row r="94" spans="1:18" x14ac:dyDescent="0.2">
      <c r="A94" s="558" t="s">
        <v>277</v>
      </c>
      <c r="B94" s="559" t="s">
        <v>914</v>
      </c>
      <c r="C94" s="573" t="s">
        <v>316</v>
      </c>
      <c r="D94" s="327" t="s">
        <v>294</v>
      </c>
      <c r="E94" s="575" t="s">
        <v>1849</v>
      </c>
      <c r="F94" s="561" t="s">
        <v>109</v>
      </c>
      <c r="G94" s="562" t="s">
        <v>928</v>
      </c>
      <c r="H94" s="563" t="s">
        <v>924</v>
      </c>
      <c r="I94" s="578" t="s">
        <v>925</v>
      </c>
      <c r="J94" s="564" t="s">
        <v>757</v>
      </c>
      <c r="K94" s="561">
        <v>0</v>
      </c>
      <c r="L94" s="338" t="s">
        <v>926</v>
      </c>
      <c r="M94" s="565">
        <v>0</v>
      </c>
      <c r="N94" s="565">
        <v>0</v>
      </c>
      <c r="O94" s="566">
        <f t="shared" si="4"/>
        <v>0</v>
      </c>
      <c r="P94" s="567">
        <f t="shared" si="5"/>
        <v>0</v>
      </c>
      <c r="Q94" s="568" t="e">
        <f t="shared" si="3"/>
        <v>#DIV/0!</v>
      </c>
      <c r="R94" s="676" t="s">
        <v>1919</v>
      </c>
    </row>
    <row r="95" spans="1:18" x14ac:dyDescent="0.2">
      <c r="A95" s="558" t="s">
        <v>277</v>
      </c>
      <c r="B95" s="559" t="s">
        <v>914</v>
      </c>
      <c r="C95" s="573" t="s">
        <v>308</v>
      </c>
      <c r="D95" s="327" t="s">
        <v>300</v>
      </c>
      <c r="E95" s="575" t="s">
        <v>1715</v>
      </c>
      <c r="F95" s="561" t="s">
        <v>109</v>
      </c>
      <c r="G95" s="562" t="s">
        <v>928</v>
      </c>
      <c r="H95" s="563" t="s">
        <v>927</v>
      </c>
      <c r="I95" s="578" t="s">
        <v>925</v>
      </c>
      <c r="J95" s="564" t="s">
        <v>757</v>
      </c>
      <c r="K95" s="561">
        <v>38</v>
      </c>
      <c r="L95" s="338"/>
      <c r="M95" s="565">
        <v>51</v>
      </c>
      <c r="N95" s="565">
        <v>3</v>
      </c>
      <c r="O95" s="566">
        <f t="shared" si="4"/>
        <v>5.8823529411764705E-2</v>
      </c>
      <c r="P95" s="567">
        <f t="shared" si="5"/>
        <v>0.15479876160990713</v>
      </c>
      <c r="Q95" s="568">
        <f t="shared" si="3"/>
        <v>0.15479876160990713</v>
      </c>
      <c r="R95" s="675"/>
    </row>
    <row r="96" spans="1:18" x14ac:dyDescent="0.2">
      <c r="A96" s="558" t="s">
        <v>277</v>
      </c>
      <c r="B96" s="559" t="s">
        <v>914</v>
      </c>
      <c r="C96" s="573" t="s">
        <v>308</v>
      </c>
      <c r="D96" s="327" t="s">
        <v>292</v>
      </c>
      <c r="E96" s="575" t="s">
        <v>1850</v>
      </c>
      <c r="F96" s="561" t="s">
        <v>109</v>
      </c>
      <c r="G96" s="562" t="s">
        <v>928</v>
      </c>
      <c r="H96" s="563" t="s">
        <v>924</v>
      </c>
      <c r="I96" s="578" t="s">
        <v>925</v>
      </c>
      <c r="J96" s="564" t="s">
        <v>757</v>
      </c>
      <c r="K96" s="561">
        <v>0</v>
      </c>
      <c r="L96" s="338" t="s">
        <v>926</v>
      </c>
      <c r="M96" s="565">
        <v>7</v>
      </c>
      <c r="N96" s="565">
        <v>2</v>
      </c>
      <c r="O96" s="566">
        <f t="shared" si="4"/>
        <v>0.2857142857142857</v>
      </c>
      <c r="P96" s="567">
        <f t="shared" si="5"/>
        <v>0</v>
      </c>
      <c r="Q96" s="568" t="e">
        <f t="shared" si="3"/>
        <v>#DIV/0!</v>
      </c>
      <c r="R96" s="676" t="s">
        <v>926</v>
      </c>
    </row>
    <row r="97" spans="1:18" x14ac:dyDescent="0.2">
      <c r="A97" s="558" t="s">
        <v>277</v>
      </c>
      <c r="B97" s="559" t="s">
        <v>914</v>
      </c>
      <c r="C97" s="573" t="s">
        <v>308</v>
      </c>
      <c r="D97" s="327" t="s">
        <v>294</v>
      </c>
      <c r="E97" s="575" t="s">
        <v>1850</v>
      </c>
      <c r="F97" s="561" t="s">
        <v>109</v>
      </c>
      <c r="G97" s="562" t="s">
        <v>928</v>
      </c>
      <c r="H97" s="563" t="s">
        <v>924</v>
      </c>
      <c r="I97" s="578" t="s">
        <v>925</v>
      </c>
      <c r="J97" s="564" t="s">
        <v>757</v>
      </c>
      <c r="K97" s="561">
        <v>0</v>
      </c>
      <c r="L97" s="338" t="s">
        <v>926</v>
      </c>
      <c r="M97" s="565">
        <v>1</v>
      </c>
      <c r="N97" s="565">
        <v>0</v>
      </c>
      <c r="O97" s="566">
        <f t="shared" si="4"/>
        <v>0</v>
      </c>
      <c r="P97" s="567">
        <f t="shared" si="5"/>
        <v>0</v>
      </c>
      <c r="Q97" s="568" t="e">
        <f t="shared" si="3"/>
        <v>#DIV/0!</v>
      </c>
      <c r="R97" s="676" t="s">
        <v>926</v>
      </c>
    </row>
    <row r="98" spans="1:18" x14ac:dyDescent="0.2">
      <c r="A98" s="558" t="s">
        <v>277</v>
      </c>
      <c r="B98" s="559" t="s">
        <v>914</v>
      </c>
      <c r="C98" s="573" t="s">
        <v>305</v>
      </c>
      <c r="D98" s="327" t="s">
        <v>300</v>
      </c>
      <c r="E98" s="575" t="s">
        <v>1715</v>
      </c>
      <c r="F98" s="561" t="s">
        <v>109</v>
      </c>
      <c r="G98" s="562" t="s">
        <v>928</v>
      </c>
      <c r="H98" s="563" t="s">
        <v>927</v>
      </c>
      <c r="I98" s="578" t="s">
        <v>925</v>
      </c>
      <c r="J98" s="564" t="s">
        <v>757</v>
      </c>
      <c r="K98" s="561">
        <v>5</v>
      </c>
      <c r="L98" s="338"/>
      <c r="M98" s="565">
        <v>568</v>
      </c>
      <c r="N98" s="565">
        <v>24</v>
      </c>
      <c r="O98" s="566">
        <f t="shared" si="4"/>
        <v>4.2253521126760563E-2</v>
      </c>
      <c r="P98" s="567">
        <f t="shared" si="5"/>
        <v>0.84507042253521125</v>
      </c>
      <c r="Q98" s="568">
        <f t="shared" si="3"/>
        <v>0.84507042253521136</v>
      </c>
      <c r="R98" s="675"/>
    </row>
    <row r="99" spans="1:18" x14ac:dyDescent="0.2">
      <c r="A99" s="558" t="s">
        <v>277</v>
      </c>
      <c r="B99" s="559" t="s">
        <v>914</v>
      </c>
      <c r="C99" s="573" t="s">
        <v>305</v>
      </c>
      <c r="D99" s="327" t="s">
        <v>292</v>
      </c>
      <c r="E99" s="575" t="s">
        <v>1715</v>
      </c>
      <c r="F99" s="561" t="s">
        <v>109</v>
      </c>
      <c r="G99" s="562" t="s">
        <v>928</v>
      </c>
      <c r="H99" s="563" t="s">
        <v>924</v>
      </c>
      <c r="I99" s="578" t="s">
        <v>925</v>
      </c>
      <c r="J99" s="564" t="s">
        <v>757</v>
      </c>
      <c r="K99" s="561">
        <v>32</v>
      </c>
      <c r="L99" s="338"/>
      <c r="M99" s="565">
        <v>85</v>
      </c>
      <c r="N99" s="565">
        <v>22</v>
      </c>
      <c r="O99" s="566">
        <f t="shared" si="4"/>
        <v>0.25882352941176473</v>
      </c>
      <c r="P99" s="567">
        <f t="shared" si="5"/>
        <v>0.80882352941176472</v>
      </c>
      <c r="Q99" s="568">
        <f t="shared" si="3"/>
        <v>0.80882352941176472</v>
      </c>
      <c r="R99" s="675"/>
    </row>
    <row r="100" spans="1:18" x14ac:dyDescent="0.2">
      <c r="A100" s="558" t="s">
        <v>277</v>
      </c>
      <c r="B100" s="559" t="s">
        <v>914</v>
      </c>
      <c r="C100" s="573" t="s">
        <v>305</v>
      </c>
      <c r="D100" s="327" t="s">
        <v>294</v>
      </c>
      <c r="E100" s="575" t="s">
        <v>1851</v>
      </c>
      <c r="F100" s="561" t="s">
        <v>109</v>
      </c>
      <c r="G100" s="562" t="s">
        <v>928</v>
      </c>
      <c r="H100" s="563" t="s">
        <v>924</v>
      </c>
      <c r="I100" s="578" t="s">
        <v>925</v>
      </c>
      <c r="J100" s="564" t="s">
        <v>757</v>
      </c>
      <c r="K100" s="561">
        <v>33</v>
      </c>
      <c r="L100" s="338"/>
      <c r="M100" s="565">
        <v>24</v>
      </c>
      <c r="N100" s="565">
        <v>8</v>
      </c>
      <c r="O100" s="566">
        <f t="shared" si="4"/>
        <v>0.33333333333333331</v>
      </c>
      <c r="P100" s="567">
        <f t="shared" si="5"/>
        <v>1.0101010101010102</v>
      </c>
      <c r="Q100" s="568">
        <f t="shared" si="3"/>
        <v>1.0101010101010102</v>
      </c>
      <c r="R100" s="675"/>
    </row>
    <row r="101" spans="1:18" x14ac:dyDescent="0.2">
      <c r="A101" s="558" t="s">
        <v>277</v>
      </c>
      <c r="B101" s="559" t="s">
        <v>914</v>
      </c>
      <c r="C101" s="573" t="s">
        <v>305</v>
      </c>
      <c r="D101" s="327" t="s">
        <v>285</v>
      </c>
      <c r="E101" s="575" t="s">
        <v>1851</v>
      </c>
      <c r="F101" s="561" t="s">
        <v>109</v>
      </c>
      <c r="G101" s="562" t="s">
        <v>928</v>
      </c>
      <c r="H101" s="563" t="s">
        <v>924</v>
      </c>
      <c r="I101" s="578" t="s">
        <v>925</v>
      </c>
      <c r="J101" s="564" t="s">
        <v>757</v>
      </c>
      <c r="K101" s="561">
        <v>0</v>
      </c>
      <c r="L101" s="338" t="s">
        <v>926</v>
      </c>
      <c r="M101" s="565">
        <v>2</v>
      </c>
      <c r="N101" s="565">
        <v>1</v>
      </c>
      <c r="O101" s="566">
        <f t="shared" si="4"/>
        <v>0.5</v>
      </c>
      <c r="P101" s="567">
        <f t="shared" si="5"/>
        <v>0</v>
      </c>
      <c r="Q101" s="568" t="e">
        <f t="shared" si="3"/>
        <v>#DIV/0!</v>
      </c>
      <c r="R101" s="676" t="s">
        <v>926</v>
      </c>
    </row>
    <row r="102" spans="1:18" x14ac:dyDescent="0.2">
      <c r="A102" s="558" t="s">
        <v>277</v>
      </c>
      <c r="B102" s="559" t="s">
        <v>914</v>
      </c>
      <c r="C102" s="573" t="s">
        <v>97</v>
      </c>
      <c r="D102" s="327" t="s">
        <v>282</v>
      </c>
      <c r="E102" s="575" t="s">
        <v>1843</v>
      </c>
      <c r="F102" s="561" t="s">
        <v>109</v>
      </c>
      <c r="G102" s="562" t="s">
        <v>929</v>
      </c>
      <c r="H102" s="563" t="s">
        <v>924</v>
      </c>
      <c r="I102" s="578" t="s">
        <v>925</v>
      </c>
      <c r="J102" s="564" t="s">
        <v>757</v>
      </c>
      <c r="K102" s="561">
        <v>33</v>
      </c>
      <c r="L102" s="338"/>
      <c r="M102" s="565">
        <v>6</v>
      </c>
      <c r="N102" s="565">
        <v>3</v>
      </c>
      <c r="O102" s="566">
        <f t="shared" si="4"/>
        <v>0.5</v>
      </c>
      <c r="P102" s="567">
        <f t="shared" si="5"/>
        <v>1.5151515151515151</v>
      </c>
      <c r="Q102" s="568">
        <f t="shared" si="3"/>
        <v>1.5151515151515151</v>
      </c>
      <c r="R102" s="676"/>
    </row>
    <row r="103" spans="1:18" x14ac:dyDescent="0.2">
      <c r="A103" s="558" t="s">
        <v>277</v>
      </c>
      <c r="B103" s="559" t="s">
        <v>914</v>
      </c>
      <c r="C103" s="573" t="s">
        <v>97</v>
      </c>
      <c r="D103" s="327" t="s">
        <v>285</v>
      </c>
      <c r="E103" s="575" t="s">
        <v>1843</v>
      </c>
      <c r="F103" s="561" t="s">
        <v>109</v>
      </c>
      <c r="G103" s="562" t="s">
        <v>929</v>
      </c>
      <c r="H103" s="563" t="s">
        <v>924</v>
      </c>
      <c r="I103" s="578" t="s">
        <v>925</v>
      </c>
      <c r="J103" s="564" t="s">
        <v>757</v>
      </c>
      <c r="K103" s="561">
        <v>0</v>
      </c>
      <c r="L103" s="338" t="s">
        <v>926</v>
      </c>
      <c r="M103" s="565">
        <v>8</v>
      </c>
      <c r="N103" s="565">
        <v>0</v>
      </c>
      <c r="O103" s="566">
        <f t="shared" si="4"/>
        <v>0</v>
      </c>
      <c r="P103" s="567">
        <f t="shared" si="5"/>
        <v>0</v>
      </c>
      <c r="Q103" s="568" t="e">
        <f t="shared" si="3"/>
        <v>#DIV/0!</v>
      </c>
      <c r="R103" s="676" t="s">
        <v>926</v>
      </c>
    </row>
    <row r="104" spans="1:18" x14ac:dyDescent="0.2">
      <c r="A104" s="558" t="s">
        <v>277</v>
      </c>
      <c r="B104" s="559" t="s">
        <v>914</v>
      </c>
      <c r="C104" s="573" t="s">
        <v>286</v>
      </c>
      <c r="D104" s="327" t="s">
        <v>300</v>
      </c>
      <c r="E104" s="575" t="s">
        <v>1715</v>
      </c>
      <c r="F104" s="561" t="s">
        <v>109</v>
      </c>
      <c r="G104" s="562" t="s">
        <v>929</v>
      </c>
      <c r="H104" s="563" t="s">
        <v>927</v>
      </c>
      <c r="I104" s="578" t="s">
        <v>925</v>
      </c>
      <c r="J104" s="564" t="s">
        <v>757</v>
      </c>
      <c r="K104" s="561">
        <v>0</v>
      </c>
      <c r="L104" s="338" t="s">
        <v>926</v>
      </c>
      <c r="M104" s="565">
        <v>39</v>
      </c>
      <c r="N104" s="579">
        <v>4</v>
      </c>
      <c r="O104" s="566">
        <f t="shared" si="4"/>
        <v>0.10256410256410256</v>
      </c>
      <c r="P104" s="567">
        <f t="shared" si="5"/>
        <v>0</v>
      </c>
      <c r="Q104" s="568" t="e">
        <f t="shared" si="3"/>
        <v>#DIV/0!</v>
      </c>
      <c r="R104" s="676" t="s">
        <v>926</v>
      </c>
    </row>
    <row r="105" spans="1:18" x14ac:dyDescent="0.2">
      <c r="A105" s="558" t="s">
        <v>277</v>
      </c>
      <c r="B105" s="559" t="s">
        <v>914</v>
      </c>
      <c r="C105" s="573" t="s">
        <v>286</v>
      </c>
      <c r="D105" s="327" t="s">
        <v>292</v>
      </c>
      <c r="E105" s="575" t="s">
        <v>1715</v>
      </c>
      <c r="F105" s="561" t="s">
        <v>109</v>
      </c>
      <c r="G105" s="562" t="s">
        <v>929</v>
      </c>
      <c r="H105" s="563" t="s">
        <v>924</v>
      </c>
      <c r="I105" s="578" t="s">
        <v>925</v>
      </c>
      <c r="J105" s="564" t="s">
        <v>757</v>
      </c>
      <c r="K105" s="561">
        <v>26</v>
      </c>
      <c r="L105" s="338"/>
      <c r="M105" s="565">
        <v>12</v>
      </c>
      <c r="N105" s="579">
        <v>3</v>
      </c>
      <c r="O105" s="566">
        <f t="shared" si="4"/>
        <v>0.25</v>
      </c>
      <c r="P105" s="567">
        <f t="shared" si="5"/>
        <v>0.96153846153846145</v>
      </c>
      <c r="Q105" s="568">
        <f t="shared" si="3"/>
        <v>0.96153846153846145</v>
      </c>
      <c r="R105" s="675"/>
    </row>
    <row r="106" spans="1:18" x14ac:dyDescent="0.2">
      <c r="A106" s="558" t="s">
        <v>277</v>
      </c>
      <c r="B106" s="559" t="s">
        <v>914</v>
      </c>
      <c r="C106" s="573" t="s">
        <v>286</v>
      </c>
      <c r="D106" s="327" t="s">
        <v>294</v>
      </c>
      <c r="E106" s="575" t="s">
        <v>1715</v>
      </c>
      <c r="F106" s="561" t="s">
        <v>109</v>
      </c>
      <c r="G106" s="562" t="s">
        <v>929</v>
      </c>
      <c r="H106" s="563" t="s">
        <v>924</v>
      </c>
      <c r="I106" s="578" t="s">
        <v>925</v>
      </c>
      <c r="J106" s="564" t="s">
        <v>757</v>
      </c>
      <c r="K106" s="561">
        <v>16</v>
      </c>
      <c r="L106" s="338"/>
      <c r="M106" s="565">
        <v>40</v>
      </c>
      <c r="N106" s="579">
        <v>7</v>
      </c>
      <c r="O106" s="566">
        <f t="shared" si="4"/>
        <v>0.17499999999999999</v>
      </c>
      <c r="P106" s="567">
        <f t="shared" si="5"/>
        <v>1.09375</v>
      </c>
      <c r="Q106" s="568">
        <f t="shared" si="3"/>
        <v>1.09375</v>
      </c>
      <c r="R106" s="675"/>
    </row>
    <row r="107" spans="1:18" x14ac:dyDescent="0.2">
      <c r="A107" s="558" t="s">
        <v>277</v>
      </c>
      <c r="B107" s="559" t="s">
        <v>914</v>
      </c>
      <c r="C107" s="573" t="s">
        <v>286</v>
      </c>
      <c r="D107" s="327" t="s">
        <v>282</v>
      </c>
      <c r="E107" s="575" t="s">
        <v>1715</v>
      </c>
      <c r="F107" s="561" t="s">
        <v>109</v>
      </c>
      <c r="G107" s="562" t="s">
        <v>929</v>
      </c>
      <c r="H107" s="563" t="s">
        <v>924</v>
      </c>
      <c r="I107" s="578" t="s">
        <v>925</v>
      </c>
      <c r="J107" s="564" t="s">
        <v>757</v>
      </c>
      <c r="K107" s="561">
        <v>6</v>
      </c>
      <c r="L107" s="338"/>
      <c r="M107" s="565">
        <v>68</v>
      </c>
      <c r="N107" s="579">
        <v>11</v>
      </c>
      <c r="O107" s="566">
        <f t="shared" si="4"/>
        <v>0.16176470588235295</v>
      </c>
      <c r="P107" s="567">
        <f t="shared" si="5"/>
        <v>2.6960784313725488</v>
      </c>
      <c r="Q107" s="568">
        <f t="shared" si="3"/>
        <v>2.6960784313725488</v>
      </c>
      <c r="R107" s="675"/>
    </row>
    <row r="108" spans="1:18" x14ac:dyDescent="0.2">
      <c r="A108" s="558" t="s">
        <v>277</v>
      </c>
      <c r="B108" s="559" t="s">
        <v>914</v>
      </c>
      <c r="C108" s="573" t="s">
        <v>286</v>
      </c>
      <c r="D108" s="327" t="s">
        <v>285</v>
      </c>
      <c r="E108" s="575" t="s">
        <v>1715</v>
      </c>
      <c r="F108" s="561" t="s">
        <v>109</v>
      </c>
      <c r="G108" s="562" t="s">
        <v>929</v>
      </c>
      <c r="H108" s="563" t="s">
        <v>924</v>
      </c>
      <c r="I108" s="578" t="s">
        <v>925</v>
      </c>
      <c r="J108" s="564" t="s">
        <v>757</v>
      </c>
      <c r="K108" s="561">
        <v>8</v>
      </c>
      <c r="L108" s="338"/>
      <c r="M108" s="565">
        <v>47</v>
      </c>
      <c r="N108" s="579">
        <v>8</v>
      </c>
      <c r="O108" s="566">
        <f t="shared" si="4"/>
        <v>0.1702127659574468</v>
      </c>
      <c r="P108" s="567">
        <f t="shared" si="5"/>
        <v>2.1276595744680851</v>
      </c>
      <c r="Q108" s="568">
        <f t="shared" si="3"/>
        <v>2.1276595744680851</v>
      </c>
      <c r="R108" s="675"/>
    </row>
    <row r="109" spans="1:18" x14ac:dyDescent="0.2">
      <c r="A109" s="558" t="s">
        <v>277</v>
      </c>
      <c r="B109" s="559" t="s">
        <v>914</v>
      </c>
      <c r="C109" s="573" t="s">
        <v>303</v>
      </c>
      <c r="D109" s="327" t="s">
        <v>300</v>
      </c>
      <c r="E109" s="575" t="s">
        <v>1715</v>
      </c>
      <c r="F109" s="561" t="s">
        <v>109</v>
      </c>
      <c r="G109" s="562" t="s">
        <v>929</v>
      </c>
      <c r="H109" s="563" t="s">
        <v>927</v>
      </c>
      <c r="I109" s="578" t="s">
        <v>925</v>
      </c>
      <c r="J109" s="564" t="s">
        <v>757</v>
      </c>
      <c r="K109" s="561">
        <v>28.999999999999996</v>
      </c>
      <c r="L109" s="338"/>
      <c r="M109" s="565">
        <v>144</v>
      </c>
      <c r="N109" s="579">
        <v>4</v>
      </c>
      <c r="O109" s="566">
        <f t="shared" si="4"/>
        <v>2.7777777777777776E-2</v>
      </c>
      <c r="P109" s="567">
        <f t="shared" si="5"/>
        <v>9.5785440613026823E-2</v>
      </c>
      <c r="Q109" s="568">
        <f t="shared" si="3"/>
        <v>9.5785440613026837E-2</v>
      </c>
      <c r="R109" s="675"/>
    </row>
    <row r="110" spans="1:18" x14ac:dyDescent="0.2">
      <c r="A110" s="558" t="s">
        <v>277</v>
      </c>
      <c r="B110" s="559" t="s">
        <v>914</v>
      </c>
      <c r="C110" s="573" t="s">
        <v>303</v>
      </c>
      <c r="D110" s="327" t="s">
        <v>292</v>
      </c>
      <c r="E110" s="575" t="s">
        <v>1844</v>
      </c>
      <c r="F110" s="561" t="s">
        <v>109</v>
      </c>
      <c r="G110" s="562" t="s">
        <v>929</v>
      </c>
      <c r="H110" s="563" t="s">
        <v>924</v>
      </c>
      <c r="I110" s="578" t="s">
        <v>925</v>
      </c>
      <c r="J110" s="564" t="s">
        <v>757</v>
      </c>
      <c r="K110" s="561">
        <v>8</v>
      </c>
      <c r="L110" s="338"/>
      <c r="M110" s="565">
        <v>42</v>
      </c>
      <c r="N110" s="579">
        <v>1</v>
      </c>
      <c r="O110" s="566">
        <f t="shared" si="4"/>
        <v>2.3809523809523808E-2</v>
      </c>
      <c r="P110" s="567">
        <f t="shared" si="5"/>
        <v>0.29761904761904762</v>
      </c>
      <c r="Q110" s="568">
        <f t="shared" si="3"/>
        <v>0.29761904761904762</v>
      </c>
      <c r="R110" s="675"/>
    </row>
    <row r="111" spans="1:18" x14ac:dyDescent="0.2">
      <c r="A111" s="558" t="s">
        <v>277</v>
      </c>
      <c r="B111" s="559" t="s">
        <v>914</v>
      </c>
      <c r="C111" s="573" t="s">
        <v>303</v>
      </c>
      <c r="D111" s="327" t="s">
        <v>294</v>
      </c>
      <c r="E111" s="575" t="s">
        <v>1844</v>
      </c>
      <c r="F111" s="561" t="s">
        <v>109</v>
      </c>
      <c r="G111" s="562" t="s">
        <v>929</v>
      </c>
      <c r="H111" s="563" t="s">
        <v>924</v>
      </c>
      <c r="I111" s="578" t="s">
        <v>925</v>
      </c>
      <c r="J111" s="564" t="s">
        <v>757</v>
      </c>
      <c r="K111" s="561">
        <v>0</v>
      </c>
      <c r="L111" s="338" t="s">
        <v>926</v>
      </c>
      <c r="M111" s="565">
        <v>10</v>
      </c>
      <c r="N111" s="579">
        <v>1</v>
      </c>
      <c r="O111" s="566">
        <f t="shared" si="4"/>
        <v>0.1</v>
      </c>
      <c r="P111" s="567">
        <f t="shared" si="5"/>
        <v>0</v>
      </c>
      <c r="Q111" s="568" t="e">
        <f t="shared" si="3"/>
        <v>#DIV/0!</v>
      </c>
      <c r="R111" s="676" t="s">
        <v>926</v>
      </c>
    </row>
    <row r="112" spans="1:18" x14ac:dyDescent="0.2">
      <c r="A112" s="558" t="s">
        <v>277</v>
      </c>
      <c r="B112" s="559" t="s">
        <v>914</v>
      </c>
      <c r="C112" s="573" t="s">
        <v>303</v>
      </c>
      <c r="D112" s="327" t="s">
        <v>282</v>
      </c>
      <c r="E112" s="575" t="s">
        <v>1845</v>
      </c>
      <c r="F112" s="561" t="s">
        <v>109</v>
      </c>
      <c r="G112" s="562" t="s">
        <v>929</v>
      </c>
      <c r="H112" s="563" t="s">
        <v>924</v>
      </c>
      <c r="I112" s="578" t="s">
        <v>925</v>
      </c>
      <c r="J112" s="564" t="s">
        <v>757</v>
      </c>
      <c r="K112" s="561">
        <v>0</v>
      </c>
      <c r="L112" s="338" t="s">
        <v>926</v>
      </c>
      <c r="M112" s="565">
        <v>2</v>
      </c>
      <c r="N112" s="579">
        <v>0</v>
      </c>
      <c r="O112" s="566">
        <f t="shared" si="4"/>
        <v>0</v>
      </c>
      <c r="P112" s="567">
        <f t="shared" si="5"/>
        <v>0</v>
      </c>
      <c r="Q112" s="568" t="e">
        <f t="shared" si="3"/>
        <v>#DIV/0!</v>
      </c>
      <c r="R112" s="676" t="s">
        <v>926</v>
      </c>
    </row>
    <row r="113" spans="1:18" x14ac:dyDescent="0.2">
      <c r="A113" s="558" t="s">
        <v>277</v>
      </c>
      <c r="B113" s="559" t="s">
        <v>914</v>
      </c>
      <c r="C113" s="573" t="s">
        <v>303</v>
      </c>
      <c r="D113" s="327" t="s">
        <v>285</v>
      </c>
      <c r="E113" s="575" t="s">
        <v>1845</v>
      </c>
      <c r="F113" s="561" t="s">
        <v>109</v>
      </c>
      <c r="G113" s="562" t="s">
        <v>929</v>
      </c>
      <c r="H113" s="563" t="s">
        <v>924</v>
      </c>
      <c r="I113" s="578" t="s">
        <v>925</v>
      </c>
      <c r="J113" s="564" t="s">
        <v>757</v>
      </c>
      <c r="K113" s="561">
        <v>0</v>
      </c>
      <c r="L113" s="338" t="s">
        <v>926</v>
      </c>
      <c r="M113" s="565">
        <v>5</v>
      </c>
      <c r="N113" s="579">
        <v>1</v>
      </c>
      <c r="O113" s="566">
        <f t="shared" si="4"/>
        <v>0.2</v>
      </c>
      <c r="P113" s="567">
        <f t="shared" si="5"/>
        <v>0</v>
      </c>
      <c r="Q113" s="568" t="e">
        <f t="shared" si="3"/>
        <v>#DIV/0!</v>
      </c>
      <c r="R113" s="676" t="s">
        <v>926</v>
      </c>
    </row>
    <row r="114" spans="1:18" x14ac:dyDescent="0.2">
      <c r="A114" s="558" t="s">
        <v>277</v>
      </c>
      <c r="B114" s="559" t="s">
        <v>914</v>
      </c>
      <c r="C114" s="573" t="s">
        <v>99</v>
      </c>
      <c r="D114" s="327" t="s">
        <v>300</v>
      </c>
      <c r="E114" s="575" t="s">
        <v>1715</v>
      </c>
      <c r="F114" s="561" t="s">
        <v>109</v>
      </c>
      <c r="G114" s="562" t="s">
        <v>929</v>
      </c>
      <c r="H114" s="563" t="s">
        <v>927</v>
      </c>
      <c r="I114" s="578" t="s">
        <v>925</v>
      </c>
      <c r="J114" s="564" t="s">
        <v>757</v>
      </c>
      <c r="K114" s="561">
        <v>17</v>
      </c>
      <c r="L114" s="338"/>
      <c r="M114" s="565">
        <v>158</v>
      </c>
      <c r="N114" s="579">
        <v>5</v>
      </c>
      <c r="O114" s="566">
        <f t="shared" si="4"/>
        <v>3.1645569620253167E-2</v>
      </c>
      <c r="P114" s="567">
        <f t="shared" si="5"/>
        <v>0.18615040953090095</v>
      </c>
      <c r="Q114" s="568">
        <f t="shared" si="3"/>
        <v>0.18615040953090098</v>
      </c>
      <c r="R114" s="675"/>
    </row>
    <row r="115" spans="1:18" x14ac:dyDescent="0.2">
      <c r="A115" s="558" t="s">
        <v>277</v>
      </c>
      <c r="B115" s="559" t="s">
        <v>914</v>
      </c>
      <c r="C115" s="573" t="s">
        <v>99</v>
      </c>
      <c r="D115" s="327" t="s">
        <v>292</v>
      </c>
      <c r="E115" s="575" t="s">
        <v>1715</v>
      </c>
      <c r="F115" s="561" t="s">
        <v>109</v>
      </c>
      <c r="G115" s="562" t="s">
        <v>929</v>
      </c>
      <c r="H115" s="563" t="s">
        <v>924</v>
      </c>
      <c r="I115" s="578" t="s">
        <v>925</v>
      </c>
      <c r="J115" s="564" t="s">
        <v>757</v>
      </c>
      <c r="K115" s="561">
        <v>36</v>
      </c>
      <c r="L115" s="338"/>
      <c r="M115" s="565">
        <v>7</v>
      </c>
      <c r="N115" s="579">
        <v>1</v>
      </c>
      <c r="O115" s="566">
        <f t="shared" si="4"/>
        <v>0.14285714285714285</v>
      </c>
      <c r="P115" s="567">
        <f t="shared" si="5"/>
        <v>0.3968253968253968</v>
      </c>
      <c r="Q115" s="568">
        <f t="shared" si="3"/>
        <v>0.3968253968253968</v>
      </c>
      <c r="R115" s="675"/>
    </row>
    <row r="116" spans="1:18" x14ac:dyDescent="0.2">
      <c r="A116" s="558" t="s">
        <v>277</v>
      </c>
      <c r="B116" s="559" t="s">
        <v>914</v>
      </c>
      <c r="C116" s="573" t="s">
        <v>99</v>
      </c>
      <c r="D116" s="327" t="s">
        <v>294</v>
      </c>
      <c r="E116" s="575" t="s">
        <v>1846</v>
      </c>
      <c r="F116" s="561" t="s">
        <v>109</v>
      </c>
      <c r="G116" s="562" t="s">
        <v>929</v>
      </c>
      <c r="H116" s="563" t="s">
        <v>924</v>
      </c>
      <c r="I116" s="578" t="s">
        <v>925</v>
      </c>
      <c r="J116" s="564" t="s">
        <v>757</v>
      </c>
      <c r="K116" s="561">
        <v>80</v>
      </c>
      <c r="L116" s="338"/>
      <c r="M116" s="565">
        <v>8</v>
      </c>
      <c r="N116" s="579">
        <v>3</v>
      </c>
      <c r="O116" s="566">
        <f t="shared" si="4"/>
        <v>0.375</v>
      </c>
      <c r="P116" s="567">
        <f t="shared" si="5"/>
        <v>0.46875</v>
      </c>
      <c r="Q116" s="568">
        <f t="shared" si="3"/>
        <v>0.46875</v>
      </c>
      <c r="R116" s="675"/>
    </row>
    <row r="117" spans="1:18" x14ac:dyDescent="0.2">
      <c r="A117" s="558" t="s">
        <v>277</v>
      </c>
      <c r="B117" s="559" t="s">
        <v>914</v>
      </c>
      <c r="C117" s="573" t="s">
        <v>99</v>
      </c>
      <c r="D117" s="327" t="s">
        <v>282</v>
      </c>
      <c r="E117" s="575" t="s">
        <v>1846</v>
      </c>
      <c r="F117" s="561" t="s">
        <v>109</v>
      </c>
      <c r="G117" s="562" t="s">
        <v>929</v>
      </c>
      <c r="H117" s="563" t="s">
        <v>924</v>
      </c>
      <c r="I117" s="578" t="s">
        <v>925</v>
      </c>
      <c r="J117" s="564" t="s">
        <v>757</v>
      </c>
      <c r="K117" s="561">
        <v>0</v>
      </c>
      <c r="L117" s="338" t="s">
        <v>926</v>
      </c>
      <c r="M117" s="565">
        <v>4</v>
      </c>
      <c r="N117" s="579">
        <v>1</v>
      </c>
      <c r="O117" s="566">
        <f t="shared" si="4"/>
        <v>0.25</v>
      </c>
      <c r="P117" s="567">
        <f t="shared" si="5"/>
        <v>0</v>
      </c>
      <c r="Q117" s="568" t="e">
        <f t="shared" si="3"/>
        <v>#DIV/0!</v>
      </c>
      <c r="R117" s="676" t="s">
        <v>926</v>
      </c>
    </row>
    <row r="118" spans="1:18" x14ac:dyDescent="0.2">
      <c r="A118" s="558" t="s">
        <v>277</v>
      </c>
      <c r="B118" s="559" t="s">
        <v>914</v>
      </c>
      <c r="C118" s="573" t="s">
        <v>99</v>
      </c>
      <c r="D118" s="327" t="s">
        <v>285</v>
      </c>
      <c r="E118" s="575" t="s">
        <v>1846</v>
      </c>
      <c r="F118" s="561" t="s">
        <v>109</v>
      </c>
      <c r="G118" s="562" t="s">
        <v>929</v>
      </c>
      <c r="H118" s="563" t="s">
        <v>924</v>
      </c>
      <c r="I118" s="578" t="s">
        <v>925</v>
      </c>
      <c r="J118" s="564" t="s">
        <v>757</v>
      </c>
      <c r="K118" s="561">
        <v>0</v>
      </c>
      <c r="L118" s="338" t="s">
        <v>926</v>
      </c>
      <c r="M118" s="565">
        <v>1</v>
      </c>
      <c r="N118" s="579">
        <v>0</v>
      </c>
      <c r="O118" s="566">
        <f t="shared" si="4"/>
        <v>0</v>
      </c>
      <c r="P118" s="567">
        <f t="shared" si="5"/>
        <v>0</v>
      </c>
      <c r="Q118" s="568" t="e">
        <f t="shared" si="3"/>
        <v>#DIV/0!</v>
      </c>
      <c r="R118" s="676" t="s">
        <v>926</v>
      </c>
    </row>
    <row r="119" spans="1:18" x14ac:dyDescent="0.2">
      <c r="A119" s="558" t="s">
        <v>277</v>
      </c>
      <c r="B119" s="559" t="s">
        <v>914</v>
      </c>
      <c r="C119" s="573" t="s">
        <v>296</v>
      </c>
      <c r="D119" s="327" t="s">
        <v>300</v>
      </c>
      <c r="E119" s="575" t="s">
        <v>1847</v>
      </c>
      <c r="F119" s="561" t="s">
        <v>109</v>
      </c>
      <c r="G119" s="562" t="s">
        <v>929</v>
      </c>
      <c r="H119" s="563" t="s">
        <v>927</v>
      </c>
      <c r="I119" s="578" t="s">
        <v>925</v>
      </c>
      <c r="J119" s="564" t="s">
        <v>757</v>
      </c>
      <c r="K119" s="561">
        <v>13</v>
      </c>
      <c r="L119" s="338"/>
      <c r="M119" s="565">
        <v>0</v>
      </c>
      <c r="N119" s="579">
        <v>0</v>
      </c>
      <c r="O119" s="566">
        <f t="shared" si="4"/>
        <v>0</v>
      </c>
      <c r="P119" s="567">
        <f t="shared" si="5"/>
        <v>0</v>
      </c>
      <c r="Q119" s="568" t="e">
        <f t="shared" si="3"/>
        <v>#DIV/0!</v>
      </c>
      <c r="R119" s="676" t="s">
        <v>1919</v>
      </c>
    </row>
    <row r="120" spans="1:18" x14ac:dyDescent="0.2">
      <c r="A120" s="558" t="s">
        <v>277</v>
      </c>
      <c r="B120" s="559" t="s">
        <v>914</v>
      </c>
      <c r="C120" s="573" t="s">
        <v>296</v>
      </c>
      <c r="D120" s="327" t="s">
        <v>292</v>
      </c>
      <c r="E120" s="575" t="s">
        <v>1847</v>
      </c>
      <c r="F120" s="561" t="s">
        <v>109</v>
      </c>
      <c r="G120" s="562" t="s">
        <v>929</v>
      </c>
      <c r="H120" s="563" t="s">
        <v>924</v>
      </c>
      <c r="I120" s="578" t="s">
        <v>925</v>
      </c>
      <c r="J120" s="564" t="s">
        <v>757</v>
      </c>
      <c r="K120" s="561">
        <v>0</v>
      </c>
      <c r="L120" s="338" t="s">
        <v>926</v>
      </c>
      <c r="M120" s="565">
        <v>3</v>
      </c>
      <c r="N120" s="579">
        <v>1</v>
      </c>
      <c r="O120" s="566">
        <f t="shared" si="4"/>
        <v>0.33333333333333331</v>
      </c>
      <c r="P120" s="567">
        <f t="shared" si="5"/>
        <v>0</v>
      </c>
      <c r="Q120" s="568" t="e">
        <f t="shared" si="3"/>
        <v>#DIV/0!</v>
      </c>
      <c r="R120" s="676" t="s">
        <v>926</v>
      </c>
    </row>
    <row r="121" spans="1:18" x14ac:dyDescent="0.2">
      <c r="A121" s="558" t="s">
        <v>277</v>
      </c>
      <c r="B121" s="559" t="s">
        <v>914</v>
      </c>
      <c r="C121" s="573" t="s">
        <v>296</v>
      </c>
      <c r="D121" s="327" t="s">
        <v>294</v>
      </c>
      <c r="E121" s="575" t="s">
        <v>1848</v>
      </c>
      <c r="F121" s="561" t="s">
        <v>109</v>
      </c>
      <c r="G121" s="562" t="s">
        <v>929</v>
      </c>
      <c r="H121" s="563" t="s">
        <v>924</v>
      </c>
      <c r="I121" s="578" t="s">
        <v>925</v>
      </c>
      <c r="J121" s="564" t="s">
        <v>757</v>
      </c>
      <c r="K121" s="561">
        <v>0</v>
      </c>
      <c r="L121" s="338" t="s">
        <v>926</v>
      </c>
      <c r="M121" s="565">
        <v>1</v>
      </c>
      <c r="N121" s="579">
        <v>0</v>
      </c>
      <c r="O121" s="566">
        <f t="shared" si="4"/>
        <v>0</v>
      </c>
      <c r="P121" s="567">
        <f t="shared" si="5"/>
        <v>0</v>
      </c>
      <c r="Q121" s="568" t="e">
        <f t="shared" si="3"/>
        <v>#DIV/0!</v>
      </c>
      <c r="R121" s="676" t="s">
        <v>926</v>
      </c>
    </row>
    <row r="122" spans="1:18" x14ac:dyDescent="0.2">
      <c r="A122" s="558" t="s">
        <v>277</v>
      </c>
      <c r="B122" s="559" t="s">
        <v>914</v>
      </c>
      <c r="C122" s="573" t="s">
        <v>296</v>
      </c>
      <c r="D122" s="327" t="s">
        <v>282</v>
      </c>
      <c r="E122" s="575" t="s">
        <v>1848</v>
      </c>
      <c r="F122" s="561" t="s">
        <v>109</v>
      </c>
      <c r="G122" s="562" t="s">
        <v>929</v>
      </c>
      <c r="H122" s="563" t="s">
        <v>924</v>
      </c>
      <c r="I122" s="578" t="s">
        <v>925</v>
      </c>
      <c r="J122" s="564" t="s">
        <v>757</v>
      </c>
      <c r="K122" s="561">
        <v>0</v>
      </c>
      <c r="L122" s="338" t="s">
        <v>926</v>
      </c>
      <c r="M122" s="565">
        <v>2</v>
      </c>
      <c r="N122" s="579">
        <v>1</v>
      </c>
      <c r="O122" s="566">
        <f t="shared" si="4"/>
        <v>0.5</v>
      </c>
      <c r="P122" s="567">
        <f t="shared" si="5"/>
        <v>0</v>
      </c>
      <c r="Q122" s="568" t="e">
        <f t="shared" si="3"/>
        <v>#DIV/0!</v>
      </c>
      <c r="R122" s="676" t="s">
        <v>926</v>
      </c>
    </row>
    <row r="123" spans="1:18" x14ac:dyDescent="0.2">
      <c r="A123" s="558" t="s">
        <v>277</v>
      </c>
      <c r="B123" s="559" t="s">
        <v>914</v>
      </c>
      <c r="C123" s="573" t="s">
        <v>296</v>
      </c>
      <c r="D123" s="327" t="s">
        <v>285</v>
      </c>
      <c r="E123" s="575" t="s">
        <v>1715</v>
      </c>
      <c r="F123" s="561" t="s">
        <v>109</v>
      </c>
      <c r="G123" s="562" t="s">
        <v>929</v>
      </c>
      <c r="H123" s="563" t="s">
        <v>924</v>
      </c>
      <c r="I123" s="578" t="s">
        <v>925</v>
      </c>
      <c r="J123" s="564" t="s">
        <v>757</v>
      </c>
      <c r="K123" s="561">
        <v>25</v>
      </c>
      <c r="L123" s="338"/>
      <c r="M123" s="565">
        <v>11</v>
      </c>
      <c r="N123" s="579">
        <v>4</v>
      </c>
      <c r="O123" s="566">
        <f t="shared" si="4"/>
        <v>0.36363636363636365</v>
      </c>
      <c r="P123" s="567">
        <f t="shared" si="5"/>
        <v>1.4545454545454546</v>
      </c>
      <c r="Q123" s="568">
        <f t="shared" si="3"/>
        <v>1.4545454545454546</v>
      </c>
      <c r="R123" s="675"/>
    </row>
    <row r="124" spans="1:18" x14ac:dyDescent="0.2">
      <c r="A124" s="558" t="s">
        <v>277</v>
      </c>
      <c r="B124" s="559" t="s">
        <v>914</v>
      </c>
      <c r="C124" s="573" t="s">
        <v>296</v>
      </c>
      <c r="D124" s="327" t="s">
        <v>298</v>
      </c>
      <c r="E124" s="575" t="s">
        <v>1715</v>
      </c>
      <c r="F124" s="561" t="s">
        <v>109</v>
      </c>
      <c r="G124" s="562" t="s">
        <v>929</v>
      </c>
      <c r="H124" s="563" t="s">
        <v>924</v>
      </c>
      <c r="I124" s="578" t="s">
        <v>925</v>
      </c>
      <c r="J124" s="564" t="s">
        <v>757</v>
      </c>
      <c r="K124" s="561">
        <v>10</v>
      </c>
      <c r="L124" s="338"/>
      <c r="M124" s="565">
        <v>20</v>
      </c>
      <c r="N124" s="579">
        <v>7</v>
      </c>
      <c r="O124" s="566">
        <f t="shared" si="4"/>
        <v>0.35</v>
      </c>
      <c r="P124" s="567">
        <f t="shared" si="5"/>
        <v>3.5</v>
      </c>
      <c r="Q124" s="568">
        <f t="shared" si="3"/>
        <v>3.5</v>
      </c>
      <c r="R124" s="675"/>
    </row>
    <row r="125" spans="1:18" x14ac:dyDescent="0.2">
      <c r="A125" s="558" t="s">
        <v>277</v>
      </c>
      <c r="B125" s="559" t="s">
        <v>914</v>
      </c>
      <c r="C125" s="573" t="s">
        <v>316</v>
      </c>
      <c r="D125" s="327" t="s">
        <v>292</v>
      </c>
      <c r="E125" s="575" t="s">
        <v>1849</v>
      </c>
      <c r="F125" s="561" t="s">
        <v>109</v>
      </c>
      <c r="G125" s="562" t="s">
        <v>929</v>
      </c>
      <c r="H125" s="563" t="s">
        <v>924</v>
      </c>
      <c r="I125" s="578" t="s">
        <v>925</v>
      </c>
      <c r="J125" s="564" t="s">
        <v>757</v>
      </c>
      <c r="K125" s="561">
        <v>0</v>
      </c>
      <c r="L125" s="338" t="s">
        <v>926</v>
      </c>
      <c r="M125" s="565">
        <v>0</v>
      </c>
      <c r="N125" s="579">
        <v>0</v>
      </c>
      <c r="O125" s="566">
        <f t="shared" si="4"/>
        <v>0</v>
      </c>
      <c r="P125" s="567">
        <f t="shared" si="5"/>
        <v>0</v>
      </c>
      <c r="Q125" s="568" t="e">
        <f t="shared" si="3"/>
        <v>#DIV/0!</v>
      </c>
      <c r="R125" s="676" t="s">
        <v>1919</v>
      </c>
    </row>
    <row r="126" spans="1:18" x14ac:dyDescent="0.2">
      <c r="A126" s="558" t="s">
        <v>277</v>
      </c>
      <c r="B126" s="559" t="s">
        <v>914</v>
      </c>
      <c r="C126" s="573" t="s">
        <v>316</v>
      </c>
      <c r="D126" s="327" t="s">
        <v>294</v>
      </c>
      <c r="E126" s="575" t="s">
        <v>1849</v>
      </c>
      <c r="F126" s="561" t="s">
        <v>109</v>
      </c>
      <c r="G126" s="562" t="s">
        <v>929</v>
      </c>
      <c r="H126" s="563" t="s">
        <v>924</v>
      </c>
      <c r="I126" s="578" t="s">
        <v>925</v>
      </c>
      <c r="J126" s="564" t="s">
        <v>757</v>
      </c>
      <c r="K126" s="561">
        <v>0</v>
      </c>
      <c r="L126" s="338" t="s">
        <v>926</v>
      </c>
      <c r="M126" s="565">
        <v>0</v>
      </c>
      <c r="N126" s="579">
        <v>0</v>
      </c>
      <c r="O126" s="566">
        <f t="shared" si="4"/>
        <v>0</v>
      </c>
      <c r="P126" s="567">
        <f t="shared" si="5"/>
        <v>0</v>
      </c>
      <c r="Q126" s="568" t="e">
        <f t="shared" si="3"/>
        <v>#DIV/0!</v>
      </c>
      <c r="R126" s="676" t="s">
        <v>1919</v>
      </c>
    </row>
    <row r="127" spans="1:18" x14ac:dyDescent="0.2">
      <c r="A127" s="558" t="s">
        <v>277</v>
      </c>
      <c r="B127" s="559" t="s">
        <v>914</v>
      </c>
      <c r="C127" s="573" t="s">
        <v>308</v>
      </c>
      <c r="D127" s="327" t="s">
        <v>300</v>
      </c>
      <c r="E127" s="575" t="s">
        <v>1715</v>
      </c>
      <c r="F127" s="561" t="s">
        <v>109</v>
      </c>
      <c r="G127" s="562" t="s">
        <v>929</v>
      </c>
      <c r="H127" s="563" t="s">
        <v>927</v>
      </c>
      <c r="I127" s="578" t="s">
        <v>925</v>
      </c>
      <c r="J127" s="564" t="s">
        <v>757</v>
      </c>
      <c r="K127" s="561">
        <v>38</v>
      </c>
      <c r="L127" s="338"/>
      <c r="M127" s="565">
        <v>51</v>
      </c>
      <c r="N127" s="579">
        <v>1</v>
      </c>
      <c r="O127" s="566">
        <f t="shared" si="4"/>
        <v>1.9607843137254902E-2</v>
      </c>
      <c r="P127" s="567">
        <f t="shared" si="5"/>
        <v>5.1599587203302377E-2</v>
      </c>
      <c r="Q127" s="568">
        <f t="shared" si="3"/>
        <v>5.1599587203302377E-2</v>
      </c>
      <c r="R127" s="675"/>
    </row>
    <row r="128" spans="1:18" x14ac:dyDescent="0.2">
      <c r="A128" s="558" t="s">
        <v>277</v>
      </c>
      <c r="B128" s="559" t="s">
        <v>914</v>
      </c>
      <c r="C128" s="573" t="s">
        <v>308</v>
      </c>
      <c r="D128" s="327" t="s">
        <v>292</v>
      </c>
      <c r="E128" s="575" t="s">
        <v>1850</v>
      </c>
      <c r="F128" s="561" t="s">
        <v>109</v>
      </c>
      <c r="G128" s="562" t="s">
        <v>929</v>
      </c>
      <c r="H128" s="563" t="s">
        <v>924</v>
      </c>
      <c r="I128" s="578" t="s">
        <v>925</v>
      </c>
      <c r="J128" s="564" t="s">
        <v>757</v>
      </c>
      <c r="K128" s="561">
        <v>0</v>
      </c>
      <c r="L128" s="338" t="s">
        <v>926</v>
      </c>
      <c r="M128" s="565">
        <v>7</v>
      </c>
      <c r="N128" s="579">
        <v>2</v>
      </c>
      <c r="O128" s="566">
        <f t="shared" si="4"/>
        <v>0.2857142857142857</v>
      </c>
      <c r="P128" s="567">
        <f t="shared" si="5"/>
        <v>0</v>
      </c>
      <c r="Q128" s="568" t="e">
        <f t="shared" si="3"/>
        <v>#DIV/0!</v>
      </c>
      <c r="R128" s="676" t="s">
        <v>926</v>
      </c>
    </row>
    <row r="129" spans="1:18" x14ac:dyDescent="0.2">
      <c r="A129" s="558" t="s">
        <v>277</v>
      </c>
      <c r="B129" s="559" t="s">
        <v>914</v>
      </c>
      <c r="C129" s="573" t="s">
        <v>308</v>
      </c>
      <c r="D129" s="327" t="s">
        <v>294</v>
      </c>
      <c r="E129" s="575" t="s">
        <v>1850</v>
      </c>
      <c r="F129" s="561" t="s">
        <v>109</v>
      </c>
      <c r="G129" s="562" t="s">
        <v>929</v>
      </c>
      <c r="H129" s="563" t="s">
        <v>924</v>
      </c>
      <c r="I129" s="578" t="s">
        <v>925</v>
      </c>
      <c r="J129" s="564" t="s">
        <v>757</v>
      </c>
      <c r="K129" s="561">
        <v>0</v>
      </c>
      <c r="L129" s="338" t="s">
        <v>926</v>
      </c>
      <c r="M129" s="565">
        <v>1</v>
      </c>
      <c r="N129" s="579">
        <v>0</v>
      </c>
      <c r="O129" s="566">
        <f t="shared" si="4"/>
        <v>0</v>
      </c>
      <c r="P129" s="567">
        <f t="shared" si="5"/>
        <v>0</v>
      </c>
      <c r="Q129" s="568" t="e">
        <f t="shared" si="3"/>
        <v>#DIV/0!</v>
      </c>
      <c r="R129" s="676" t="s">
        <v>926</v>
      </c>
    </row>
    <row r="130" spans="1:18" x14ac:dyDescent="0.2">
      <c r="A130" s="558" t="s">
        <v>277</v>
      </c>
      <c r="B130" s="559" t="s">
        <v>914</v>
      </c>
      <c r="C130" s="573" t="s">
        <v>305</v>
      </c>
      <c r="D130" s="327" t="s">
        <v>300</v>
      </c>
      <c r="E130" s="575" t="s">
        <v>1715</v>
      </c>
      <c r="F130" s="561" t="s">
        <v>109</v>
      </c>
      <c r="G130" s="562" t="s">
        <v>929</v>
      </c>
      <c r="H130" s="563" t="s">
        <v>927</v>
      </c>
      <c r="I130" s="578" t="s">
        <v>925</v>
      </c>
      <c r="J130" s="564" t="s">
        <v>757</v>
      </c>
      <c r="K130" s="561">
        <v>5</v>
      </c>
      <c r="L130" s="338"/>
      <c r="M130" s="565">
        <v>568</v>
      </c>
      <c r="N130" s="579">
        <v>15</v>
      </c>
      <c r="O130" s="566">
        <f t="shared" si="4"/>
        <v>2.6408450704225352E-2</v>
      </c>
      <c r="P130" s="567">
        <f t="shared" si="5"/>
        <v>0.528169014084507</v>
      </c>
      <c r="Q130" s="568">
        <f t="shared" si="3"/>
        <v>0.52816901408450712</v>
      </c>
      <c r="R130" s="675"/>
    </row>
    <row r="131" spans="1:18" x14ac:dyDescent="0.2">
      <c r="A131" s="558" t="s">
        <v>277</v>
      </c>
      <c r="B131" s="559" t="s">
        <v>914</v>
      </c>
      <c r="C131" s="573" t="s">
        <v>305</v>
      </c>
      <c r="D131" s="327" t="s">
        <v>292</v>
      </c>
      <c r="E131" s="575" t="s">
        <v>1715</v>
      </c>
      <c r="F131" s="561" t="s">
        <v>109</v>
      </c>
      <c r="G131" s="562" t="s">
        <v>929</v>
      </c>
      <c r="H131" s="563" t="s">
        <v>924</v>
      </c>
      <c r="I131" s="578" t="s">
        <v>925</v>
      </c>
      <c r="J131" s="564" t="s">
        <v>757</v>
      </c>
      <c r="K131" s="561">
        <v>32</v>
      </c>
      <c r="L131" s="338"/>
      <c r="M131" s="565">
        <v>85</v>
      </c>
      <c r="N131" s="579">
        <v>16</v>
      </c>
      <c r="O131" s="566">
        <f t="shared" si="4"/>
        <v>0.18823529411764706</v>
      </c>
      <c r="P131" s="567">
        <f t="shared" si="5"/>
        <v>0.58823529411764708</v>
      </c>
      <c r="Q131" s="568">
        <f t="shared" si="3"/>
        <v>0.58823529411764708</v>
      </c>
      <c r="R131" s="675"/>
    </row>
    <row r="132" spans="1:18" x14ac:dyDescent="0.2">
      <c r="A132" s="558" t="s">
        <v>277</v>
      </c>
      <c r="B132" s="559" t="s">
        <v>914</v>
      </c>
      <c r="C132" s="573" t="s">
        <v>305</v>
      </c>
      <c r="D132" s="327" t="s">
        <v>294</v>
      </c>
      <c r="E132" s="575" t="s">
        <v>1851</v>
      </c>
      <c r="F132" s="561" t="s">
        <v>109</v>
      </c>
      <c r="G132" s="562" t="s">
        <v>929</v>
      </c>
      <c r="H132" s="563" t="s">
        <v>924</v>
      </c>
      <c r="I132" s="578" t="s">
        <v>925</v>
      </c>
      <c r="J132" s="564" t="s">
        <v>757</v>
      </c>
      <c r="K132" s="561">
        <v>33</v>
      </c>
      <c r="L132" s="338"/>
      <c r="M132" s="565">
        <v>24</v>
      </c>
      <c r="N132" s="579">
        <v>4</v>
      </c>
      <c r="O132" s="566">
        <f t="shared" si="4"/>
        <v>0.16666666666666666</v>
      </c>
      <c r="P132" s="567">
        <f t="shared" si="5"/>
        <v>0.50505050505050508</v>
      </c>
      <c r="Q132" s="568">
        <f t="shared" si="3"/>
        <v>0.50505050505050508</v>
      </c>
      <c r="R132" s="675"/>
    </row>
    <row r="133" spans="1:18" x14ac:dyDescent="0.2">
      <c r="A133" s="558" t="s">
        <v>277</v>
      </c>
      <c r="B133" s="559" t="s">
        <v>914</v>
      </c>
      <c r="C133" s="573" t="s">
        <v>305</v>
      </c>
      <c r="D133" s="327" t="s">
        <v>285</v>
      </c>
      <c r="E133" s="575" t="s">
        <v>1851</v>
      </c>
      <c r="F133" s="561" t="s">
        <v>109</v>
      </c>
      <c r="G133" s="562" t="s">
        <v>929</v>
      </c>
      <c r="H133" s="563" t="s">
        <v>924</v>
      </c>
      <c r="I133" s="578" t="s">
        <v>925</v>
      </c>
      <c r="J133" s="564" t="s">
        <v>757</v>
      </c>
      <c r="K133" s="561">
        <v>0</v>
      </c>
      <c r="L133" s="338" t="s">
        <v>926</v>
      </c>
      <c r="M133" s="565">
        <v>2</v>
      </c>
      <c r="N133" s="579">
        <v>1</v>
      </c>
      <c r="O133" s="566">
        <f t="shared" si="4"/>
        <v>0.5</v>
      </c>
      <c r="P133" s="567">
        <f t="shared" si="5"/>
        <v>0</v>
      </c>
      <c r="Q133" s="568" t="e">
        <f t="shared" ref="Q133:Q196" si="6">N133/(M133*K133/100)</f>
        <v>#DIV/0!</v>
      </c>
      <c r="R133" s="676" t="s">
        <v>926</v>
      </c>
    </row>
    <row r="134" spans="1:18" x14ac:dyDescent="0.2">
      <c r="A134" s="558" t="s">
        <v>277</v>
      </c>
      <c r="B134" s="559" t="s">
        <v>914</v>
      </c>
      <c r="C134" s="573" t="s">
        <v>97</v>
      </c>
      <c r="D134" s="327" t="s">
        <v>282</v>
      </c>
      <c r="E134" s="575" t="s">
        <v>1843</v>
      </c>
      <c r="F134" s="561" t="s">
        <v>109</v>
      </c>
      <c r="G134" s="562" t="s">
        <v>930</v>
      </c>
      <c r="H134" s="563" t="s">
        <v>924</v>
      </c>
      <c r="I134" s="578" t="s">
        <v>925</v>
      </c>
      <c r="J134" s="564" t="s">
        <v>757</v>
      </c>
      <c r="K134" s="561">
        <v>33</v>
      </c>
      <c r="L134" s="338"/>
      <c r="M134" s="565">
        <v>6</v>
      </c>
      <c r="N134" s="565">
        <v>3</v>
      </c>
      <c r="O134" s="566">
        <f t="shared" ref="O134:O197" si="7">IFERROR(N134/M134,0)</f>
        <v>0.5</v>
      </c>
      <c r="P134" s="567">
        <f t="shared" ref="P134:P197" si="8">IFERROR(N134/(M134*(K134/100)),0)</f>
        <v>1.5151515151515151</v>
      </c>
      <c r="Q134" s="568">
        <f t="shared" si="6"/>
        <v>1.5151515151515151</v>
      </c>
      <c r="R134" s="675"/>
    </row>
    <row r="135" spans="1:18" x14ac:dyDescent="0.2">
      <c r="A135" s="558" t="s">
        <v>277</v>
      </c>
      <c r="B135" s="559" t="s">
        <v>914</v>
      </c>
      <c r="C135" s="573" t="s">
        <v>97</v>
      </c>
      <c r="D135" s="327" t="s">
        <v>285</v>
      </c>
      <c r="E135" s="575" t="s">
        <v>1843</v>
      </c>
      <c r="F135" s="561" t="s">
        <v>109</v>
      </c>
      <c r="G135" s="562" t="s">
        <v>930</v>
      </c>
      <c r="H135" s="563" t="s">
        <v>924</v>
      </c>
      <c r="I135" s="578" t="s">
        <v>925</v>
      </c>
      <c r="J135" s="564" t="s">
        <v>757</v>
      </c>
      <c r="K135" s="561">
        <v>0</v>
      </c>
      <c r="L135" s="338" t="s">
        <v>926</v>
      </c>
      <c r="M135" s="565">
        <v>8</v>
      </c>
      <c r="N135" s="565">
        <v>7</v>
      </c>
      <c r="O135" s="566">
        <f t="shared" si="7"/>
        <v>0.875</v>
      </c>
      <c r="P135" s="567">
        <f t="shared" si="8"/>
        <v>0</v>
      </c>
      <c r="Q135" s="568" t="e">
        <f t="shared" si="6"/>
        <v>#DIV/0!</v>
      </c>
      <c r="R135" s="676" t="s">
        <v>926</v>
      </c>
    </row>
    <row r="136" spans="1:18" x14ac:dyDescent="0.2">
      <c r="A136" s="558" t="s">
        <v>277</v>
      </c>
      <c r="B136" s="559" t="s">
        <v>914</v>
      </c>
      <c r="C136" s="573" t="s">
        <v>286</v>
      </c>
      <c r="D136" s="327" t="s">
        <v>300</v>
      </c>
      <c r="E136" s="575" t="s">
        <v>1715</v>
      </c>
      <c r="F136" s="561" t="s">
        <v>109</v>
      </c>
      <c r="G136" s="562" t="s">
        <v>930</v>
      </c>
      <c r="H136" s="563" t="s">
        <v>927</v>
      </c>
      <c r="I136" s="578" t="s">
        <v>925</v>
      </c>
      <c r="J136" s="564" t="s">
        <v>757</v>
      </c>
      <c r="K136" s="561">
        <v>0</v>
      </c>
      <c r="L136" s="338" t="s">
        <v>926</v>
      </c>
      <c r="M136" s="565">
        <v>39</v>
      </c>
      <c r="N136" s="565">
        <v>5</v>
      </c>
      <c r="O136" s="566">
        <f t="shared" si="7"/>
        <v>0.12820512820512819</v>
      </c>
      <c r="P136" s="567">
        <f t="shared" si="8"/>
        <v>0</v>
      </c>
      <c r="Q136" s="568" t="e">
        <f t="shared" si="6"/>
        <v>#DIV/0!</v>
      </c>
      <c r="R136" s="676" t="s">
        <v>926</v>
      </c>
    </row>
    <row r="137" spans="1:18" x14ac:dyDescent="0.2">
      <c r="A137" s="558" t="s">
        <v>277</v>
      </c>
      <c r="B137" s="559" t="s">
        <v>914</v>
      </c>
      <c r="C137" s="573" t="s">
        <v>286</v>
      </c>
      <c r="D137" s="327" t="s">
        <v>292</v>
      </c>
      <c r="E137" s="575" t="s">
        <v>1715</v>
      </c>
      <c r="F137" s="561" t="s">
        <v>109</v>
      </c>
      <c r="G137" s="562" t="s">
        <v>930</v>
      </c>
      <c r="H137" s="563" t="s">
        <v>924</v>
      </c>
      <c r="I137" s="578" t="s">
        <v>925</v>
      </c>
      <c r="J137" s="564" t="s">
        <v>757</v>
      </c>
      <c r="K137" s="561">
        <v>26</v>
      </c>
      <c r="L137" s="338"/>
      <c r="M137" s="565">
        <v>12</v>
      </c>
      <c r="N137" s="565">
        <v>4</v>
      </c>
      <c r="O137" s="566">
        <f t="shared" si="7"/>
        <v>0.33333333333333331</v>
      </c>
      <c r="P137" s="567">
        <f t="shared" si="8"/>
        <v>1.2820512820512819</v>
      </c>
      <c r="Q137" s="568">
        <f t="shared" si="6"/>
        <v>1.2820512820512819</v>
      </c>
      <c r="R137" s="675"/>
    </row>
    <row r="138" spans="1:18" x14ac:dyDescent="0.2">
      <c r="A138" s="558" t="s">
        <v>277</v>
      </c>
      <c r="B138" s="559" t="s">
        <v>914</v>
      </c>
      <c r="C138" s="573" t="s">
        <v>286</v>
      </c>
      <c r="D138" s="327" t="s">
        <v>294</v>
      </c>
      <c r="E138" s="575" t="s">
        <v>1715</v>
      </c>
      <c r="F138" s="561" t="s">
        <v>109</v>
      </c>
      <c r="G138" s="562" t="s">
        <v>930</v>
      </c>
      <c r="H138" s="563" t="s">
        <v>924</v>
      </c>
      <c r="I138" s="578" t="s">
        <v>925</v>
      </c>
      <c r="J138" s="564" t="s">
        <v>757</v>
      </c>
      <c r="K138" s="561">
        <v>16</v>
      </c>
      <c r="L138" s="338"/>
      <c r="M138" s="565">
        <v>40</v>
      </c>
      <c r="N138" s="565">
        <v>7</v>
      </c>
      <c r="O138" s="566">
        <f t="shared" si="7"/>
        <v>0.17499999999999999</v>
      </c>
      <c r="P138" s="567">
        <f t="shared" si="8"/>
        <v>1.09375</v>
      </c>
      <c r="Q138" s="568">
        <f t="shared" si="6"/>
        <v>1.09375</v>
      </c>
      <c r="R138" s="675"/>
    </row>
    <row r="139" spans="1:18" x14ac:dyDescent="0.2">
      <c r="A139" s="558" t="s">
        <v>277</v>
      </c>
      <c r="B139" s="559" t="s">
        <v>914</v>
      </c>
      <c r="C139" s="573" t="s">
        <v>286</v>
      </c>
      <c r="D139" s="327" t="s">
        <v>282</v>
      </c>
      <c r="E139" s="575" t="s">
        <v>1715</v>
      </c>
      <c r="F139" s="561" t="s">
        <v>109</v>
      </c>
      <c r="G139" s="562" t="s">
        <v>930</v>
      </c>
      <c r="H139" s="563" t="s">
        <v>924</v>
      </c>
      <c r="I139" s="578" t="s">
        <v>925</v>
      </c>
      <c r="J139" s="564" t="s">
        <v>757</v>
      </c>
      <c r="K139" s="561">
        <v>6</v>
      </c>
      <c r="L139" s="338"/>
      <c r="M139" s="565">
        <v>68</v>
      </c>
      <c r="N139" s="565">
        <v>9</v>
      </c>
      <c r="O139" s="566">
        <f t="shared" si="7"/>
        <v>0.13235294117647059</v>
      </c>
      <c r="P139" s="567">
        <f t="shared" si="8"/>
        <v>2.2058823529411766</v>
      </c>
      <c r="Q139" s="568">
        <f t="shared" si="6"/>
        <v>2.2058823529411766</v>
      </c>
      <c r="R139" s="675"/>
    </row>
    <row r="140" spans="1:18" x14ac:dyDescent="0.2">
      <c r="A140" s="558" t="s">
        <v>277</v>
      </c>
      <c r="B140" s="559" t="s">
        <v>914</v>
      </c>
      <c r="C140" s="573" t="s">
        <v>286</v>
      </c>
      <c r="D140" s="327" t="s">
        <v>285</v>
      </c>
      <c r="E140" s="575" t="s">
        <v>1715</v>
      </c>
      <c r="F140" s="561" t="s">
        <v>109</v>
      </c>
      <c r="G140" s="562" t="s">
        <v>930</v>
      </c>
      <c r="H140" s="563" t="s">
        <v>924</v>
      </c>
      <c r="I140" s="578" t="s">
        <v>925</v>
      </c>
      <c r="J140" s="564" t="s">
        <v>757</v>
      </c>
      <c r="K140" s="561">
        <v>8</v>
      </c>
      <c r="L140" s="338"/>
      <c r="M140" s="565">
        <v>47</v>
      </c>
      <c r="N140" s="565">
        <v>12</v>
      </c>
      <c r="O140" s="566">
        <f t="shared" si="7"/>
        <v>0.25531914893617019</v>
      </c>
      <c r="P140" s="567">
        <f t="shared" si="8"/>
        <v>3.1914893617021276</v>
      </c>
      <c r="Q140" s="568">
        <f t="shared" si="6"/>
        <v>3.191489361702128</v>
      </c>
      <c r="R140" s="675"/>
    </row>
    <row r="141" spans="1:18" x14ac:dyDescent="0.2">
      <c r="A141" s="558" t="s">
        <v>277</v>
      </c>
      <c r="B141" s="559" t="s">
        <v>914</v>
      </c>
      <c r="C141" s="573" t="s">
        <v>303</v>
      </c>
      <c r="D141" s="327" t="s">
        <v>300</v>
      </c>
      <c r="E141" s="575" t="s">
        <v>1715</v>
      </c>
      <c r="F141" s="561" t="s">
        <v>109</v>
      </c>
      <c r="G141" s="562" t="s">
        <v>930</v>
      </c>
      <c r="H141" s="563" t="s">
        <v>927</v>
      </c>
      <c r="I141" s="578" t="s">
        <v>925</v>
      </c>
      <c r="J141" s="564" t="s">
        <v>757</v>
      </c>
      <c r="K141" s="561">
        <v>28.999999999999996</v>
      </c>
      <c r="L141" s="338"/>
      <c r="M141" s="565">
        <v>144</v>
      </c>
      <c r="N141" s="565">
        <v>7</v>
      </c>
      <c r="O141" s="566">
        <f t="shared" si="7"/>
        <v>4.8611111111111112E-2</v>
      </c>
      <c r="P141" s="567">
        <f t="shared" si="8"/>
        <v>0.16762452107279693</v>
      </c>
      <c r="Q141" s="568">
        <f t="shared" si="6"/>
        <v>0.16762452107279696</v>
      </c>
      <c r="R141" s="675"/>
    </row>
    <row r="142" spans="1:18" x14ac:dyDescent="0.2">
      <c r="A142" s="558" t="s">
        <v>277</v>
      </c>
      <c r="B142" s="559" t="s">
        <v>914</v>
      </c>
      <c r="C142" s="573" t="s">
        <v>303</v>
      </c>
      <c r="D142" s="327" t="s">
        <v>292</v>
      </c>
      <c r="E142" s="575" t="s">
        <v>1844</v>
      </c>
      <c r="F142" s="561" t="s">
        <v>109</v>
      </c>
      <c r="G142" s="562" t="s">
        <v>930</v>
      </c>
      <c r="H142" s="563" t="s">
        <v>924</v>
      </c>
      <c r="I142" s="578" t="s">
        <v>925</v>
      </c>
      <c r="J142" s="564" t="s">
        <v>757</v>
      </c>
      <c r="K142" s="561">
        <v>8</v>
      </c>
      <c r="L142" s="338"/>
      <c r="M142" s="565">
        <v>42</v>
      </c>
      <c r="N142" s="565">
        <v>6</v>
      </c>
      <c r="O142" s="566">
        <f t="shared" si="7"/>
        <v>0.14285714285714285</v>
      </c>
      <c r="P142" s="567">
        <f t="shared" si="8"/>
        <v>1.7857142857142858</v>
      </c>
      <c r="Q142" s="568">
        <f t="shared" si="6"/>
        <v>1.7857142857142858</v>
      </c>
      <c r="R142" s="675"/>
    </row>
    <row r="143" spans="1:18" x14ac:dyDescent="0.2">
      <c r="A143" s="558" t="s">
        <v>277</v>
      </c>
      <c r="B143" s="559" t="s">
        <v>914</v>
      </c>
      <c r="C143" s="573" t="s">
        <v>303</v>
      </c>
      <c r="D143" s="327" t="s">
        <v>294</v>
      </c>
      <c r="E143" s="575" t="s">
        <v>1844</v>
      </c>
      <c r="F143" s="561" t="s">
        <v>109</v>
      </c>
      <c r="G143" s="562" t="s">
        <v>930</v>
      </c>
      <c r="H143" s="563" t="s">
        <v>924</v>
      </c>
      <c r="I143" s="578" t="s">
        <v>925</v>
      </c>
      <c r="J143" s="564" t="s">
        <v>757</v>
      </c>
      <c r="K143" s="561">
        <v>0</v>
      </c>
      <c r="L143" s="338" t="s">
        <v>926</v>
      </c>
      <c r="M143" s="565">
        <v>10</v>
      </c>
      <c r="N143" s="565">
        <v>0</v>
      </c>
      <c r="O143" s="566">
        <f t="shared" si="7"/>
        <v>0</v>
      </c>
      <c r="P143" s="567">
        <f t="shared" si="8"/>
        <v>0</v>
      </c>
      <c r="Q143" s="568" t="e">
        <f t="shared" si="6"/>
        <v>#DIV/0!</v>
      </c>
      <c r="R143" s="676" t="s">
        <v>926</v>
      </c>
    </row>
    <row r="144" spans="1:18" x14ac:dyDescent="0.2">
      <c r="A144" s="558" t="s">
        <v>277</v>
      </c>
      <c r="B144" s="559" t="s">
        <v>914</v>
      </c>
      <c r="C144" s="573" t="s">
        <v>303</v>
      </c>
      <c r="D144" s="327" t="s">
        <v>282</v>
      </c>
      <c r="E144" s="575" t="s">
        <v>1845</v>
      </c>
      <c r="F144" s="561" t="s">
        <v>109</v>
      </c>
      <c r="G144" s="562" t="s">
        <v>930</v>
      </c>
      <c r="H144" s="563" t="s">
        <v>924</v>
      </c>
      <c r="I144" s="578" t="s">
        <v>925</v>
      </c>
      <c r="J144" s="564" t="s">
        <v>757</v>
      </c>
      <c r="K144" s="561">
        <v>0</v>
      </c>
      <c r="L144" s="338" t="s">
        <v>926</v>
      </c>
      <c r="M144" s="565">
        <v>2</v>
      </c>
      <c r="N144" s="565">
        <v>0</v>
      </c>
      <c r="O144" s="566">
        <f t="shared" si="7"/>
        <v>0</v>
      </c>
      <c r="P144" s="567">
        <f t="shared" si="8"/>
        <v>0</v>
      </c>
      <c r="Q144" s="568" t="e">
        <f t="shared" si="6"/>
        <v>#DIV/0!</v>
      </c>
      <c r="R144" s="676" t="s">
        <v>926</v>
      </c>
    </row>
    <row r="145" spans="1:18" x14ac:dyDescent="0.2">
      <c r="A145" s="558" t="s">
        <v>277</v>
      </c>
      <c r="B145" s="559" t="s">
        <v>914</v>
      </c>
      <c r="C145" s="573" t="s">
        <v>303</v>
      </c>
      <c r="D145" s="327" t="s">
        <v>285</v>
      </c>
      <c r="E145" s="575" t="s">
        <v>1845</v>
      </c>
      <c r="F145" s="561" t="s">
        <v>109</v>
      </c>
      <c r="G145" s="562" t="s">
        <v>930</v>
      </c>
      <c r="H145" s="563" t="s">
        <v>924</v>
      </c>
      <c r="I145" s="578" t="s">
        <v>925</v>
      </c>
      <c r="J145" s="564" t="s">
        <v>757</v>
      </c>
      <c r="K145" s="561">
        <v>0</v>
      </c>
      <c r="L145" s="338" t="s">
        <v>926</v>
      </c>
      <c r="M145" s="565">
        <v>5</v>
      </c>
      <c r="N145" s="565">
        <v>1</v>
      </c>
      <c r="O145" s="566">
        <f t="shared" si="7"/>
        <v>0.2</v>
      </c>
      <c r="P145" s="567">
        <f t="shared" si="8"/>
        <v>0</v>
      </c>
      <c r="Q145" s="568" t="e">
        <f t="shared" si="6"/>
        <v>#DIV/0!</v>
      </c>
      <c r="R145" s="676" t="s">
        <v>926</v>
      </c>
    </row>
    <row r="146" spans="1:18" x14ac:dyDescent="0.2">
      <c r="A146" s="558" t="s">
        <v>277</v>
      </c>
      <c r="B146" s="559" t="s">
        <v>914</v>
      </c>
      <c r="C146" s="573" t="s">
        <v>99</v>
      </c>
      <c r="D146" s="327" t="s">
        <v>300</v>
      </c>
      <c r="E146" s="575" t="s">
        <v>1715</v>
      </c>
      <c r="F146" s="561" t="s">
        <v>109</v>
      </c>
      <c r="G146" s="562" t="s">
        <v>930</v>
      </c>
      <c r="H146" s="563" t="s">
        <v>927</v>
      </c>
      <c r="I146" s="578" t="s">
        <v>925</v>
      </c>
      <c r="J146" s="564" t="s">
        <v>757</v>
      </c>
      <c r="K146" s="561">
        <v>17</v>
      </c>
      <c r="L146" s="338"/>
      <c r="M146" s="565">
        <v>158</v>
      </c>
      <c r="N146" s="565">
        <v>15</v>
      </c>
      <c r="O146" s="566">
        <f t="shared" si="7"/>
        <v>9.49367088607595E-2</v>
      </c>
      <c r="P146" s="567">
        <f t="shared" si="8"/>
        <v>0.5584512285927028</v>
      </c>
      <c r="Q146" s="568">
        <f t="shared" si="6"/>
        <v>0.55845122859270291</v>
      </c>
      <c r="R146" s="675"/>
    </row>
    <row r="147" spans="1:18" x14ac:dyDescent="0.2">
      <c r="A147" s="558" t="s">
        <v>277</v>
      </c>
      <c r="B147" s="559" t="s">
        <v>914</v>
      </c>
      <c r="C147" s="573" t="s">
        <v>99</v>
      </c>
      <c r="D147" s="327" t="s">
        <v>292</v>
      </c>
      <c r="E147" s="575" t="s">
        <v>1715</v>
      </c>
      <c r="F147" s="561" t="s">
        <v>109</v>
      </c>
      <c r="G147" s="562" t="s">
        <v>930</v>
      </c>
      <c r="H147" s="563" t="s">
        <v>924</v>
      </c>
      <c r="I147" s="578" t="s">
        <v>925</v>
      </c>
      <c r="J147" s="564" t="s">
        <v>757</v>
      </c>
      <c r="K147" s="561">
        <v>36</v>
      </c>
      <c r="L147" s="338"/>
      <c r="M147" s="565">
        <v>7</v>
      </c>
      <c r="N147" s="565">
        <v>1</v>
      </c>
      <c r="O147" s="566">
        <f t="shared" si="7"/>
        <v>0.14285714285714285</v>
      </c>
      <c r="P147" s="567">
        <f t="shared" si="8"/>
        <v>0.3968253968253968</v>
      </c>
      <c r="Q147" s="568">
        <f t="shared" si="6"/>
        <v>0.3968253968253968</v>
      </c>
      <c r="R147" s="675"/>
    </row>
    <row r="148" spans="1:18" x14ac:dyDescent="0.2">
      <c r="A148" s="558" t="s">
        <v>277</v>
      </c>
      <c r="B148" s="559" t="s">
        <v>914</v>
      </c>
      <c r="C148" s="573" t="s">
        <v>99</v>
      </c>
      <c r="D148" s="327" t="s">
        <v>294</v>
      </c>
      <c r="E148" s="575" t="s">
        <v>1846</v>
      </c>
      <c r="F148" s="561" t="s">
        <v>109</v>
      </c>
      <c r="G148" s="562" t="s">
        <v>930</v>
      </c>
      <c r="H148" s="563" t="s">
        <v>924</v>
      </c>
      <c r="I148" s="578" t="s">
        <v>925</v>
      </c>
      <c r="J148" s="564" t="s">
        <v>757</v>
      </c>
      <c r="K148" s="561">
        <v>80</v>
      </c>
      <c r="L148" s="338"/>
      <c r="M148" s="565">
        <v>8</v>
      </c>
      <c r="N148" s="565">
        <v>3</v>
      </c>
      <c r="O148" s="566">
        <f t="shared" si="7"/>
        <v>0.375</v>
      </c>
      <c r="P148" s="567">
        <f t="shared" si="8"/>
        <v>0.46875</v>
      </c>
      <c r="Q148" s="568">
        <f t="shared" si="6"/>
        <v>0.46875</v>
      </c>
      <c r="R148" s="675"/>
    </row>
    <row r="149" spans="1:18" x14ac:dyDescent="0.2">
      <c r="A149" s="558" t="s">
        <v>277</v>
      </c>
      <c r="B149" s="559" t="s">
        <v>914</v>
      </c>
      <c r="C149" s="573" t="s">
        <v>99</v>
      </c>
      <c r="D149" s="327" t="s">
        <v>282</v>
      </c>
      <c r="E149" s="575" t="s">
        <v>1846</v>
      </c>
      <c r="F149" s="561" t="s">
        <v>109</v>
      </c>
      <c r="G149" s="562" t="s">
        <v>930</v>
      </c>
      <c r="H149" s="563" t="s">
        <v>924</v>
      </c>
      <c r="I149" s="578" t="s">
        <v>925</v>
      </c>
      <c r="J149" s="564" t="s">
        <v>757</v>
      </c>
      <c r="K149" s="561">
        <v>0</v>
      </c>
      <c r="L149" s="338" t="s">
        <v>926</v>
      </c>
      <c r="M149" s="565">
        <v>4</v>
      </c>
      <c r="N149" s="565">
        <v>1</v>
      </c>
      <c r="O149" s="566">
        <f t="shared" si="7"/>
        <v>0.25</v>
      </c>
      <c r="P149" s="567">
        <f t="shared" si="8"/>
        <v>0</v>
      </c>
      <c r="Q149" s="568" t="e">
        <f t="shared" si="6"/>
        <v>#DIV/0!</v>
      </c>
      <c r="R149" s="676" t="s">
        <v>926</v>
      </c>
    </row>
    <row r="150" spans="1:18" x14ac:dyDescent="0.2">
      <c r="A150" s="558" t="s">
        <v>277</v>
      </c>
      <c r="B150" s="559" t="s">
        <v>914</v>
      </c>
      <c r="C150" s="573" t="s">
        <v>99</v>
      </c>
      <c r="D150" s="327" t="s">
        <v>285</v>
      </c>
      <c r="E150" s="575" t="s">
        <v>1846</v>
      </c>
      <c r="F150" s="561" t="s">
        <v>109</v>
      </c>
      <c r="G150" s="562" t="s">
        <v>930</v>
      </c>
      <c r="H150" s="563" t="s">
        <v>924</v>
      </c>
      <c r="I150" s="578" t="s">
        <v>925</v>
      </c>
      <c r="J150" s="564" t="s">
        <v>757</v>
      </c>
      <c r="K150" s="561">
        <v>0</v>
      </c>
      <c r="L150" s="338" t="s">
        <v>926</v>
      </c>
      <c r="M150" s="565">
        <v>1</v>
      </c>
      <c r="N150" s="565">
        <v>0</v>
      </c>
      <c r="O150" s="566">
        <f t="shared" si="7"/>
        <v>0</v>
      </c>
      <c r="P150" s="567">
        <f t="shared" si="8"/>
        <v>0</v>
      </c>
      <c r="Q150" s="568" t="e">
        <f t="shared" si="6"/>
        <v>#DIV/0!</v>
      </c>
      <c r="R150" s="676" t="s">
        <v>926</v>
      </c>
    </row>
    <row r="151" spans="1:18" x14ac:dyDescent="0.2">
      <c r="A151" s="558" t="s">
        <v>277</v>
      </c>
      <c r="B151" s="559" t="s">
        <v>914</v>
      </c>
      <c r="C151" s="573" t="s">
        <v>296</v>
      </c>
      <c r="D151" s="327" t="s">
        <v>300</v>
      </c>
      <c r="E151" s="575" t="s">
        <v>1847</v>
      </c>
      <c r="F151" s="561" t="s">
        <v>109</v>
      </c>
      <c r="G151" s="562" t="s">
        <v>930</v>
      </c>
      <c r="H151" s="563" t="s">
        <v>927</v>
      </c>
      <c r="I151" s="578" t="s">
        <v>925</v>
      </c>
      <c r="J151" s="564" t="s">
        <v>757</v>
      </c>
      <c r="K151" s="561">
        <v>13</v>
      </c>
      <c r="L151" s="338"/>
      <c r="M151" s="565">
        <v>0</v>
      </c>
      <c r="N151" s="565">
        <v>0</v>
      </c>
      <c r="O151" s="566">
        <f t="shared" si="7"/>
        <v>0</v>
      </c>
      <c r="P151" s="567">
        <f t="shared" si="8"/>
        <v>0</v>
      </c>
      <c r="Q151" s="568" t="e">
        <f t="shared" si="6"/>
        <v>#DIV/0!</v>
      </c>
      <c r="R151" s="676" t="s">
        <v>1919</v>
      </c>
    </row>
    <row r="152" spans="1:18" x14ac:dyDescent="0.2">
      <c r="A152" s="558" t="s">
        <v>277</v>
      </c>
      <c r="B152" s="559" t="s">
        <v>914</v>
      </c>
      <c r="C152" s="573" t="s">
        <v>296</v>
      </c>
      <c r="D152" s="327" t="s">
        <v>292</v>
      </c>
      <c r="E152" s="575" t="s">
        <v>1847</v>
      </c>
      <c r="F152" s="561" t="s">
        <v>109</v>
      </c>
      <c r="G152" s="562" t="s">
        <v>930</v>
      </c>
      <c r="H152" s="563" t="s">
        <v>924</v>
      </c>
      <c r="I152" s="578" t="s">
        <v>925</v>
      </c>
      <c r="J152" s="564" t="s">
        <v>757</v>
      </c>
      <c r="K152" s="561">
        <v>0</v>
      </c>
      <c r="L152" s="338" t="s">
        <v>926</v>
      </c>
      <c r="M152" s="565">
        <v>3</v>
      </c>
      <c r="N152" s="565">
        <v>1</v>
      </c>
      <c r="O152" s="566">
        <f t="shared" si="7"/>
        <v>0.33333333333333331</v>
      </c>
      <c r="P152" s="567">
        <f t="shared" si="8"/>
        <v>0</v>
      </c>
      <c r="Q152" s="568" t="e">
        <f t="shared" si="6"/>
        <v>#DIV/0!</v>
      </c>
      <c r="R152" s="676" t="s">
        <v>926</v>
      </c>
    </row>
    <row r="153" spans="1:18" x14ac:dyDescent="0.2">
      <c r="A153" s="558" t="s">
        <v>277</v>
      </c>
      <c r="B153" s="559" t="s">
        <v>914</v>
      </c>
      <c r="C153" s="573" t="s">
        <v>296</v>
      </c>
      <c r="D153" s="327" t="s">
        <v>294</v>
      </c>
      <c r="E153" s="575" t="s">
        <v>1848</v>
      </c>
      <c r="F153" s="561" t="s">
        <v>109</v>
      </c>
      <c r="G153" s="562" t="s">
        <v>930</v>
      </c>
      <c r="H153" s="563" t="s">
        <v>924</v>
      </c>
      <c r="I153" s="578" t="s">
        <v>925</v>
      </c>
      <c r="J153" s="564" t="s">
        <v>757</v>
      </c>
      <c r="K153" s="561">
        <v>0</v>
      </c>
      <c r="L153" s="338" t="s">
        <v>926</v>
      </c>
      <c r="M153" s="565">
        <v>1</v>
      </c>
      <c r="N153" s="565">
        <v>0</v>
      </c>
      <c r="O153" s="566">
        <f t="shared" si="7"/>
        <v>0</v>
      </c>
      <c r="P153" s="567">
        <f t="shared" si="8"/>
        <v>0</v>
      </c>
      <c r="Q153" s="568" t="e">
        <f t="shared" si="6"/>
        <v>#DIV/0!</v>
      </c>
      <c r="R153" s="676" t="s">
        <v>926</v>
      </c>
    </row>
    <row r="154" spans="1:18" x14ac:dyDescent="0.2">
      <c r="A154" s="558" t="s">
        <v>277</v>
      </c>
      <c r="B154" s="559" t="s">
        <v>914</v>
      </c>
      <c r="C154" s="573" t="s">
        <v>296</v>
      </c>
      <c r="D154" s="327" t="s">
        <v>282</v>
      </c>
      <c r="E154" s="575" t="s">
        <v>1848</v>
      </c>
      <c r="F154" s="561" t="s">
        <v>109</v>
      </c>
      <c r="G154" s="562" t="s">
        <v>930</v>
      </c>
      <c r="H154" s="563" t="s">
        <v>924</v>
      </c>
      <c r="I154" s="578" t="s">
        <v>925</v>
      </c>
      <c r="J154" s="564" t="s">
        <v>757</v>
      </c>
      <c r="K154" s="561">
        <v>0</v>
      </c>
      <c r="L154" s="338" t="s">
        <v>926</v>
      </c>
      <c r="M154" s="565">
        <v>2</v>
      </c>
      <c r="N154" s="565">
        <v>1</v>
      </c>
      <c r="O154" s="566">
        <f t="shared" si="7"/>
        <v>0.5</v>
      </c>
      <c r="P154" s="567">
        <f t="shared" si="8"/>
        <v>0</v>
      </c>
      <c r="Q154" s="568" t="e">
        <f t="shared" si="6"/>
        <v>#DIV/0!</v>
      </c>
      <c r="R154" s="676" t="s">
        <v>926</v>
      </c>
    </row>
    <row r="155" spans="1:18" x14ac:dyDescent="0.2">
      <c r="A155" s="558" t="s">
        <v>277</v>
      </c>
      <c r="B155" s="559" t="s">
        <v>914</v>
      </c>
      <c r="C155" s="573" t="s">
        <v>296</v>
      </c>
      <c r="D155" s="327" t="s">
        <v>285</v>
      </c>
      <c r="E155" s="575" t="s">
        <v>1715</v>
      </c>
      <c r="F155" s="561" t="s">
        <v>109</v>
      </c>
      <c r="G155" s="562" t="s">
        <v>930</v>
      </c>
      <c r="H155" s="563" t="s">
        <v>924</v>
      </c>
      <c r="I155" s="578" t="s">
        <v>925</v>
      </c>
      <c r="J155" s="564" t="s">
        <v>757</v>
      </c>
      <c r="K155" s="561">
        <v>25</v>
      </c>
      <c r="L155" s="338"/>
      <c r="M155" s="565">
        <v>11</v>
      </c>
      <c r="N155" s="565">
        <v>3</v>
      </c>
      <c r="O155" s="566">
        <f t="shared" si="7"/>
        <v>0.27272727272727271</v>
      </c>
      <c r="P155" s="567">
        <f t="shared" si="8"/>
        <v>1.0909090909090908</v>
      </c>
      <c r="Q155" s="568">
        <f t="shared" si="6"/>
        <v>1.0909090909090908</v>
      </c>
      <c r="R155" s="675"/>
    </row>
    <row r="156" spans="1:18" x14ac:dyDescent="0.2">
      <c r="A156" s="558" t="s">
        <v>277</v>
      </c>
      <c r="B156" s="559" t="s">
        <v>914</v>
      </c>
      <c r="C156" s="573" t="s">
        <v>296</v>
      </c>
      <c r="D156" s="327" t="s">
        <v>298</v>
      </c>
      <c r="E156" s="575" t="s">
        <v>1715</v>
      </c>
      <c r="F156" s="561" t="s">
        <v>109</v>
      </c>
      <c r="G156" s="562" t="s">
        <v>930</v>
      </c>
      <c r="H156" s="563" t="s">
        <v>924</v>
      </c>
      <c r="I156" s="578" t="s">
        <v>925</v>
      </c>
      <c r="J156" s="564" t="s">
        <v>757</v>
      </c>
      <c r="K156" s="561">
        <v>10</v>
      </c>
      <c r="L156" s="338"/>
      <c r="M156" s="565">
        <v>20</v>
      </c>
      <c r="N156" s="565">
        <v>7</v>
      </c>
      <c r="O156" s="566">
        <f t="shared" si="7"/>
        <v>0.35</v>
      </c>
      <c r="P156" s="567">
        <f t="shared" si="8"/>
        <v>3.5</v>
      </c>
      <c r="Q156" s="568">
        <f t="shared" si="6"/>
        <v>3.5</v>
      </c>
      <c r="R156" s="675"/>
    </row>
    <row r="157" spans="1:18" x14ac:dyDescent="0.2">
      <c r="A157" s="558" t="s">
        <v>277</v>
      </c>
      <c r="B157" s="559" t="s">
        <v>914</v>
      </c>
      <c r="C157" s="573" t="s">
        <v>316</v>
      </c>
      <c r="D157" s="327" t="s">
        <v>292</v>
      </c>
      <c r="E157" s="575" t="s">
        <v>1849</v>
      </c>
      <c r="F157" s="561" t="s">
        <v>109</v>
      </c>
      <c r="G157" s="562" t="s">
        <v>930</v>
      </c>
      <c r="H157" s="563" t="s">
        <v>924</v>
      </c>
      <c r="I157" s="578" t="s">
        <v>925</v>
      </c>
      <c r="J157" s="564" t="s">
        <v>757</v>
      </c>
      <c r="K157" s="561">
        <v>0</v>
      </c>
      <c r="L157" s="338" t="s">
        <v>926</v>
      </c>
      <c r="M157" s="565">
        <v>0</v>
      </c>
      <c r="N157" s="565">
        <v>0</v>
      </c>
      <c r="O157" s="566">
        <f t="shared" si="7"/>
        <v>0</v>
      </c>
      <c r="P157" s="567">
        <f t="shared" si="8"/>
        <v>0</v>
      </c>
      <c r="Q157" s="568" t="e">
        <f t="shared" si="6"/>
        <v>#DIV/0!</v>
      </c>
      <c r="R157" s="676" t="s">
        <v>1919</v>
      </c>
    </row>
    <row r="158" spans="1:18" x14ac:dyDescent="0.2">
      <c r="A158" s="558" t="s">
        <v>277</v>
      </c>
      <c r="B158" s="559" t="s">
        <v>914</v>
      </c>
      <c r="C158" s="573" t="s">
        <v>316</v>
      </c>
      <c r="D158" s="327" t="s">
        <v>294</v>
      </c>
      <c r="E158" s="575" t="s">
        <v>1849</v>
      </c>
      <c r="F158" s="561" t="s">
        <v>109</v>
      </c>
      <c r="G158" s="562" t="s">
        <v>930</v>
      </c>
      <c r="H158" s="563" t="s">
        <v>924</v>
      </c>
      <c r="I158" s="578" t="s">
        <v>925</v>
      </c>
      <c r="J158" s="564" t="s">
        <v>757</v>
      </c>
      <c r="K158" s="561">
        <v>0</v>
      </c>
      <c r="L158" s="338" t="s">
        <v>926</v>
      </c>
      <c r="M158" s="565">
        <v>0</v>
      </c>
      <c r="N158" s="565">
        <v>0</v>
      </c>
      <c r="O158" s="566">
        <f t="shared" si="7"/>
        <v>0</v>
      </c>
      <c r="P158" s="567">
        <f t="shared" si="8"/>
        <v>0</v>
      </c>
      <c r="Q158" s="568" t="e">
        <f t="shared" si="6"/>
        <v>#DIV/0!</v>
      </c>
      <c r="R158" s="676" t="s">
        <v>1919</v>
      </c>
    </row>
    <row r="159" spans="1:18" x14ac:dyDescent="0.2">
      <c r="A159" s="558" t="s">
        <v>277</v>
      </c>
      <c r="B159" s="559" t="s">
        <v>914</v>
      </c>
      <c r="C159" s="573" t="s">
        <v>308</v>
      </c>
      <c r="D159" s="327" t="s">
        <v>300</v>
      </c>
      <c r="E159" s="575" t="s">
        <v>1715</v>
      </c>
      <c r="F159" s="561" t="s">
        <v>109</v>
      </c>
      <c r="G159" s="562" t="s">
        <v>930</v>
      </c>
      <c r="H159" s="563" t="s">
        <v>927</v>
      </c>
      <c r="I159" s="578" t="s">
        <v>925</v>
      </c>
      <c r="J159" s="564" t="s">
        <v>757</v>
      </c>
      <c r="K159" s="561">
        <v>38</v>
      </c>
      <c r="L159" s="338"/>
      <c r="M159" s="565">
        <v>51</v>
      </c>
      <c r="N159" s="565">
        <v>3</v>
      </c>
      <c r="O159" s="566">
        <f t="shared" si="7"/>
        <v>5.8823529411764705E-2</v>
      </c>
      <c r="P159" s="567">
        <f t="shared" si="8"/>
        <v>0.15479876160990713</v>
      </c>
      <c r="Q159" s="568">
        <f t="shared" si="6"/>
        <v>0.15479876160990713</v>
      </c>
      <c r="R159" s="675"/>
    </row>
    <row r="160" spans="1:18" x14ac:dyDescent="0.2">
      <c r="A160" s="558" t="s">
        <v>277</v>
      </c>
      <c r="B160" s="559" t="s">
        <v>914</v>
      </c>
      <c r="C160" s="573" t="s">
        <v>308</v>
      </c>
      <c r="D160" s="327" t="s">
        <v>292</v>
      </c>
      <c r="E160" s="575" t="s">
        <v>1850</v>
      </c>
      <c r="F160" s="561" t="s">
        <v>109</v>
      </c>
      <c r="G160" s="562" t="s">
        <v>930</v>
      </c>
      <c r="H160" s="563" t="s">
        <v>924</v>
      </c>
      <c r="I160" s="578" t="s">
        <v>925</v>
      </c>
      <c r="J160" s="564" t="s">
        <v>757</v>
      </c>
      <c r="K160" s="561">
        <v>0</v>
      </c>
      <c r="L160" s="338" t="s">
        <v>926</v>
      </c>
      <c r="M160" s="565">
        <v>7</v>
      </c>
      <c r="N160" s="565">
        <v>2</v>
      </c>
      <c r="O160" s="566">
        <f t="shared" si="7"/>
        <v>0.2857142857142857</v>
      </c>
      <c r="P160" s="567">
        <f t="shared" si="8"/>
        <v>0</v>
      </c>
      <c r="Q160" s="568" t="e">
        <f t="shared" si="6"/>
        <v>#DIV/0!</v>
      </c>
      <c r="R160" s="676" t="s">
        <v>926</v>
      </c>
    </row>
    <row r="161" spans="1:18" x14ac:dyDescent="0.2">
      <c r="A161" s="558" t="s">
        <v>277</v>
      </c>
      <c r="B161" s="559" t="s">
        <v>914</v>
      </c>
      <c r="C161" s="573" t="s">
        <v>308</v>
      </c>
      <c r="D161" s="327" t="s">
        <v>294</v>
      </c>
      <c r="E161" s="575" t="s">
        <v>1850</v>
      </c>
      <c r="F161" s="561" t="s">
        <v>109</v>
      </c>
      <c r="G161" s="562" t="s">
        <v>930</v>
      </c>
      <c r="H161" s="563" t="s">
        <v>924</v>
      </c>
      <c r="I161" s="578" t="s">
        <v>925</v>
      </c>
      <c r="J161" s="564" t="s">
        <v>757</v>
      </c>
      <c r="K161" s="561">
        <v>0</v>
      </c>
      <c r="L161" s="338" t="s">
        <v>926</v>
      </c>
      <c r="M161" s="565">
        <v>1</v>
      </c>
      <c r="N161" s="565">
        <v>0</v>
      </c>
      <c r="O161" s="566">
        <f t="shared" si="7"/>
        <v>0</v>
      </c>
      <c r="P161" s="567">
        <f t="shared" si="8"/>
        <v>0</v>
      </c>
      <c r="Q161" s="568" t="e">
        <f t="shared" si="6"/>
        <v>#DIV/0!</v>
      </c>
      <c r="R161" s="676" t="s">
        <v>926</v>
      </c>
    </row>
    <row r="162" spans="1:18" x14ac:dyDescent="0.2">
      <c r="A162" s="558" t="s">
        <v>277</v>
      </c>
      <c r="B162" s="559" t="s">
        <v>914</v>
      </c>
      <c r="C162" s="573" t="s">
        <v>305</v>
      </c>
      <c r="D162" s="327" t="s">
        <v>300</v>
      </c>
      <c r="E162" s="575" t="s">
        <v>1715</v>
      </c>
      <c r="F162" s="561" t="s">
        <v>109</v>
      </c>
      <c r="G162" s="562" t="s">
        <v>930</v>
      </c>
      <c r="H162" s="563" t="s">
        <v>927</v>
      </c>
      <c r="I162" s="578" t="s">
        <v>925</v>
      </c>
      <c r="J162" s="564" t="s">
        <v>757</v>
      </c>
      <c r="K162" s="561">
        <v>5</v>
      </c>
      <c r="L162" s="338"/>
      <c r="M162" s="565">
        <v>568</v>
      </c>
      <c r="N162" s="565">
        <v>24</v>
      </c>
      <c r="O162" s="566">
        <f t="shared" si="7"/>
        <v>4.2253521126760563E-2</v>
      </c>
      <c r="P162" s="567">
        <f t="shared" si="8"/>
        <v>0.84507042253521125</v>
      </c>
      <c r="Q162" s="568">
        <f t="shared" si="6"/>
        <v>0.84507042253521136</v>
      </c>
      <c r="R162" s="675"/>
    </row>
    <row r="163" spans="1:18" x14ac:dyDescent="0.2">
      <c r="A163" s="558" t="s">
        <v>277</v>
      </c>
      <c r="B163" s="559" t="s">
        <v>914</v>
      </c>
      <c r="C163" s="573" t="s">
        <v>305</v>
      </c>
      <c r="D163" s="327" t="s">
        <v>292</v>
      </c>
      <c r="E163" s="575" t="s">
        <v>1715</v>
      </c>
      <c r="F163" s="561" t="s">
        <v>109</v>
      </c>
      <c r="G163" s="562" t="s">
        <v>930</v>
      </c>
      <c r="H163" s="563" t="s">
        <v>924</v>
      </c>
      <c r="I163" s="578" t="s">
        <v>925</v>
      </c>
      <c r="J163" s="564" t="s">
        <v>757</v>
      </c>
      <c r="K163" s="561">
        <v>32</v>
      </c>
      <c r="L163" s="338"/>
      <c r="M163" s="565">
        <v>85</v>
      </c>
      <c r="N163" s="565">
        <v>22</v>
      </c>
      <c r="O163" s="566">
        <f t="shared" si="7"/>
        <v>0.25882352941176473</v>
      </c>
      <c r="P163" s="567">
        <f t="shared" si="8"/>
        <v>0.80882352941176472</v>
      </c>
      <c r="Q163" s="568">
        <f t="shared" si="6"/>
        <v>0.80882352941176472</v>
      </c>
      <c r="R163" s="675"/>
    </row>
    <row r="164" spans="1:18" x14ac:dyDescent="0.2">
      <c r="A164" s="558" t="s">
        <v>277</v>
      </c>
      <c r="B164" s="559" t="s">
        <v>914</v>
      </c>
      <c r="C164" s="573" t="s">
        <v>305</v>
      </c>
      <c r="D164" s="327" t="s">
        <v>294</v>
      </c>
      <c r="E164" s="575" t="s">
        <v>1851</v>
      </c>
      <c r="F164" s="561" t="s">
        <v>109</v>
      </c>
      <c r="G164" s="562" t="s">
        <v>930</v>
      </c>
      <c r="H164" s="563" t="s">
        <v>924</v>
      </c>
      <c r="I164" s="578" t="s">
        <v>925</v>
      </c>
      <c r="J164" s="564" t="s">
        <v>757</v>
      </c>
      <c r="K164" s="561">
        <v>33</v>
      </c>
      <c r="L164" s="338"/>
      <c r="M164" s="565">
        <v>24</v>
      </c>
      <c r="N164" s="565">
        <v>8</v>
      </c>
      <c r="O164" s="566">
        <f t="shared" si="7"/>
        <v>0.33333333333333331</v>
      </c>
      <c r="P164" s="567">
        <f t="shared" si="8"/>
        <v>1.0101010101010102</v>
      </c>
      <c r="Q164" s="568">
        <f t="shared" si="6"/>
        <v>1.0101010101010102</v>
      </c>
      <c r="R164" s="675"/>
    </row>
    <row r="165" spans="1:18" x14ac:dyDescent="0.2">
      <c r="A165" s="558" t="s">
        <v>277</v>
      </c>
      <c r="B165" s="559" t="s">
        <v>914</v>
      </c>
      <c r="C165" s="573" t="s">
        <v>305</v>
      </c>
      <c r="D165" s="327" t="s">
        <v>285</v>
      </c>
      <c r="E165" s="575" t="s">
        <v>1851</v>
      </c>
      <c r="F165" s="561" t="s">
        <v>109</v>
      </c>
      <c r="G165" s="562" t="s">
        <v>930</v>
      </c>
      <c r="H165" s="563" t="s">
        <v>924</v>
      </c>
      <c r="I165" s="578" t="s">
        <v>925</v>
      </c>
      <c r="J165" s="564" t="s">
        <v>757</v>
      </c>
      <c r="K165" s="561">
        <v>0</v>
      </c>
      <c r="L165" s="338" t="s">
        <v>926</v>
      </c>
      <c r="M165" s="565">
        <v>2</v>
      </c>
      <c r="N165" s="565">
        <v>1</v>
      </c>
      <c r="O165" s="566">
        <f t="shared" si="7"/>
        <v>0.5</v>
      </c>
      <c r="P165" s="567">
        <f t="shared" si="8"/>
        <v>0</v>
      </c>
      <c r="Q165" s="568" t="e">
        <f t="shared" si="6"/>
        <v>#DIV/0!</v>
      </c>
      <c r="R165" s="676" t="s">
        <v>926</v>
      </c>
    </row>
    <row r="166" spans="1:18" x14ac:dyDescent="0.2">
      <c r="A166" s="558" t="s">
        <v>277</v>
      </c>
      <c r="B166" s="559" t="s">
        <v>914</v>
      </c>
      <c r="C166" s="573" t="s">
        <v>97</v>
      </c>
      <c r="D166" s="327" t="s">
        <v>282</v>
      </c>
      <c r="E166" s="575" t="s">
        <v>1843</v>
      </c>
      <c r="F166" s="561" t="s">
        <v>109</v>
      </c>
      <c r="G166" s="562" t="s">
        <v>931</v>
      </c>
      <c r="H166" s="563" t="s">
        <v>924</v>
      </c>
      <c r="I166" s="578" t="s">
        <v>925</v>
      </c>
      <c r="J166" s="564" t="s">
        <v>757</v>
      </c>
      <c r="K166" s="561">
        <v>33</v>
      </c>
      <c r="L166" s="338"/>
      <c r="M166" s="565">
        <v>6</v>
      </c>
      <c r="N166" s="565">
        <v>3</v>
      </c>
      <c r="O166" s="566">
        <f t="shared" si="7"/>
        <v>0.5</v>
      </c>
      <c r="P166" s="567">
        <f t="shared" si="8"/>
        <v>1.5151515151515151</v>
      </c>
      <c r="Q166" s="568">
        <f t="shared" si="6"/>
        <v>1.5151515151515151</v>
      </c>
      <c r="R166" s="675"/>
    </row>
    <row r="167" spans="1:18" x14ac:dyDescent="0.2">
      <c r="A167" s="558" t="s">
        <v>277</v>
      </c>
      <c r="B167" s="559" t="s">
        <v>914</v>
      </c>
      <c r="C167" s="573" t="s">
        <v>97</v>
      </c>
      <c r="D167" s="327" t="s">
        <v>285</v>
      </c>
      <c r="E167" s="575" t="s">
        <v>1843</v>
      </c>
      <c r="F167" s="561" t="s">
        <v>109</v>
      </c>
      <c r="G167" s="562" t="s">
        <v>931</v>
      </c>
      <c r="H167" s="563" t="s">
        <v>924</v>
      </c>
      <c r="I167" s="578" t="s">
        <v>925</v>
      </c>
      <c r="J167" s="564" t="s">
        <v>757</v>
      </c>
      <c r="K167" s="561">
        <v>0</v>
      </c>
      <c r="L167" s="338" t="s">
        <v>926</v>
      </c>
      <c r="M167" s="565">
        <v>8</v>
      </c>
      <c r="N167" s="565">
        <v>7</v>
      </c>
      <c r="O167" s="566">
        <f t="shared" si="7"/>
        <v>0.875</v>
      </c>
      <c r="P167" s="567">
        <f t="shared" si="8"/>
        <v>0</v>
      </c>
      <c r="Q167" s="568" t="e">
        <f t="shared" si="6"/>
        <v>#DIV/0!</v>
      </c>
      <c r="R167" s="676" t="s">
        <v>926</v>
      </c>
    </row>
    <row r="168" spans="1:18" x14ac:dyDescent="0.2">
      <c r="A168" s="558" t="s">
        <v>277</v>
      </c>
      <c r="B168" s="559" t="s">
        <v>914</v>
      </c>
      <c r="C168" s="573" t="s">
        <v>286</v>
      </c>
      <c r="D168" s="327" t="s">
        <v>300</v>
      </c>
      <c r="E168" s="575" t="s">
        <v>1715</v>
      </c>
      <c r="F168" s="561" t="s">
        <v>109</v>
      </c>
      <c r="G168" s="562" t="s">
        <v>931</v>
      </c>
      <c r="H168" s="563" t="s">
        <v>927</v>
      </c>
      <c r="I168" s="578" t="s">
        <v>925</v>
      </c>
      <c r="J168" s="564" t="s">
        <v>757</v>
      </c>
      <c r="K168" s="561">
        <v>0</v>
      </c>
      <c r="L168" s="338" t="s">
        <v>926</v>
      </c>
      <c r="M168" s="565">
        <v>39</v>
      </c>
      <c r="N168" s="565">
        <v>5</v>
      </c>
      <c r="O168" s="566">
        <f t="shared" si="7"/>
        <v>0.12820512820512819</v>
      </c>
      <c r="P168" s="567">
        <f t="shared" si="8"/>
        <v>0</v>
      </c>
      <c r="Q168" s="568" t="e">
        <f t="shared" si="6"/>
        <v>#DIV/0!</v>
      </c>
      <c r="R168" s="676" t="s">
        <v>926</v>
      </c>
    </row>
    <row r="169" spans="1:18" x14ac:dyDescent="0.2">
      <c r="A169" s="558" t="s">
        <v>277</v>
      </c>
      <c r="B169" s="559" t="s">
        <v>914</v>
      </c>
      <c r="C169" s="573" t="s">
        <v>286</v>
      </c>
      <c r="D169" s="327" t="s">
        <v>292</v>
      </c>
      <c r="E169" s="575" t="s">
        <v>1715</v>
      </c>
      <c r="F169" s="561" t="s">
        <v>109</v>
      </c>
      <c r="G169" s="562" t="s">
        <v>931</v>
      </c>
      <c r="H169" s="563" t="s">
        <v>924</v>
      </c>
      <c r="I169" s="578" t="s">
        <v>925</v>
      </c>
      <c r="J169" s="564" t="s">
        <v>757</v>
      </c>
      <c r="K169" s="561">
        <v>26</v>
      </c>
      <c r="L169" s="338"/>
      <c r="M169" s="565">
        <v>12</v>
      </c>
      <c r="N169" s="565">
        <v>4</v>
      </c>
      <c r="O169" s="566">
        <f t="shared" si="7"/>
        <v>0.33333333333333331</v>
      </c>
      <c r="P169" s="567">
        <f t="shared" si="8"/>
        <v>1.2820512820512819</v>
      </c>
      <c r="Q169" s="568">
        <f t="shared" si="6"/>
        <v>1.2820512820512819</v>
      </c>
      <c r="R169" s="675"/>
    </row>
    <row r="170" spans="1:18" x14ac:dyDescent="0.2">
      <c r="A170" s="558" t="s">
        <v>277</v>
      </c>
      <c r="B170" s="559" t="s">
        <v>914</v>
      </c>
      <c r="C170" s="573" t="s">
        <v>286</v>
      </c>
      <c r="D170" s="327" t="s">
        <v>294</v>
      </c>
      <c r="E170" s="575" t="s">
        <v>1715</v>
      </c>
      <c r="F170" s="561" t="s">
        <v>109</v>
      </c>
      <c r="G170" s="562" t="s">
        <v>931</v>
      </c>
      <c r="H170" s="563" t="s">
        <v>924</v>
      </c>
      <c r="I170" s="578" t="s">
        <v>925</v>
      </c>
      <c r="J170" s="564" t="s">
        <v>757</v>
      </c>
      <c r="K170" s="561">
        <v>16</v>
      </c>
      <c r="L170" s="338"/>
      <c r="M170" s="565">
        <v>40</v>
      </c>
      <c r="N170" s="565">
        <v>7</v>
      </c>
      <c r="O170" s="566">
        <f t="shared" si="7"/>
        <v>0.17499999999999999</v>
      </c>
      <c r="P170" s="567">
        <f t="shared" si="8"/>
        <v>1.09375</v>
      </c>
      <c r="Q170" s="568">
        <f t="shared" si="6"/>
        <v>1.09375</v>
      </c>
      <c r="R170" s="675"/>
    </row>
    <row r="171" spans="1:18" x14ac:dyDescent="0.2">
      <c r="A171" s="558" t="s">
        <v>277</v>
      </c>
      <c r="B171" s="559" t="s">
        <v>914</v>
      </c>
      <c r="C171" s="573" t="s">
        <v>286</v>
      </c>
      <c r="D171" s="327" t="s">
        <v>282</v>
      </c>
      <c r="E171" s="575" t="s">
        <v>1715</v>
      </c>
      <c r="F171" s="561" t="s">
        <v>109</v>
      </c>
      <c r="G171" s="562" t="s">
        <v>931</v>
      </c>
      <c r="H171" s="563" t="s">
        <v>924</v>
      </c>
      <c r="I171" s="578" t="s">
        <v>925</v>
      </c>
      <c r="J171" s="564" t="s">
        <v>757</v>
      </c>
      <c r="K171" s="561">
        <v>6</v>
      </c>
      <c r="L171" s="338"/>
      <c r="M171" s="565">
        <v>68</v>
      </c>
      <c r="N171" s="565">
        <v>9</v>
      </c>
      <c r="O171" s="566">
        <f t="shared" si="7"/>
        <v>0.13235294117647059</v>
      </c>
      <c r="P171" s="567">
        <f t="shared" si="8"/>
        <v>2.2058823529411766</v>
      </c>
      <c r="Q171" s="568">
        <f t="shared" si="6"/>
        <v>2.2058823529411766</v>
      </c>
      <c r="R171" s="675"/>
    </row>
    <row r="172" spans="1:18" x14ac:dyDescent="0.2">
      <c r="A172" s="558" t="s">
        <v>277</v>
      </c>
      <c r="B172" s="559" t="s">
        <v>914</v>
      </c>
      <c r="C172" s="573" t="s">
        <v>286</v>
      </c>
      <c r="D172" s="327" t="s">
        <v>285</v>
      </c>
      <c r="E172" s="575" t="s">
        <v>1715</v>
      </c>
      <c r="F172" s="561" t="s">
        <v>109</v>
      </c>
      <c r="G172" s="562" t="s">
        <v>931</v>
      </c>
      <c r="H172" s="563" t="s">
        <v>924</v>
      </c>
      <c r="I172" s="578" t="s">
        <v>925</v>
      </c>
      <c r="J172" s="564" t="s">
        <v>757</v>
      </c>
      <c r="K172" s="561">
        <v>8</v>
      </c>
      <c r="L172" s="338"/>
      <c r="M172" s="565">
        <v>47</v>
      </c>
      <c r="N172" s="565">
        <v>12</v>
      </c>
      <c r="O172" s="566">
        <f t="shared" si="7"/>
        <v>0.25531914893617019</v>
      </c>
      <c r="P172" s="567">
        <f t="shared" si="8"/>
        <v>3.1914893617021276</v>
      </c>
      <c r="Q172" s="568">
        <f t="shared" si="6"/>
        <v>3.191489361702128</v>
      </c>
      <c r="R172" s="675"/>
    </row>
    <row r="173" spans="1:18" x14ac:dyDescent="0.2">
      <c r="A173" s="558" t="s">
        <v>277</v>
      </c>
      <c r="B173" s="559" t="s">
        <v>914</v>
      </c>
      <c r="C173" s="573" t="s">
        <v>303</v>
      </c>
      <c r="D173" s="327" t="s">
        <v>300</v>
      </c>
      <c r="E173" s="575" t="s">
        <v>1715</v>
      </c>
      <c r="F173" s="561" t="s">
        <v>109</v>
      </c>
      <c r="G173" s="562" t="s">
        <v>931</v>
      </c>
      <c r="H173" s="563" t="s">
        <v>927</v>
      </c>
      <c r="I173" s="578" t="s">
        <v>925</v>
      </c>
      <c r="J173" s="564" t="s">
        <v>757</v>
      </c>
      <c r="K173" s="561">
        <v>28.999999999999996</v>
      </c>
      <c r="L173" s="338"/>
      <c r="M173" s="565">
        <v>144</v>
      </c>
      <c r="N173" s="565">
        <v>7</v>
      </c>
      <c r="O173" s="566">
        <f t="shared" si="7"/>
        <v>4.8611111111111112E-2</v>
      </c>
      <c r="P173" s="567">
        <f t="shared" si="8"/>
        <v>0.16762452107279693</v>
      </c>
      <c r="Q173" s="568">
        <f t="shared" si="6"/>
        <v>0.16762452107279696</v>
      </c>
      <c r="R173" s="675"/>
    </row>
    <row r="174" spans="1:18" x14ac:dyDescent="0.2">
      <c r="A174" s="558" t="s">
        <v>277</v>
      </c>
      <c r="B174" s="559" t="s">
        <v>914</v>
      </c>
      <c r="C174" s="573" t="s">
        <v>303</v>
      </c>
      <c r="D174" s="327" t="s">
        <v>292</v>
      </c>
      <c r="E174" s="575" t="s">
        <v>1844</v>
      </c>
      <c r="F174" s="561" t="s">
        <v>109</v>
      </c>
      <c r="G174" s="562" t="s">
        <v>931</v>
      </c>
      <c r="H174" s="563" t="s">
        <v>924</v>
      </c>
      <c r="I174" s="578" t="s">
        <v>925</v>
      </c>
      <c r="J174" s="564" t="s">
        <v>757</v>
      </c>
      <c r="K174" s="561">
        <v>8</v>
      </c>
      <c r="L174" s="338"/>
      <c r="M174" s="565">
        <v>42</v>
      </c>
      <c r="N174" s="565">
        <v>6</v>
      </c>
      <c r="O174" s="566">
        <f t="shared" si="7"/>
        <v>0.14285714285714285</v>
      </c>
      <c r="P174" s="567">
        <f t="shared" si="8"/>
        <v>1.7857142857142858</v>
      </c>
      <c r="Q174" s="568">
        <f t="shared" si="6"/>
        <v>1.7857142857142858</v>
      </c>
      <c r="R174" s="675"/>
    </row>
    <row r="175" spans="1:18" x14ac:dyDescent="0.2">
      <c r="A175" s="558" t="s">
        <v>277</v>
      </c>
      <c r="B175" s="559" t="s">
        <v>914</v>
      </c>
      <c r="C175" s="573" t="s">
        <v>303</v>
      </c>
      <c r="D175" s="327" t="s">
        <v>294</v>
      </c>
      <c r="E175" s="575" t="s">
        <v>1844</v>
      </c>
      <c r="F175" s="561" t="s">
        <v>109</v>
      </c>
      <c r="G175" s="562" t="s">
        <v>931</v>
      </c>
      <c r="H175" s="563" t="s">
        <v>924</v>
      </c>
      <c r="I175" s="578" t="s">
        <v>925</v>
      </c>
      <c r="J175" s="564" t="s">
        <v>757</v>
      </c>
      <c r="K175" s="561">
        <v>0</v>
      </c>
      <c r="L175" s="338" t="s">
        <v>926</v>
      </c>
      <c r="M175" s="565">
        <v>10</v>
      </c>
      <c r="N175" s="565">
        <v>0</v>
      </c>
      <c r="O175" s="566">
        <f t="shared" si="7"/>
        <v>0</v>
      </c>
      <c r="P175" s="567">
        <f t="shared" si="8"/>
        <v>0</v>
      </c>
      <c r="Q175" s="568" t="e">
        <f t="shared" si="6"/>
        <v>#DIV/0!</v>
      </c>
      <c r="R175" s="676" t="s">
        <v>926</v>
      </c>
    </row>
    <row r="176" spans="1:18" x14ac:dyDescent="0.2">
      <c r="A176" s="558" t="s">
        <v>277</v>
      </c>
      <c r="B176" s="559" t="s">
        <v>914</v>
      </c>
      <c r="C176" s="573" t="s">
        <v>303</v>
      </c>
      <c r="D176" s="327" t="s">
        <v>282</v>
      </c>
      <c r="E176" s="575" t="s">
        <v>1845</v>
      </c>
      <c r="F176" s="561" t="s">
        <v>109</v>
      </c>
      <c r="G176" s="562" t="s">
        <v>931</v>
      </c>
      <c r="H176" s="563" t="s">
        <v>924</v>
      </c>
      <c r="I176" s="578" t="s">
        <v>925</v>
      </c>
      <c r="J176" s="564" t="s">
        <v>757</v>
      </c>
      <c r="K176" s="561">
        <v>0</v>
      </c>
      <c r="L176" s="338" t="s">
        <v>926</v>
      </c>
      <c r="M176" s="565">
        <v>2</v>
      </c>
      <c r="N176" s="565">
        <v>0</v>
      </c>
      <c r="O176" s="566">
        <f t="shared" si="7"/>
        <v>0</v>
      </c>
      <c r="P176" s="567">
        <f t="shared" si="8"/>
        <v>0</v>
      </c>
      <c r="Q176" s="568" t="e">
        <f t="shared" si="6"/>
        <v>#DIV/0!</v>
      </c>
      <c r="R176" s="676" t="s">
        <v>926</v>
      </c>
    </row>
    <row r="177" spans="1:18" x14ac:dyDescent="0.2">
      <c r="A177" s="558" t="s">
        <v>277</v>
      </c>
      <c r="B177" s="559" t="s">
        <v>914</v>
      </c>
      <c r="C177" s="573" t="s">
        <v>303</v>
      </c>
      <c r="D177" s="327" t="s">
        <v>285</v>
      </c>
      <c r="E177" s="575" t="s">
        <v>1845</v>
      </c>
      <c r="F177" s="561" t="s">
        <v>109</v>
      </c>
      <c r="G177" s="562" t="s">
        <v>931</v>
      </c>
      <c r="H177" s="563" t="s">
        <v>924</v>
      </c>
      <c r="I177" s="578" t="s">
        <v>925</v>
      </c>
      <c r="J177" s="564" t="s">
        <v>757</v>
      </c>
      <c r="K177" s="561">
        <v>0</v>
      </c>
      <c r="L177" s="338" t="s">
        <v>926</v>
      </c>
      <c r="M177" s="565">
        <v>5</v>
      </c>
      <c r="N177" s="565">
        <v>1</v>
      </c>
      <c r="O177" s="566">
        <f t="shared" si="7"/>
        <v>0.2</v>
      </c>
      <c r="P177" s="567">
        <f t="shared" si="8"/>
        <v>0</v>
      </c>
      <c r="Q177" s="568" t="e">
        <f t="shared" si="6"/>
        <v>#DIV/0!</v>
      </c>
      <c r="R177" s="676" t="s">
        <v>926</v>
      </c>
    </row>
    <row r="178" spans="1:18" x14ac:dyDescent="0.2">
      <c r="A178" s="558" t="s">
        <v>277</v>
      </c>
      <c r="B178" s="559" t="s">
        <v>914</v>
      </c>
      <c r="C178" s="573" t="s">
        <v>99</v>
      </c>
      <c r="D178" s="327" t="s">
        <v>300</v>
      </c>
      <c r="E178" s="575" t="s">
        <v>1715</v>
      </c>
      <c r="F178" s="561" t="s">
        <v>109</v>
      </c>
      <c r="G178" s="562" t="s">
        <v>931</v>
      </c>
      <c r="H178" s="563" t="s">
        <v>927</v>
      </c>
      <c r="I178" s="578" t="s">
        <v>925</v>
      </c>
      <c r="J178" s="564" t="s">
        <v>757</v>
      </c>
      <c r="K178" s="561">
        <v>17</v>
      </c>
      <c r="L178" s="338"/>
      <c r="M178" s="565">
        <v>158</v>
      </c>
      <c r="N178" s="565">
        <v>15</v>
      </c>
      <c r="O178" s="566">
        <f t="shared" si="7"/>
        <v>9.49367088607595E-2</v>
      </c>
      <c r="P178" s="567">
        <f t="shared" si="8"/>
        <v>0.5584512285927028</v>
      </c>
      <c r="Q178" s="568">
        <f t="shared" si="6"/>
        <v>0.55845122859270291</v>
      </c>
      <c r="R178" s="675"/>
    </row>
    <row r="179" spans="1:18" x14ac:dyDescent="0.2">
      <c r="A179" s="558" t="s">
        <v>277</v>
      </c>
      <c r="B179" s="559" t="s">
        <v>914</v>
      </c>
      <c r="C179" s="573" t="s">
        <v>99</v>
      </c>
      <c r="D179" s="327" t="s">
        <v>292</v>
      </c>
      <c r="E179" s="575" t="s">
        <v>1715</v>
      </c>
      <c r="F179" s="561" t="s">
        <v>109</v>
      </c>
      <c r="G179" s="562" t="s">
        <v>931</v>
      </c>
      <c r="H179" s="563" t="s">
        <v>924</v>
      </c>
      <c r="I179" s="578" t="s">
        <v>925</v>
      </c>
      <c r="J179" s="564" t="s">
        <v>757</v>
      </c>
      <c r="K179" s="561">
        <v>36</v>
      </c>
      <c r="L179" s="338"/>
      <c r="M179" s="565">
        <v>7</v>
      </c>
      <c r="N179" s="565">
        <v>1</v>
      </c>
      <c r="O179" s="566">
        <f t="shared" si="7"/>
        <v>0.14285714285714285</v>
      </c>
      <c r="P179" s="567">
        <f t="shared" si="8"/>
        <v>0.3968253968253968</v>
      </c>
      <c r="Q179" s="568">
        <f t="shared" si="6"/>
        <v>0.3968253968253968</v>
      </c>
      <c r="R179" s="675"/>
    </row>
    <row r="180" spans="1:18" x14ac:dyDescent="0.2">
      <c r="A180" s="558" t="s">
        <v>277</v>
      </c>
      <c r="B180" s="559" t="s">
        <v>914</v>
      </c>
      <c r="C180" s="573" t="s">
        <v>99</v>
      </c>
      <c r="D180" s="327" t="s">
        <v>294</v>
      </c>
      <c r="E180" s="575" t="s">
        <v>1846</v>
      </c>
      <c r="F180" s="561" t="s">
        <v>109</v>
      </c>
      <c r="G180" s="562" t="s">
        <v>931</v>
      </c>
      <c r="H180" s="563" t="s">
        <v>924</v>
      </c>
      <c r="I180" s="578" t="s">
        <v>925</v>
      </c>
      <c r="J180" s="564" t="s">
        <v>757</v>
      </c>
      <c r="K180" s="561">
        <v>80</v>
      </c>
      <c r="L180" s="338"/>
      <c r="M180" s="565">
        <v>8</v>
      </c>
      <c r="N180" s="565">
        <v>3</v>
      </c>
      <c r="O180" s="566">
        <f t="shared" si="7"/>
        <v>0.375</v>
      </c>
      <c r="P180" s="567">
        <f t="shared" si="8"/>
        <v>0.46875</v>
      </c>
      <c r="Q180" s="568">
        <f t="shared" si="6"/>
        <v>0.46875</v>
      </c>
      <c r="R180" s="675"/>
    </row>
    <row r="181" spans="1:18" x14ac:dyDescent="0.2">
      <c r="A181" s="558" t="s">
        <v>277</v>
      </c>
      <c r="B181" s="559" t="s">
        <v>914</v>
      </c>
      <c r="C181" s="573" t="s">
        <v>99</v>
      </c>
      <c r="D181" s="327" t="s">
        <v>282</v>
      </c>
      <c r="E181" s="575" t="s">
        <v>1846</v>
      </c>
      <c r="F181" s="561" t="s">
        <v>109</v>
      </c>
      <c r="G181" s="562" t="s">
        <v>931</v>
      </c>
      <c r="H181" s="563" t="s">
        <v>924</v>
      </c>
      <c r="I181" s="578" t="s">
        <v>925</v>
      </c>
      <c r="J181" s="564" t="s">
        <v>757</v>
      </c>
      <c r="K181" s="561">
        <v>0</v>
      </c>
      <c r="L181" s="338" t="s">
        <v>926</v>
      </c>
      <c r="M181" s="565">
        <v>4</v>
      </c>
      <c r="N181" s="565">
        <v>1</v>
      </c>
      <c r="O181" s="566">
        <f t="shared" si="7"/>
        <v>0.25</v>
      </c>
      <c r="P181" s="567">
        <f t="shared" si="8"/>
        <v>0</v>
      </c>
      <c r="Q181" s="568" t="e">
        <f t="shared" si="6"/>
        <v>#DIV/0!</v>
      </c>
      <c r="R181" s="676" t="s">
        <v>926</v>
      </c>
    </row>
    <row r="182" spans="1:18" x14ac:dyDescent="0.2">
      <c r="A182" s="558" t="s">
        <v>277</v>
      </c>
      <c r="B182" s="559" t="s">
        <v>914</v>
      </c>
      <c r="C182" s="573" t="s">
        <v>99</v>
      </c>
      <c r="D182" s="327" t="s">
        <v>285</v>
      </c>
      <c r="E182" s="575" t="s">
        <v>1846</v>
      </c>
      <c r="F182" s="561" t="s">
        <v>109</v>
      </c>
      <c r="G182" s="562" t="s">
        <v>931</v>
      </c>
      <c r="H182" s="563" t="s">
        <v>924</v>
      </c>
      <c r="I182" s="578" t="s">
        <v>925</v>
      </c>
      <c r="J182" s="564" t="s">
        <v>757</v>
      </c>
      <c r="K182" s="561">
        <v>0</v>
      </c>
      <c r="L182" s="338" t="s">
        <v>926</v>
      </c>
      <c r="M182" s="565">
        <v>1</v>
      </c>
      <c r="N182" s="565">
        <v>0</v>
      </c>
      <c r="O182" s="566">
        <f t="shared" si="7"/>
        <v>0</v>
      </c>
      <c r="P182" s="567">
        <f t="shared" si="8"/>
        <v>0</v>
      </c>
      <c r="Q182" s="568" t="e">
        <f t="shared" si="6"/>
        <v>#DIV/0!</v>
      </c>
      <c r="R182" s="676" t="s">
        <v>926</v>
      </c>
    </row>
    <row r="183" spans="1:18" x14ac:dyDescent="0.2">
      <c r="A183" s="558" t="s">
        <v>277</v>
      </c>
      <c r="B183" s="559" t="s">
        <v>914</v>
      </c>
      <c r="C183" s="573" t="s">
        <v>296</v>
      </c>
      <c r="D183" s="327" t="s">
        <v>300</v>
      </c>
      <c r="E183" s="575" t="s">
        <v>1847</v>
      </c>
      <c r="F183" s="561" t="s">
        <v>109</v>
      </c>
      <c r="G183" s="562" t="s">
        <v>931</v>
      </c>
      <c r="H183" s="563" t="s">
        <v>927</v>
      </c>
      <c r="I183" s="578" t="s">
        <v>925</v>
      </c>
      <c r="J183" s="564" t="s">
        <v>757</v>
      </c>
      <c r="K183" s="561">
        <v>13</v>
      </c>
      <c r="L183" s="338"/>
      <c r="M183" s="565">
        <v>0</v>
      </c>
      <c r="N183" s="565">
        <v>0</v>
      </c>
      <c r="O183" s="566">
        <f t="shared" si="7"/>
        <v>0</v>
      </c>
      <c r="P183" s="567">
        <f t="shared" si="8"/>
        <v>0</v>
      </c>
      <c r="Q183" s="568" t="e">
        <f t="shared" si="6"/>
        <v>#DIV/0!</v>
      </c>
      <c r="R183" s="676" t="s">
        <v>1919</v>
      </c>
    </row>
    <row r="184" spans="1:18" x14ac:dyDescent="0.2">
      <c r="A184" s="558" t="s">
        <v>277</v>
      </c>
      <c r="B184" s="559" t="s">
        <v>914</v>
      </c>
      <c r="C184" s="573" t="s">
        <v>296</v>
      </c>
      <c r="D184" s="327" t="s">
        <v>292</v>
      </c>
      <c r="E184" s="575" t="s">
        <v>1847</v>
      </c>
      <c r="F184" s="561" t="s">
        <v>109</v>
      </c>
      <c r="G184" s="562" t="s">
        <v>931</v>
      </c>
      <c r="H184" s="563" t="s">
        <v>924</v>
      </c>
      <c r="I184" s="578" t="s">
        <v>925</v>
      </c>
      <c r="J184" s="564" t="s">
        <v>757</v>
      </c>
      <c r="K184" s="561">
        <v>0</v>
      </c>
      <c r="L184" s="338" t="s">
        <v>926</v>
      </c>
      <c r="M184" s="565">
        <v>3</v>
      </c>
      <c r="N184" s="565">
        <v>1</v>
      </c>
      <c r="O184" s="566">
        <f t="shared" si="7"/>
        <v>0.33333333333333331</v>
      </c>
      <c r="P184" s="567">
        <f t="shared" si="8"/>
        <v>0</v>
      </c>
      <c r="Q184" s="568" t="e">
        <f t="shared" si="6"/>
        <v>#DIV/0!</v>
      </c>
      <c r="R184" s="676" t="s">
        <v>926</v>
      </c>
    </row>
    <row r="185" spans="1:18" x14ac:dyDescent="0.2">
      <c r="A185" s="558" t="s">
        <v>277</v>
      </c>
      <c r="B185" s="559" t="s">
        <v>914</v>
      </c>
      <c r="C185" s="573" t="s">
        <v>296</v>
      </c>
      <c r="D185" s="327" t="s">
        <v>294</v>
      </c>
      <c r="E185" s="575" t="s">
        <v>1848</v>
      </c>
      <c r="F185" s="561" t="s">
        <v>109</v>
      </c>
      <c r="G185" s="562" t="s">
        <v>931</v>
      </c>
      <c r="H185" s="563" t="s">
        <v>924</v>
      </c>
      <c r="I185" s="578" t="s">
        <v>925</v>
      </c>
      <c r="J185" s="564" t="s">
        <v>757</v>
      </c>
      <c r="K185" s="561">
        <v>0</v>
      </c>
      <c r="L185" s="338" t="s">
        <v>926</v>
      </c>
      <c r="M185" s="565">
        <v>1</v>
      </c>
      <c r="N185" s="565">
        <v>0</v>
      </c>
      <c r="O185" s="566">
        <f t="shared" si="7"/>
        <v>0</v>
      </c>
      <c r="P185" s="567">
        <f t="shared" si="8"/>
        <v>0</v>
      </c>
      <c r="Q185" s="568" t="e">
        <f t="shared" si="6"/>
        <v>#DIV/0!</v>
      </c>
      <c r="R185" s="676" t="s">
        <v>926</v>
      </c>
    </row>
    <row r="186" spans="1:18" x14ac:dyDescent="0.2">
      <c r="A186" s="558" t="s">
        <v>277</v>
      </c>
      <c r="B186" s="559" t="s">
        <v>914</v>
      </c>
      <c r="C186" s="573" t="s">
        <v>296</v>
      </c>
      <c r="D186" s="327" t="s">
        <v>282</v>
      </c>
      <c r="E186" s="575" t="s">
        <v>1848</v>
      </c>
      <c r="F186" s="561" t="s">
        <v>109</v>
      </c>
      <c r="G186" s="562" t="s">
        <v>931</v>
      </c>
      <c r="H186" s="563" t="s">
        <v>924</v>
      </c>
      <c r="I186" s="578" t="s">
        <v>925</v>
      </c>
      <c r="J186" s="564" t="s">
        <v>757</v>
      </c>
      <c r="K186" s="561">
        <v>0</v>
      </c>
      <c r="L186" s="338" t="s">
        <v>926</v>
      </c>
      <c r="M186" s="565">
        <v>2</v>
      </c>
      <c r="N186" s="565">
        <v>1</v>
      </c>
      <c r="O186" s="566">
        <f t="shared" si="7"/>
        <v>0.5</v>
      </c>
      <c r="P186" s="567">
        <f t="shared" si="8"/>
        <v>0</v>
      </c>
      <c r="Q186" s="568" t="e">
        <f t="shared" si="6"/>
        <v>#DIV/0!</v>
      </c>
      <c r="R186" s="676" t="s">
        <v>926</v>
      </c>
    </row>
    <row r="187" spans="1:18" x14ac:dyDescent="0.2">
      <c r="A187" s="558" t="s">
        <v>277</v>
      </c>
      <c r="B187" s="559" t="s">
        <v>914</v>
      </c>
      <c r="C187" s="573" t="s">
        <v>296</v>
      </c>
      <c r="D187" s="327" t="s">
        <v>285</v>
      </c>
      <c r="E187" s="575" t="s">
        <v>1715</v>
      </c>
      <c r="F187" s="561" t="s">
        <v>109</v>
      </c>
      <c r="G187" s="562" t="s">
        <v>931</v>
      </c>
      <c r="H187" s="563" t="s">
        <v>924</v>
      </c>
      <c r="I187" s="578" t="s">
        <v>925</v>
      </c>
      <c r="J187" s="564" t="s">
        <v>757</v>
      </c>
      <c r="K187" s="561">
        <v>25</v>
      </c>
      <c r="L187" s="338"/>
      <c r="M187" s="565">
        <v>11</v>
      </c>
      <c r="N187" s="565">
        <v>3</v>
      </c>
      <c r="O187" s="566">
        <f t="shared" si="7"/>
        <v>0.27272727272727271</v>
      </c>
      <c r="P187" s="567">
        <f t="shared" si="8"/>
        <v>1.0909090909090908</v>
      </c>
      <c r="Q187" s="568">
        <f t="shared" si="6"/>
        <v>1.0909090909090908</v>
      </c>
      <c r="R187" s="675"/>
    </row>
    <row r="188" spans="1:18" x14ac:dyDescent="0.2">
      <c r="A188" s="558" t="s">
        <v>277</v>
      </c>
      <c r="B188" s="559" t="s">
        <v>914</v>
      </c>
      <c r="C188" s="573" t="s">
        <v>296</v>
      </c>
      <c r="D188" s="327" t="s">
        <v>298</v>
      </c>
      <c r="E188" s="575" t="s">
        <v>1715</v>
      </c>
      <c r="F188" s="561" t="s">
        <v>109</v>
      </c>
      <c r="G188" s="562" t="s">
        <v>931</v>
      </c>
      <c r="H188" s="563" t="s">
        <v>924</v>
      </c>
      <c r="I188" s="578" t="s">
        <v>925</v>
      </c>
      <c r="J188" s="564" t="s">
        <v>757</v>
      </c>
      <c r="K188" s="561">
        <v>10</v>
      </c>
      <c r="L188" s="338"/>
      <c r="M188" s="565">
        <v>20</v>
      </c>
      <c r="N188" s="565">
        <v>7</v>
      </c>
      <c r="O188" s="566">
        <f t="shared" si="7"/>
        <v>0.35</v>
      </c>
      <c r="P188" s="567">
        <f t="shared" si="8"/>
        <v>3.5</v>
      </c>
      <c r="Q188" s="568">
        <f t="shared" si="6"/>
        <v>3.5</v>
      </c>
      <c r="R188" s="675"/>
    </row>
    <row r="189" spans="1:18" x14ac:dyDescent="0.2">
      <c r="A189" s="558" t="s">
        <v>277</v>
      </c>
      <c r="B189" s="559" t="s">
        <v>914</v>
      </c>
      <c r="C189" s="573" t="s">
        <v>316</v>
      </c>
      <c r="D189" s="327" t="s">
        <v>292</v>
      </c>
      <c r="E189" s="575" t="s">
        <v>1849</v>
      </c>
      <c r="F189" s="561" t="s">
        <v>109</v>
      </c>
      <c r="G189" s="562" t="s">
        <v>931</v>
      </c>
      <c r="H189" s="563" t="s">
        <v>924</v>
      </c>
      <c r="I189" s="578" t="s">
        <v>925</v>
      </c>
      <c r="J189" s="564" t="s">
        <v>757</v>
      </c>
      <c r="K189" s="561">
        <v>0</v>
      </c>
      <c r="L189" s="338" t="s">
        <v>926</v>
      </c>
      <c r="M189" s="565">
        <v>0</v>
      </c>
      <c r="N189" s="565">
        <v>0</v>
      </c>
      <c r="O189" s="566">
        <f t="shared" si="7"/>
        <v>0</v>
      </c>
      <c r="P189" s="567">
        <f t="shared" si="8"/>
        <v>0</v>
      </c>
      <c r="Q189" s="568" t="e">
        <f t="shared" si="6"/>
        <v>#DIV/0!</v>
      </c>
      <c r="R189" s="676" t="s">
        <v>1919</v>
      </c>
    </row>
    <row r="190" spans="1:18" x14ac:dyDescent="0.2">
      <c r="A190" s="558" t="s">
        <v>277</v>
      </c>
      <c r="B190" s="559" t="s">
        <v>914</v>
      </c>
      <c r="C190" s="573" t="s">
        <v>316</v>
      </c>
      <c r="D190" s="327" t="s">
        <v>294</v>
      </c>
      <c r="E190" s="575" t="s">
        <v>1849</v>
      </c>
      <c r="F190" s="561" t="s">
        <v>109</v>
      </c>
      <c r="G190" s="562" t="s">
        <v>931</v>
      </c>
      <c r="H190" s="563" t="s">
        <v>924</v>
      </c>
      <c r="I190" s="578" t="s">
        <v>925</v>
      </c>
      <c r="J190" s="564" t="s">
        <v>757</v>
      </c>
      <c r="K190" s="561">
        <v>0</v>
      </c>
      <c r="L190" s="338" t="s">
        <v>926</v>
      </c>
      <c r="M190" s="565">
        <v>0</v>
      </c>
      <c r="N190" s="565">
        <v>0</v>
      </c>
      <c r="O190" s="566">
        <f t="shared" si="7"/>
        <v>0</v>
      </c>
      <c r="P190" s="567">
        <f t="shared" si="8"/>
        <v>0</v>
      </c>
      <c r="Q190" s="568" t="e">
        <f t="shared" si="6"/>
        <v>#DIV/0!</v>
      </c>
      <c r="R190" s="676" t="s">
        <v>1919</v>
      </c>
    </row>
    <row r="191" spans="1:18" x14ac:dyDescent="0.2">
      <c r="A191" s="558" t="s">
        <v>277</v>
      </c>
      <c r="B191" s="559" t="s">
        <v>914</v>
      </c>
      <c r="C191" s="573" t="s">
        <v>308</v>
      </c>
      <c r="D191" s="327" t="s">
        <v>300</v>
      </c>
      <c r="E191" s="575" t="s">
        <v>1715</v>
      </c>
      <c r="F191" s="561" t="s">
        <v>109</v>
      </c>
      <c r="G191" s="562" t="s">
        <v>931</v>
      </c>
      <c r="H191" s="563" t="s">
        <v>927</v>
      </c>
      <c r="I191" s="578" t="s">
        <v>925</v>
      </c>
      <c r="J191" s="564" t="s">
        <v>757</v>
      </c>
      <c r="K191" s="561">
        <v>38</v>
      </c>
      <c r="L191" s="338"/>
      <c r="M191" s="565">
        <v>51</v>
      </c>
      <c r="N191" s="565">
        <v>3</v>
      </c>
      <c r="O191" s="566">
        <f t="shared" si="7"/>
        <v>5.8823529411764705E-2</v>
      </c>
      <c r="P191" s="567">
        <f t="shared" si="8"/>
        <v>0.15479876160990713</v>
      </c>
      <c r="Q191" s="568">
        <f t="shared" si="6"/>
        <v>0.15479876160990713</v>
      </c>
      <c r="R191" s="675"/>
    </row>
    <row r="192" spans="1:18" x14ac:dyDescent="0.2">
      <c r="A192" s="558" t="s">
        <v>277</v>
      </c>
      <c r="B192" s="559" t="s">
        <v>914</v>
      </c>
      <c r="C192" s="573" t="s">
        <v>308</v>
      </c>
      <c r="D192" s="327" t="s">
        <v>292</v>
      </c>
      <c r="E192" s="575" t="s">
        <v>1850</v>
      </c>
      <c r="F192" s="561" t="s">
        <v>109</v>
      </c>
      <c r="G192" s="562" t="s">
        <v>931</v>
      </c>
      <c r="H192" s="563" t="s">
        <v>924</v>
      </c>
      <c r="I192" s="578" t="s">
        <v>925</v>
      </c>
      <c r="J192" s="564" t="s">
        <v>757</v>
      </c>
      <c r="K192" s="561">
        <v>0</v>
      </c>
      <c r="L192" s="338" t="s">
        <v>926</v>
      </c>
      <c r="M192" s="565">
        <v>7</v>
      </c>
      <c r="N192" s="565">
        <v>2</v>
      </c>
      <c r="O192" s="566">
        <f t="shared" si="7"/>
        <v>0.2857142857142857</v>
      </c>
      <c r="P192" s="567">
        <f t="shared" si="8"/>
        <v>0</v>
      </c>
      <c r="Q192" s="568" t="e">
        <f t="shared" si="6"/>
        <v>#DIV/0!</v>
      </c>
      <c r="R192" s="676" t="s">
        <v>926</v>
      </c>
    </row>
    <row r="193" spans="1:18" x14ac:dyDescent="0.2">
      <c r="A193" s="558" t="s">
        <v>277</v>
      </c>
      <c r="B193" s="559" t="s">
        <v>914</v>
      </c>
      <c r="C193" s="573" t="s">
        <v>308</v>
      </c>
      <c r="D193" s="327" t="s">
        <v>294</v>
      </c>
      <c r="E193" s="575" t="s">
        <v>1850</v>
      </c>
      <c r="F193" s="561" t="s">
        <v>109</v>
      </c>
      <c r="G193" s="562" t="s">
        <v>931</v>
      </c>
      <c r="H193" s="563" t="s">
        <v>924</v>
      </c>
      <c r="I193" s="578" t="s">
        <v>925</v>
      </c>
      <c r="J193" s="564" t="s">
        <v>757</v>
      </c>
      <c r="K193" s="561">
        <v>0</v>
      </c>
      <c r="L193" s="338" t="s">
        <v>926</v>
      </c>
      <c r="M193" s="565">
        <v>1</v>
      </c>
      <c r="N193" s="565">
        <v>0</v>
      </c>
      <c r="O193" s="566">
        <f t="shared" si="7"/>
        <v>0</v>
      </c>
      <c r="P193" s="567">
        <f t="shared" si="8"/>
        <v>0</v>
      </c>
      <c r="Q193" s="568" t="e">
        <f t="shared" si="6"/>
        <v>#DIV/0!</v>
      </c>
      <c r="R193" s="676" t="s">
        <v>926</v>
      </c>
    </row>
    <row r="194" spans="1:18" x14ac:dyDescent="0.2">
      <c r="A194" s="558" t="s">
        <v>277</v>
      </c>
      <c r="B194" s="559" t="s">
        <v>914</v>
      </c>
      <c r="C194" s="573" t="s">
        <v>305</v>
      </c>
      <c r="D194" s="327" t="s">
        <v>300</v>
      </c>
      <c r="E194" s="575" t="s">
        <v>1715</v>
      </c>
      <c r="F194" s="561" t="s">
        <v>109</v>
      </c>
      <c r="G194" s="562" t="s">
        <v>931</v>
      </c>
      <c r="H194" s="563" t="s">
        <v>927</v>
      </c>
      <c r="I194" s="578" t="s">
        <v>925</v>
      </c>
      <c r="J194" s="564" t="s">
        <v>757</v>
      </c>
      <c r="K194" s="561">
        <v>5</v>
      </c>
      <c r="L194" s="338"/>
      <c r="M194" s="565">
        <v>568</v>
      </c>
      <c r="N194" s="565">
        <v>24</v>
      </c>
      <c r="O194" s="566">
        <f t="shared" si="7"/>
        <v>4.2253521126760563E-2</v>
      </c>
      <c r="P194" s="567">
        <f t="shared" si="8"/>
        <v>0.84507042253521125</v>
      </c>
      <c r="Q194" s="568">
        <f t="shared" si="6"/>
        <v>0.84507042253521136</v>
      </c>
      <c r="R194" s="675"/>
    </row>
    <row r="195" spans="1:18" x14ac:dyDescent="0.2">
      <c r="A195" s="558" t="s">
        <v>277</v>
      </c>
      <c r="B195" s="559" t="s">
        <v>914</v>
      </c>
      <c r="C195" s="573" t="s">
        <v>305</v>
      </c>
      <c r="D195" s="327" t="s">
        <v>292</v>
      </c>
      <c r="E195" s="575" t="s">
        <v>1715</v>
      </c>
      <c r="F195" s="561" t="s">
        <v>109</v>
      </c>
      <c r="G195" s="562" t="s">
        <v>931</v>
      </c>
      <c r="H195" s="563" t="s">
        <v>924</v>
      </c>
      <c r="I195" s="578" t="s">
        <v>925</v>
      </c>
      <c r="J195" s="564" t="s">
        <v>757</v>
      </c>
      <c r="K195" s="561">
        <v>32</v>
      </c>
      <c r="L195" s="338"/>
      <c r="M195" s="565">
        <v>85</v>
      </c>
      <c r="N195" s="565">
        <v>22</v>
      </c>
      <c r="O195" s="566">
        <f t="shared" si="7"/>
        <v>0.25882352941176473</v>
      </c>
      <c r="P195" s="567">
        <f t="shared" si="8"/>
        <v>0.80882352941176472</v>
      </c>
      <c r="Q195" s="568">
        <f t="shared" si="6"/>
        <v>0.80882352941176472</v>
      </c>
      <c r="R195" s="675"/>
    </row>
    <row r="196" spans="1:18" x14ac:dyDescent="0.2">
      <c r="A196" s="558" t="s">
        <v>277</v>
      </c>
      <c r="B196" s="559" t="s">
        <v>914</v>
      </c>
      <c r="C196" s="573" t="s">
        <v>305</v>
      </c>
      <c r="D196" s="327" t="s">
        <v>294</v>
      </c>
      <c r="E196" s="575" t="s">
        <v>1851</v>
      </c>
      <c r="F196" s="561" t="s">
        <v>109</v>
      </c>
      <c r="G196" s="562" t="s">
        <v>931</v>
      </c>
      <c r="H196" s="563" t="s">
        <v>924</v>
      </c>
      <c r="I196" s="578" t="s">
        <v>925</v>
      </c>
      <c r="J196" s="564" t="s">
        <v>757</v>
      </c>
      <c r="K196" s="561">
        <v>33</v>
      </c>
      <c r="L196" s="338"/>
      <c r="M196" s="565">
        <v>24</v>
      </c>
      <c r="N196" s="565">
        <v>8</v>
      </c>
      <c r="O196" s="566">
        <f t="shared" si="7"/>
        <v>0.33333333333333331</v>
      </c>
      <c r="P196" s="567">
        <f t="shared" si="8"/>
        <v>1.0101010101010102</v>
      </c>
      <c r="Q196" s="568">
        <f t="shared" si="6"/>
        <v>1.0101010101010102</v>
      </c>
      <c r="R196" s="675"/>
    </row>
    <row r="197" spans="1:18" x14ac:dyDescent="0.2">
      <c r="A197" s="558" t="s">
        <v>277</v>
      </c>
      <c r="B197" s="559" t="s">
        <v>914</v>
      </c>
      <c r="C197" s="573" t="s">
        <v>305</v>
      </c>
      <c r="D197" s="327" t="s">
        <v>285</v>
      </c>
      <c r="E197" s="575" t="s">
        <v>1851</v>
      </c>
      <c r="F197" s="561" t="s">
        <v>109</v>
      </c>
      <c r="G197" s="562" t="s">
        <v>931</v>
      </c>
      <c r="H197" s="563" t="s">
        <v>924</v>
      </c>
      <c r="I197" s="578" t="s">
        <v>925</v>
      </c>
      <c r="J197" s="564" t="s">
        <v>757</v>
      </c>
      <c r="K197" s="561">
        <v>0</v>
      </c>
      <c r="L197" s="338" t="s">
        <v>926</v>
      </c>
      <c r="M197" s="565">
        <v>2</v>
      </c>
      <c r="N197" s="565">
        <v>1</v>
      </c>
      <c r="O197" s="566">
        <f t="shared" si="7"/>
        <v>0.5</v>
      </c>
      <c r="P197" s="567">
        <f t="shared" si="8"/>
        <v>0</v>
      </c>
      <c r="Q197" s="568" t="e">
        <f t="shared" ref="Q197:Q260" si="9">N197/(M197*K197/100)</f>
        <v>#DIV/0!</v>
      </c>
      <c r="R197" s="676" t="s">
        <v>926</v>
      </c>
    </row>
    <row r="198" spans="1:18" x14ac:dyDescent="0.2">
      <c r="A198" s="558" t="s">
        <v>277</v>
      </c>
      <c r="B198" s="559" t="s">
        <v>914</v>
      </c>
      <c r="C198" s="573" t="s">
        <v>97</v>
      </c>
      <c r="D198" s="327" t="s">
        <v>282</v>
      </c>
      <c r="E198" s="575" t="s">
        <v>1843</v>
      </c>
      <c r="F198" s="561" t="s">
        <v>109</v>
      </c>
      <c r="G198" s="562" t="s">
        <v>932</v>
      </c>
      <c r="H198" s="563" t="s">
        <v>924</v>
      </c>
      <c r="I198" s="578" t="s">
        <v>925</v>
      </c>
      <c r="J198" s="564" t="s">
        <v>757</v>
      </c>
      <c r="K198" s="561">
        <v>33</v>
      </c>
      <c r="L198" s="338"/>
      <c r="M198" s="565">
        <v>6</v>
      </c>
      <c r="N198" s="565">
        <v>3</v>
      </c>
      <c r="O198" s="566">
        <f t="shared" ref="O198:O261" si="10">IFERROR(N198/M198,0)</f>
        <v>0.5</v>
      </c>
      <c r="P198" s="567">
        <f t="shared" ref="P198:P261" si="11">IFERROR(N198/(M198*(K198/100)),0)</f>
        <v>1.5151515151515151</v>
      </c>
      <c r="Q198" s="568">
        <f t="shared" si="9"/>
        <v>1.5151515151515151</v>
      </c>
      <c r="R198" s="675"/>
    </row>
    <row r="199" spans="1:18" x14ac:dyDescent="0.2">
      <c r="A199" s="558" t="s">
        <v>277</v>
      </c>
      <c r="B199" s="559" t="s">
        <v>914</v>
      </c>
      <c r="C199" s="573" t="s">
        <v>97</v>
      </c>
      <c r="D199" s="327" t="s">
        <v>285</v>
      </c>
      <c r="E199" s="575" t="s">
        <v>1843</v>
      </c>
      <c r="F199" s="561" t="s">
        <v>109</v>
      </c>
      <c r="G199" s="562" t="s">
        <v>932</v>
      </c>
      <c r="H199" s="563" t="s">
        <v>924</v>
      </c>
      <c r="I199" s="578" t="s">
        <v>925</v>
      </c>
      <c r="J199" s="564" t="s">
        <v>757</v>
      </c>
      <c r="K199" s="561">
        <v>0</v>
      </c>
      <c r="L199" s="338" t="s">
        <v>926</v>
      </c>
      <c r="M199" s="565">
        <v>8</v>
      </c>
      <c r="N199" s="565">
        <v>7</v>
      </c>
      <c r="O199" s="566">
        <f t="shared" si="10"/>
        <v>0.875</v>
      </c>
      <c r="P199" s="567">
        <f t="shared" si="11"/>
        <v>0</v>
      </c>
      <c r="Q199" s="568" t="e">
        <f t="shared" si="9"/>
        <v>#DIV/0!</v>
      </c>
      <c r="R199" s="676" t="s">
        <v>926</v>
      </c>
    </row>
    <row r="200" spans="1:18" x14ac:dyDescent="0.2">
      <c r="A200" s="558" t="s">
        <v>277</v>
      </c>
      <c r="B200" s="559" t="s">
        <v>914</v>
      </c>
      <c r="C200" s="573" t="s">
        <v>286</v>
      </c>
      <c r="D200" s="327" t="s">
        <v>300</v>
      </c>
      <c r="E200" s="575" t="s">
        <v>1715</v>
      </c>
      <c r="F200" s="561" t="s">
        <v>109</v>
      </c>
      <c r="G200" s="562" t="s">
        <v>932</v>
      </c>
      <c r="H200" s="563" t="s">
        <v>927</v>
      </c>
      <c r="I200" s="578" t="s">
        <v>925</v>
      </c>
      <c r="J200" s="564" t="s">
        <v>757</v>
      </c>
      <c r="K200" s="561">
        <v>0</v>
      </c>
      <c r="L200" s="338" t="s">
        <v>926</v>
      </c>
      <c r="M200" s="565">
        <v>39</v>
      </c>
      <c r="N200" s="565">
        <v>5</v>
      </c>
      <c r="O200" s="566">
        <f t="shared" si="10"/>
        <v>0.12820512820512819</v>
      </c>
      <c r="P200" s="567">
        <f t="shared" si="11"/>
        <v>0</v>
      </c>
      <c r="Q200" s="568" t="e">
        <f t="shared" si="9"/>
        <v>#DIV/0!</v>
      </c>
      <c r="R200" s="676" t="s">
        <v>926</v>
      </c>
    </row>
    <row r="201" spans="1:18" x14ac:dyDescent="0.2">
      <c r="A201" s="558" t="s">
        <v>277</v>
      </c>
      <c r="B201" s="559" t="s">
        <v>914</v>
      </c>
      <c r="C201" s="573" t="s">
        <v>286</v>
      </c>
      <c r="D201" s="327" t="s">
        <v>292</v>
      </c>
      <c r="E201" s="575" t="s">
        <v>1715</v>
      </c>
      <c r="F201" s="561" t="s">
        <v>109</v>
      </c>
      <c r="G201" s="562" t="s">
        <v>932</v>
      </c>
      <c r="H201" s="563" t="s">
        <v>924</v>
      </c>
      <c r="I201" s="578" t="s">
        <v>925</v>
      </c>
      <c r="J201" s="564" t="s">
        <v>757</v>
      </c>
      <c r="K201" s="561">
        <v>26</v>
      </c>
      <c r="L201" s="338"/>
      <c r="M201" s="565">
        <v>12</v>
      </c>
      <c r="N201" s="565">
        <v>4</v>
      </c>
      <c r="O201" s="566">
        <f t="shared" si="10"/>
        <v>0.33333333333333331</v>
      </c>
      <c r="P201" s="567">
        <f t="shared" si="11"/>
        <v>1.2820512820512819</v>
      </c>
      <c r="Q201" s="568">
        <f t="shared" si="9"/>
        <v>1.2820512820512819</v>
      </c>
      <c r="R201" s="675"/>
    </row>
    <row r="202" spans="1:18" x14ac:dyDescent="0.2">
      <c r="A202" s="558" t="s">
        <v>277</v>
      </c>
      <c r="B202" s="559" t="s">
        <v>914</v>
      </c>
      <c r="C202" s="573" t="s">
        <v>286</v>
      </c>
      <c r="D202" s="327" t="s">
        <v>294</v>
      </c>
      <c r="E202" s="575" t="s">
        <v>1715</v>
      </c>
      <c r="F202" s="561" t="s">
        <v>109</v>
      </c>
      <c r="G202" s="562" t="s">
        <v>932</v>
      </c>
      <c r="H202" s="563" t="s">
        <v>924</v>
      </c>
      <c r="I202" s="578" t="s">
        <v>925</v>
      </c>
      <c r="J202" s="564" t="s">
        <v>757</v>
      </c>
      <c r="K202" s="561">
        <v>16</v>
      </c>
      <c r="L202" s="338"/>
      <c r="M202" s="565">
        <v>40</v>
      </c>
      <c r="N202" s="565">
        <v>7</v>
      </c>
      <c r="O202" s="566">
        <f t="shared" si="10"/>
        <v>0.17499999999999999</v>
      </c>
      <c r="P202" s="567">
        <f t="shared" si="11"/>
        <v>1.09375</v>
      </c>
      <c r="Q202" s="568">
        <f t="shared" si="9"/>
        <v>1.09375</v>
      </c>
      <c r="R202" s="675"/>
    </row>
    <row r="203" spans="1:18" x14ac:dyDescent="0.2">
      <c r="A203" s="558" t="s">
        <v>277</v>
      </c>
      <c r="B203" s="559" t="s">
        <v>914</v>
      </c>
      <c r="C203" s="573" t="s">
        <v>286</v>
      </c>
      <c r="D203" s="327" t="s">
        <v>282</v>
      </c>
      <c r="E203" s="575" t="s">
        <v>1715</v>
      </c>
      <c r="F203" s="561" t="s">
        <v>109</v>
      </c>
      <c r="G203" s="562" t="s">
        <v>932</v>
      </c>
      <c r="H203" s="563" t="s">
        <v>924</v>
      </c>
      <c r="I203" s="578" t="s">
        <v>925</v>
      </c>
      <c r="J203" s="564" t="s">
        <v>757</v>
      </c>
      <c r="K203" s="561">
        <v>6</v>
      </c>
      <c r="L203" s="338"/>
      <c r="M203" s="565">
        <v>68</v>
      </c>
      <c r="N203" s="565">
        <v>9</v>
      </c>
      <c r="O203" s="566">
        <f t="shared" si="10"/>
        <v>0.13235294117647059</v>
      </c>
      <c r="P203" s="567">
        <f t="shared" si="11"/>
        <v>2.2058823529411766</v>
      </c>
      <c r="Q203" s="568">
        <f t="shared" si="9"/>
        <v>2.2058823529411766</v>
      </c>
      <c r="R203" s="675"/>
    </row>
    <row r="204" spans="1:18" x14ac:dyDescent="0.2">
      <c r="A204" s="558" t="s">
        <v>277</v>
      </c>
      <c r="B204" s="559" t="s">
        <v>914</v>
      </c>
      <c r="C204" s="573" t="s">
        <v>286</v>
      </c>
      <c r="D204" s="327" t="s">
        <v>285</v>
      </c>
      <c r="E204" s="575" t="s">
        <v>1715</v>
      </c>
      <c r="F204" s="561" t="s">
        <v>109</v>
      </c>
      <c r="G204" s="562" t="s">
        <v>932</v>
      </c>
      <c r="H204" s="563" t="s">
        <v>924</v>
      </c>
      <c r="I204" s="578" t="s">
        <v>925</v>
      </c>
      <c r="J204" s="564" t="s">
        <v>757</v>
      </c>
      <c r="K204" s="561">
        <v>8</v>
      </c>
      <c r="L204" s="338"/>
      <c r="M204" s="565">
        <v>47</v>
      </c>
      <c r="N204" s="565">
        <v>12</v>
      </c>
      <c r="O204" s="566">
        <f t="shared" si="10"/>
        <v>0.25531914893617019</v>
      </c>
      <c r="P204" s="567">
        <f t="shared" si="11"/>
        <v>3.1914893617021276</v>
      </c>
      <c r="Q204" s="568">
        <f t="shared" si="9"/>
        <v>3.191489361702128</v>
      </c>
      <c r="R204" s="675"/>
    </row>
    <row r="205" spans="1:18" x14ac:dyDescent="0.2">
      <c r="A205" s="558" t="s">
        <v>277</v>
      </c>
      <c r="B205" s="559" t="s">
        <v>914</v>
      </c>
      <c r="C205" s="573" t="s">
        <v>303</v>
      </c>
      <c r="D205" s="327" t="s">
        <v>300</v>
      </c>
      <c r="E205" s="575" t="s">
        <v>1715</v>
      </c>
      <c r="F205" s="561" t="s">
        <v>109</v>
      </c>
      <c r="G205" s="562" t="s">
        <v>932</v>
      </c>
      <c r="H205" s="563" t="s">
        <v>927</v>
      </c>
      <c r="I205" s="578" t="s">
        <v>925</v>
      </c>
      <c r="J205" s="564" t="s">
        <v>757</v>
      </c>
      <c r="K205" s="561">
        <v>28.999999999999996</v>
      </c>
      <c r="L205" s="338"/>
      <c r="M205" s="565">
        <v>144</v>
      </c>
      <c r="N205" s="565">
        <v>7</v>
      </c>
      <c r="O205" s="566">
        <f t="shared" si="10"/>
        <v>4.8611111111111112E-2</v>
      </c>
      <c r="P205" s="567">
        <f t="shared" si="11"/>
        <v>0.16762452107279693</v>
      </c>
      <c r="Q205" s="568">
        <f t="shared" si="9"/>
        <v>0.16762452107279696</v>
      </c>
      <c r="R205" s="675"/>
    </row>
    <row r="206" spans="1:18" x14ac:dyDescent="0.2">
      <c r="A206" s="558" t="s">
        <v>277</v>
      </c>
      <c r="B206" s="559" t="s">
        <v>914</v>
      </c>
      <c r="C206" s="573" t="s">
        <v>303</v>
      </c>
      <c r="D206" s="327" t="s">
        <v>292</v>
      </c>
      <c r="E206" s="575" t="s">
        <v>1844</v>
      </c>
      <c r="F206" s="561" t="s">
        <v>109</v>
      </c>
      <c r="G206" s="562" t="s">
        <v>932</v>
      </c>
      <c r="H206" s="563" t="s">
        <v>924</v>
      </c>
      <c r="I206" s="578" t="s">
        <v>925</v>
      </c>
      <c r="J206" s="564" t="s">
        <v>757</v>
      </c>
      <c r="K206" s="561">
        <v>8</v>
      </c>
      <c r="L206" s="338"/>
      <c r="M206" s="565">
        <v>42</v>
      </c>
      <c r="N206" s="565">
        <v>6</v>
      </c>
      <c r="O206" s="566">
        <f t="shared" si="10"/>
        <v>0.14285714285714285</v>
      </c>
      <c r="P206" s="567">
        <f t="shared" si="11"/>
        <v>1.7857142857142858</v>
      </c>
      <c r="Q206" s="568">
        <f t="shared" si="9"/>
        <v>1.7857142857142858</v>
      </c>
      <c r="R206" s="675"/>
    </row>
    <row r="207" spans="1:18" x14ac:dyDescent="0.2">
      <c r="A207" s="558" t="s">
        <v>277</v>
      </c>
      <c r="B207" s="559" t="s">
        <v>914</v>
      </c>
      <c r="C207" s="573" t="s">
        <v>303</v>
      </c>
      <c r="D207" s="327" t="s">
        <v>294</v>
      </c>
      <c r="E207" s="575" t="s">
        <v>1844</v>
      </c>
      <c r="F207" s="561" t="s">
        <v>109</v>
      </c>
      <c r="G207" s="562" t="s">
        <v>932</v>
      </c>
      <c r="H207" s="563" t="s">
        <v>924</v>
      </c>
      <c r="I207" s="578" t="s">
        <v>925</v>
      </c>
      <c r="J207" s="564" t="s">
        <v>757</v>
      </c>
      <c r="K207" s="561">
        <v>0</v>
      </c>
      <c r="L207" s="338" t="s">
        <v>926</v>
      </c>
      <c r="M207" s="565">
        <v>10</v>
      </c>
      <c r="N207" s="565">
        <v>0</v>
      </c>
      <c r="O207" s="566">
        <f t="shared" si="10"/>
        <v>0</v>
      </c>
      <c r="P207" s="567">
        <f t="shared" si="11"/>
        <v>0</v>
      </c>
      <c r="Q207" s="568" t="e">
        <f t="shared" si="9"/>
        <v>#DIV/0!</v>
      </c>
      <c r="R207" s="676" t="s">
        <v>926</v>
      </c>
    </row>
    <row r="208" spans="1:18" x14ac:dyDescent="0.2">
      <c r="A208" s="558" t="s">
        <v>277</v>
      </c>
      <c r="B208" s="559" t="s">
        <v>914</v>
      </c>
      <c r="C208" s="573" t="s">
        <v>303</v>
      </c>
      <c r="D208" s="327" t="s">
        <v>282</v>
      </c>
      <c r="E208" s="575" t="s">
        <v>1845</v>
      </c>
      <c r="F208" s="561" t="s">
        <v>109</v>
      </c>
      <c r="G208" s="562" t="s">
        <v>932</v>
      </c>
      <c r="H208" s="563" t="s">
        <v>924</v>
      </c>
      <c r="I208" s="578" t="s">
        <v>925</v>
      </c>
      <c r="J208" s="564" t="s">
        <v>757</v>
      </c>
      <c r="K208" s="561">
        <v>0</v>
      </c>
      <c r="L208" s="338" t="s">
        <v>926</v>
      </c>
      <c r="M208" s="565">
        <v>2</v>
      </c>
      <c r="N208" s="565">
        <v>0</v>
      </c>
      <c r="O208" s="566">
        <f t="shared" si="10"/>
        <v>0</v>
      </c>
      <c r="P208" s="567">
        <f t="shared" si="11"/>
        <v>0</v>
      </c>
      <c r="Q208" s="568" t="e">
        <f t="shared" si="9"/>
        <v>#DIV/0!</v>
      </c>
      <c r="R208" s="676" t="s">
        <v>926</v>
      </c>
    </row>
    <row r="209" spans="1:18" x14ac:dyDescent="0.2">
      <c r="A209" s="558" t="s">
        <v>277</v>
      </c>
      <c r="B209" s="559" t="s">
        <v>914</v>
      </c>
      <c r="C209" s="573" t="s">
        <v>303</v>
      </c>
      <c r="D209" s="327" t="s">
        <v>285</v>
      </c>
      <c r="E209" s="575" t="s">
        <v>1845</v>
      </c>
      <c r="F209" s="561" t="s">
        <v>109</v>
      </c>
      <c r="G209" s="562" t="s">
        <v>932</v>
      </c>
      <c r="H209" s="563" t="s">
        <v>924</v>
      </c>
      <c r="I209" s="578" t="s">
        <v>925</v>
      </c>
      <c r="J209" s="564" t="s">
        <v>757</v>
      </c>
      <c r="K209" s="561">
        <v>0</v>
      </c>
      <c r="L209" s="338" t="s">
        <v>926</v>
      </c>
      <c r="M209" s="565">
        <v>5</v>
      </c>
      <c r="N209" s="565">
        <v>1</v>
      </c>
      <c r="O209" s="566">
        <f t="shared" si="10"/>
        <v>0.2</v>
      </c>
      <c r="P209" s="567">
        <f t="shared" si="11"/>
        <v>0</v>
      </c>
      <c r="Q209" s="568" t="e">
        <f t="shared" si="9"/>
        <v>#DIV/0!</v>
      </c>
      <c r="R209" s="676" t="s">
        <v>926</v>
      </c>
    </row>
    <row r="210" spans="1:18" x14ac:dyDescent="0.2">
      <c r="A210" s="558" t="s">
        <v>277</v>
      </c>
      <c r="B210" s="559" t="s">
        <v>914</v>
      </c>
      <c r="C210" s="573" t="s">
        <v>99</v>
      </c>
      <c r="D210" s="327" t="s">
        <v>300</v>
      </c>
      <c r="E210" s="575" t="s">
        <v>1715</v>
      </c>
      <c r="F210" s="561" t="s">
        <v>109</v>
      </c>
      <c r="G210" s="562" t="s">
        <v>932</v>
      </c>
      <c r="H210" s="563" t="s">
        <v>927</v>
      </c>
      <c r="I210" s="578" t="s">
        <v>925</v>
      </c>
      <c r="J210" s="564" t="s">
        <v>757</v>
      </c>
      <c r="K210" s="561">
        <v>17</v>
      </c>
      <c r="L210" s="338"/>
      <c r="M210" s="565">
        <v>158</v>
      </c>
      <c r="N210" s="565">
        <v>15</v>
      </c>
      <c r="O210" s="566">
        <f t="shared" si="10"/>
        <v>9.49367088607595E-2</v>
      </c>
      <c r="P210" s="567">
        <f t="shared" si="11"/>
        <v>0.5584512285927028</v>
      </c>
      <c r="Q210" s="568">
        <f t="shared" si="9"/>
        <v>0.55845122859270291</v>
      </c>
      <c r="R210" s="675"/>
    </row>
    <row r="211" spans="1:18" x14ac:dyDescent="0.2">
      <c r="A211" s="558" t="s">
        <v>277</v>
      </c>
      <c r="B211" s="559" t="s">
        <v>914</v>
      </c>
      <c r="C211" s="573" t="s">
        <v>99</v>
      </c>
      <c r="D211" s="327" t="s">
        <v>292</v>
      </c>
      <c r="E211" s="575" t="s">
        <v>1715</v>
      </c>
      <c r="F211" s="561" t="s">
        <v>109</v>
      </c>
      <c r="G211" s="562" t="s">
        <v>932</v>
      </c>
      <c r="H211" s="563" t="s">
        <v>924</v>
      </c>
      <c r="I211" s="578" t="s">
        <v>925</v>
      </c>
      <c r="J211" s="564" t="s">
        <v>757</v>
      </c>
      <c r="K211" s="561">
        <v>36</v>
      </c>
      <c r="L211" s="338"/>
      <c r="M211" s="565">
        <v>7</v>
      </c>
      <c r="N211" s="565">
        <v>1</v>
      </c>
      <c r="O211" s="566">
        <f t="shared" si="10"/>
        <v>0.14285714285714285</v>
      </c>
      <c r="P211" s="567">
        <f t="shared" si="11"/>
        <v>0.3968253968253968</v>
      </c>
      <c r="Q211" s="568">
        <f t="shared" si="9"/>
        <v>0.3968253968253968</v>
      </c>
      <c r="R211" s="675"/>
    </row>
    <row r="212" spans="1:18" x14ac:dyDescent="0.2">
      <c r="A212" s="558" t="s">
        <v>277</v>
      </c>
      <c r="B212" s="559" t="s">
        <v>914</v>
      </c>
      <c r="C212" s="573" t="s">
        <v>99</v>
      </c>
      <c r="D212" s="327" t="s">
        <v>294</v>
      </c>
      <c r="E212" s="575" t="s">
        <v>1846</v>
      </c>
      <c r="F212" s="561" t="s">
        <v>109</v>
      </c>
      <c r="G212" s="562" t="s">
        <v>932</v>
      </c>
      <c r="H212" s="563" t="s">
        <v>924</v>
      </c>
      <c r="I212" s="578" t="s">
        <v>925</v>
      </c>
      <c r="J212" s="564" t="s">
        <v>757</v>
      </c>
      <c r="K212" s="561">
        <v>80</v>
      </c>
      <c r="L212" s="338"/>
      <c r="M212" s="565">
        <v>8</v>
      </c>
      <c r="N212" s="565">
        <v>3</v>
      </c>
      <c r="O212" s="566">
        <f t="shared" si="10"/>
        <v>0.375</v>
      </c>
      <c r="P212" s="567">
        <f t="shared" si="11"/>
        <v>0.46875</v>
      </c>
      <c r="Q212" s="568">
        <f t="shared" si="9"/>
        <v>0.46875</v>
      </c>
      <c r="R212" s="675"/>
    </row>
    <row r="213" spans="1:18" x14ac:dyDescent="0.2">
      <c r="A213" s="558" t="s">
        <v>277</v>
      </c>
      <c r="B213" s="559" t="s">
        <v>914</v>
      </c>
      <c r="C213" s="573" t="s">
        <v>99</v>
      </c>
      <c r="D213" s="327" t="s">
        <v>282</v>
      </c>
      <c r="E213" s="575" t="s">
        <v>1846</v>
      </c>
      <c r="F213" s="561" t="s">
        <v>109</v>
      </c>
      <c r="G213" s="562" t="s">
        <v>932</v>
      </c>
      <c r="H213" s="563" t="s">
        <v>924</v>
      </c>
      <c r="I213" s="578" t="s">
        <v>925</v>
      </c>
      <c r="J213" s="564" t="s">
        <v>757</v>
      </c>
      <c r="K213" s="561">
        <v>0</v>
      </c>
      <c r="L213" s="338" t="s">
        <v>926</v>
      </c>
      <c r="M213" s="565">
        <v>4</v>
      </c>
      <c r="N213" s="565">
        <v>1</v>
      </c>
      <c r="O213" s="566">
        <f t="shared" si="10"/>
        <v>0.25</v>
      </c>
      <c r="P213" s="567">
        <f t="shared" si="11"/>
        <v>0</v>
      </c>
      <c r="Q213" s="568" t="e">
        <f t="shared" si="9"/>
        <v>#DIV/0!</v>
      </c>
      <c r="R213" s="676" t="s">
        <v>926</v>
      </c>
    </row>
    <row r="214" spans="1:18" x14ac:dyDescent="0.2">
      <c r="A214" s="558" t="s">
        <v>277</v>
      </c>
      <c r="B214" s="559" t="s">
        <v>914</v>
      </c>
      <c r="C214" s="573" t="s">
        <v>99</v>
      </c>
      <c r="D214" s="327" t="s">
        <v>285</v>
      </c>
      <c r="E214" s="575" t="s">
        <v>1846</v>
      </c>
      <c r="F214" s="561" t="s">
        <v>109</v>
      </c>
      <c r="G214" s="562" t="s">
        <v>932</v>
      </c>
      <c r="H214" s="563" t="s">
        <v>924</v>
      </c>
      <c r="I214" s="578" t="s">
        <v>925</v>
      </c>
      <c r="J214" s="564" t="s">
        <v>757</v>
      </c>
      <c r="K214" s="561">
        <v>0</v>
      </c>
      <c r="L214" s="338" t="s">
        <v>926</v>
      </c>
      <c r="M214" s="565">
        <v>1</v>
      </c>
      <c r="N214" s="565">
        <v>0</v>
      </c>
      <c r="O214" s="566">
        <f t="shared" si="10"/>
        <v>0</v>
      </c>
      <c r="P214" s="567">
        <f t="shared" si="11"/>
        <v>0</v>
      </c>
      <c r="Q214" s="568" t="e">
        <f t="shared" si="9"/>
        <v>#DIV/0!</v>
      </c>
      <c r="R214" s="676" t="s">
        <v>926</v>
      </c>
    </row>
    <row r="215" spans="1:18" x14ac:dyDescent="0.2">
      <c r="A215" s="558" t="s">
        <v>277</v>
      </c>
      <c r="B215" s="559" t="s">
        <v>914</v>
      </c>
      <c r="C215" s="573" t="s">
        <v>296</v>
      </c>
      <c r="D215" s="327" t="s">
        <v>300</v>
      </c>
      <c r="E215" s="575" t="s">
        <v>1847</v>
      </c>
      <c r="F215" s="561" t="s">
        <v>109</v>
      </c>
      <c r="G215" s="562" t="s">
        <v>932</v>
      </c>
      <c r="H215" s="563" t="s">
        <v>927</v>
      </c>
      <c r="I215" s="578" t="s">
        <v>925</v>
      </c>
      <c r="J215" s="564" t="s">
        <v>757</v>
      </c>
      <c r="K215" s="561">
        <v>13</v>
      </c>
      <c r="L215" s="338"/>
      <c r="M215" s="565">
        <v>0</v>
      </c>
      <c r="N215" s="565">
        <v>0</v>
      </c>
      <c r="O215" s="566">
        <f t="shared" si="10"/>
        <v>0</v>
      </c>
      <c r="P215" s="567">
        <f t="shared" si="11"/>
        <v>0</v>
      </c>
      <c r="Q215" s="568" t="e">
        <f t="shared" si="9"/>
        <v>#DIV/0!</v>
      </c>
      <c r="R215" s="676" t="s">
        <v>1919</v>
      </c>
    </row>
    <row r="216" spans="1:18" x14ac:dyDescent="0.2">
      <c r="A216" s="558" t="s">
        <v>277</v>
      </c>
      <c r="B216" s="559" t="s">
        <v>914</v>
      </c>
      <c r="C216" s="573" t="s">
        <v>296</v>
      </c>
      <c r="D216" s="327" t="s">
        <v>292</v>
      </c>
      <c r="E216" s="575" t="s">
        <v>1847</v>
      </c>
      <c r="F216" s="561" t="s">
        <v>109</v>
      </c>
      <c r="G216" s="562" t="s">
        <v>932</v>
      </c>
      <c r="H216" s="563" t="s">
        <v>924</v>
      </c>
      <c r="I216" s="578" t="s">
        <v>925</v>
      </c>
      <c r="J216" s="564" t="s">
        <v>757</v>
      </c>
      <c r="K216" s="561">
        <v>0</v>
      </c>
      <c r="L216" s="338" t="s">
        <v>926</v>
      </c>
      <c r="M216" s="565">
        <v>3</v>
      </c>
      <c r="N216" s="565">
        <v>1</v>
      </c>
      <c r="O216" s="566">
        <f t="shared" si="10"/>
        <v>0.33333333333333331</v>
      </c>
      <c r="P216" s="567">
        <f t="shared" si="11"/>
        <v>0</v>
      </c>
      <c r="Q216" s="568" t="e">
        <f t="shared" si="9"/>
        <v>#DIV/0!</v>
      </c>
      <c r="R216" s="676" t="s">
        <v>926</v>
      </c>
    </row>
    <row r="217" spans="1:18" x14ac:dyDescent="0.2">
      <c r="A217" s="558" t="s">
        <v>277</v>
      </c>
      <c r="B217" s="559" t="s">
        <v>914</v>
      </c>
      <c r="C217" s="573" t="s">
        <v>296</v>
      </c>
      <c r="D217" s="327" t="s">
        <v>294</v>
      </c>
      <c r="E217" s="575" t="s">
        <v>1848</v>
      </c>
      <c r="F217" s="561" t="s">
        <v>109</v>
      </c>
      <c r="G217" s="562" t="s">
        <v>932</v>
      </c>
      <c r="H217" s="563" t="s">
        <v>924</v>
      </c>
      <c r="I217" s="578" t="s">
        <v>925</v>
      </c>
      <c r="J217" s="564" t="s">
        <v>757</v>
      </c>
      <c r="K217" s="561">
        <v>0</v>
      </c>
      <c r="L217" s="338" t="s">
        <v>926</v>
      </c>
      <c r="M217" s="565">
        <v>1</v>
      </c>
      <c r="N217" s="565">
        <v>0</v>
      </c>
      <c r="O217" s="566">
        <f t="shared" si="10"/>
        <v>0</v>
      </c>
      <c r="P217" s="567">
        <f t="shared" si="11"/>
        <v>0</v>
      </c>
      <c r="Q217" s="568" t="e">
        <f t="shared" si="9"/>
        <v>#DIV/0!</v>
      </c>
      <c r="R217" s="676" t="s">
        <v>926</v>
      </c>
    </row>
    <row r="218" spans="1:18" x14ac:dyDescent="0.2">
      <c r="A218" s="558" t="s">
        <v>277</v>
      </c>
      <c r="B218" s="559" t="s">
        <v>914</v>
      </c>
      <c r="C218" s="573" t="s">
        <v>296</v>
      </c>
      <c r="D218" s="327" t="s">
        <v>282</v>
      </c>
      <c r="E218" s="575" t="s">
        <v>1848</v>
      </c>
      <c r="F218" s="561" t="s">
        <v>109</v>
      </c>
      <c r="G218" s="562" t="s">
        <v>932</v>
      </c>
      <c r="H218" s="563" t="s">
        <v>924</v>
      </c>
      <c r="I218" s="578" t="s">
        <v>925</v>
      </c>
      <c r="J218" s="564" t="s">
        <v>757</v>
      </c>
      <c r="K218" s="561">
        <v>0</v>
      </c>
      <c r="L218" s="338" t="s">
        <v>926</v>
      </c>
      <c r="M218" s="565">
        <v>2</v>
      </c>
      <c r="N218" s="565">
        <v>1</v>
      </c>
      <c r="O218" s="566">
        <f t="shared" si="10"/>
        <v>0.5</v>
      </c>
      <c r="P218" s="567">
        <f t="shared" si="11"/>
        <v>0</v>
      </c>
      <c r="Q218" s="568" t="e">
        <f t="shared" si="9"/>
        <v>#DIV/0!</v>
      </c>
      <c r="R218" s="676" t="s">
        <v>926</v>
      </c>
    </row>
    <row r="219" spans="1:18" x14ac:dyDescent="0.2">
      <c r="A219" s="558" t="s">
        <v>277</v>
      </c>
      <c r="B219" s="559" t="s">
        <v>914</v>
      </c>
      <c r="C219" s="573" t="s">
        <v>296</v>
      </c>
      <c r="D219" s="327" t="s">
        <v>285</v>
      </c>
      <c r="E219" s="575" t="s">
        <v>1715</v>
      </c>
      <c r="F219" s="561" t="s">
        <v>109</v>
      </c>
      <c r="G219" s="562" t="s">
        <v>932</v>
      </c>
      <c r="H219" s="563" t="s">
        <v>924</v>
      </c>
      <c r="I219" s="578" t="s">
        <v>925</v>
      </c>
      <c r="J219" s="564" t="s">
        <v>757</v>
      </c>
      <c r="K219" s="561">
        <v>25</v>
      </c>
      <c r="L219" s="338"/>
      <c r="M219" s="565">
        <v>11</v>
      </c>
      <c r="N219" s="565">
        <v>3</v>
      </c>
      <c r="O219" s="566">
        <f t="shared" si="10"/>
        <v>0.27272727272727271</v>
      </c>
      <c r="P219" s="567">
        <f t="shared" si="11"/>
        <v>1.0909090909090908</v>
      </c>
      <c r="Q219" s="568">
        <f t="shared" si="9"/>
        <v>1.0909090909090908</v>
      </c>
      <c r="R219" s="675"/>
    </row>
    <row r="220" spans="1:18" x14ac:dyDescent="0.2">
      <c r="A220" s="558" t="s">
        <v>277</v>
      </c>
      <c r="B220" s="559" t="s">
        <v>914</v>
      </c>
      <c r="C220" s="573" t="s">
        <v>296</v>
      </c>
      <c r="D220" s="327" t="s">
        <v>298</v>
      </c>
      <c r="E220" s="575" t="s">
        <v>1715</v>
      </c>
      <c r="F220" s="561" t="s">
        <v>109</v>
      </c>
      <c r="G220" s="562" t="s">
        <v>932</v>
      </c>
      <c r="H220" s="563" t="s">
        <v>924</v>
      </c>
      <c r="I220" s="578" t="s">
        <v>925</v>
      </c>
      <c r="J220" s="564" t="s">
        <v>757</v>
      </c>
      <c r="K220" s="561">
        <v>10</v>
      </c>
      <c r="L220" s="338"/>
      <c r="M220" s="565">
        <v>20</v>
      </c>
      <c r="N220" s="565">
        <v>7</v>
      </c>
      <c r="O220" s="566">
        <f t="shared" si="10"/>
        <v>0.35</v>
      </c>
      <c r="P220" s="567">
        <f t="shared" si="11"/>
        <v>3.5</v>
      </c>
      <c r="Q220" s="568">
        <f t="shared" si="9"/>
        <v>3.5</v>
      </c>
      <c r="R220" s="675"/>
    </row>
    <row r="221" spans="1:18" x14ac:dyDescent="0.2">
      <c r="A221" s="558" t="s">
        <v>277</v>
      </c>
      <c r="B221" s="559" t="s">
        <v>914</v>
      </c>
      <c r="C221" s="573" t="s">
        <v>316</v>
      </c>
      <c r="D221" s="327" t="s">
        <v>292</v>
      </c>
      <c r="E221" s="575" t="s">
        <v>1849</v>
      </c>
      <c r="F221" s="561" t="s">
        <v>109</v>
      </c>
      <c r="G221" s="562" t="s">
        <v>932</v>
      </c>
      <c r="H221" s="563" t="s">
        <v>924</v>
      </c>
      <c r="I221" s="578" t="s">
        <v>925</v>
      </c>
      <c r="J221" s="564" t="s">
        <v>757</v>
      </c>
      <c r="K221" s="561">
        <v>0</v>
      </c>
      <c r="L221" s="338" t="s">
        <v>926</v>
      </c>
      <c r="M221" s="565">
        <v>0</v>
      </c>
      <c r="N221" s="565">
        <v>0</v>
      </c>
      <c r="O221" s="566">
        <f t="shared" si="10"/>
        <v>0</v>
      </c>
      <c r="P221" s="567">
        <f t="shared" si="11"/>
        <v>0</v>
      </c>
      <c r="Q221" s="568" t="e">
        <f t="shared" si="9"/>
        <v>#DIV/0!</v>
      </c>
      <c r="R221" s="676" t="s">
        <v>1919</v>
      </c>
    </row>
    <row r="222" spans="1:18" x14ac:dyDescent="0.2">
      <c r="A222" s="558" t="s">
        <v>277</v>
      </c>
      <c r="B222" s="559" t="s">
        <v>914</v>
      </c>
      <c r="C222" s="573" t="s">
        <v>316</v>
      </c>
      <c r="D222" s="327" t="s">
        <v>294</v>
      </c>
      <c r="E222" s="575" t="s">
        <v>1849</v>
      </c>
      <c r="F222" s="561" t="s">
        <v>109</v>
      </c>
      <c r="G222" s="562" t="s">
        <v>932</v>
      </c>
      <c r="H222" s="563" t="s">
        <v>924</v>
      </c>
      <c r="I222" s="578" t="s">
        <v>925</v>
      </c>
      <c r="J222" s="564" t="s">
        <v>757</v>
      </c>
      <c r="K222" s="561">
        <v>0</v>
      </c>
      <c r="L222" s="338" t="s">
        <v>926</v>
      </c>
      <c r="M222" s="565">
        <v>0</v>
      </c>
      <c r="N222" s="565">
        <v>0</v>
      </c>
      <c r="O222" s="566">
        <f t="shared" si="10"/>
        <v>0</v>
      </c>
      <c r="P222" s="567">
        <f t="shared" si="11"/>
        <v>0</v>
      </c>
      <c r="Q222" s="568" t="e">
        <f t="shared" si="9"/>
        <v>#DIV/0!</v>
      </c>
      <c r="R222" s="676" t="s">
        <v>1919</v>
      </c>
    </row>
    <row r="223" spans="1:18" x14ac:dyDescent="0.2">
      <c r="A223" s="558" t="s">
        <v>277</v>
      </c>
      <c r="B223" s="559" t="s">
        <v>914</v>
      </c>
      <c r="C223" s="573" t="s">
        <v>308</v>
      </c>
      <c r="D223" s="327" t="s">
        <v>300</v>
      </c>
      <c r="E223" s="575" t="s">
        <v>1715</v>
      </c>
      <c r="F223" s="561" t="s">
        <v>109</v>
      </c>
      <c r="G223" s="562" t="s">
        <v>932</v>
      </c>
      <c r="H223" s="563" t="s">
        <v>927</v>
      </c>
      <c r="I223" s="578" t="s">
        <v>925</v>
      </c>
      <c r="J223" s="564" t="s">
        <v>757</v>
      </c>
      <c r="K223" s="561">
        <v>38</v>
      </c>
      <c r="L223" s="338"/>
      <c r="M223" s="565">
        <v>51</v>
      </c>
      <c r="N223" s="565">
        <v>3</v>
      </c>
      <c r="O223" s="566">
        <f t="shared" si="10"/>
        <v>5.8823529411764705E-2</v>
      </c>
      <c r="P223" s="567">
        <f t="shared" si="11"/>
        <v>0.15479876160990713</v>
      </c>
      <c r="Q223" s="568">
        <f t="shared" si="9"/>
        <v>0.15479876160990713</v>
      </c>
      <c r="R223" s="675"/>
    </row>
    <row r="224" spans="1:18" x14ac:dyDescent="0.2">
      <c r="A224" s="558" t="s">
        <v>277</v>
      </c>
      <c r="B224" s="559" t="s">
        <v>914</v>
      </c>
      <c r="C224" s="573" t="s">
        <v>308</v>
      </c>
      <c r="D224" s="327" t="s">
        <v>292</v>
      </c>
      <c r="E224" s="575" t="s">
        <v>1850</v>
      </c>
      <c r="F224" s="561" t="s">
        <v>109</v>
      </c>
      <c r="G224" s="562" t="s">
        <v>932</v>
      </c>
      <c r="H224" s="563" t="s">
        <v>924</v>
      </c>
      <c r="I224" s="578" t="s">
        <v>925</v>
      </c>
      <c r="J224" s="564" t="s">
        <v>757</v>
      </c>
      <c r="K224" s="561">
        <v>0</v>
      </c>
      <c r="L224" s="338" t="s">
        <v>926</v>
      </c>
      <c r="M224" s="565">
        <v>7</v>
      </c>
      <c r="N224" s="565">
        <v>2</v>
      </c>
      <c r="O224" s="566">
        <f t="shared" si="10"/>
        <v>0.2857142857142857</v>
      </c>
      <c r="P224" s="567">
        <f t="shared" si="11"/>
        <v>0</v>
      </c>
      <c r="Q224" s="568" t="e">
        <f t="shared" si="9"/>
        <v>#DIV/0!</v>
      </c>
      <c r="R224" s="676" t="s">
        <v>926</v>
      </c>
    </row>
    <row r="225" spans="1:18" x14ac:dyDescent="0.2">
      <c r="A225" s="558" t="s">
        <v>277</v>
      </c>
      <c r="B225" s="559" t="s">
        <v>914</v>
      </c>
      <c r="C225" s="573" t="s">
        <v>308</v>
      </c>
      <c r="D225" s="327" t="s">
        <v>294</v>
      </c>
      <c r="E225" s="575" t="s">
        <v>1850</v>
      </c>
      <c r="F225" s="561" t="s">
        <v>109</v>
      </c>
      <c r="G225" s="562" t="s">
        <v>932</v>
      </c>
      <c r="H225" s="563" t="s">
        <v>924</v>
      </c>
      <c r="I225" s="578" t="s">
        <v>925</v>
      </c>
      <c r="J225" s="564" t="s">
        <v>757</v>
      </c>
      <c r="K225" s="561">
        <v>0</v>
      </c>
      <c r="L225" s="338" t="s">
        <v>926</v>
      </c>
      <c r="M225" s="565">
        <v>1</v>
      </c>
      <c r="N225" s="565">
        <v>0</v>
      </c>
      <c r="O225" s="566">
        <f t="shared" si="10"/>
        <v>0</v>
      </c>
      <c r="P225" s="567">
        <f t="shared" si="11"/>
        <v>0</v>
      </c>
      <c r="Q225" s="568" t="e">
        <f t="shared" si="9"/>
        <v>#DIV/0!</v>
      </c>
      <c r="R225" s="676" t="s">
        <v>926</v>
      </c>
    </row>
    <row r="226" spans="1:18" x14ac:dyDescent="0.2">
      <c r="A226" s="558" t="s">
        <v>277</v>
      </c>
      <c r="B226" s="559" t="s">
        <v>914</v>
      </c>
      <c r="C226" s="573" t="s">
        <v>305</v>
      </c>
      <c r="D226" s="327" t="s">
        <v>300</v>
      </c>
      <c r="E226" s="575" t="s">
        <v>1715</v>
      </c>
      <c r="F226" s="561" t="s">
        <v>109</v>
      </c>
      <c r="G226" s="562" t="s">
        <v>932</v>
      </c>
      <c r="H226" s="563" t="s">
        <v>927</v>
      </c>
      <c r="I226" s="578" t="s">
        <v>925</v>
      </c>
      <c r="J226" s="564" t="s">
        <v>757</v>
      </c>
      <c r="K226" s="561">
        <v>5</v>
      </c>
      <c r="L226" s="338"/>
      <c r="M226" s="565">
        <v>568</v>
      </c>
      <c r="N226" s="565">
        <v>24</v>
      </c>
      <c r="O226" s="566">
        <f t="shared" si="10"/>
        <v>4.2253521126760563E-2</v>
      </c>
      <c r="P226" s="567">
        <f t="shared" si="11"/>
        <v>0.84507042253521125</v>
      </c>
      <c r="Q226" s="568">
        <f t="shared" si="9"/>
        <v>0.84507042253521136</v>
      </c>
      <c r="R226" s="675"/>
    </row>
    <row r="227" spans="1:18" x14ac:dyDescent="0.2">
      <c r="A227" s="558" t="s">
        <v>277</v>
      </c>
      <c r="B227" s="559" t="s">
        <v>914</v>
      </c>
      <c r="C227" s="573" t="s">
        <v>305</v>
      </c>
      <c r="D227" s="327" t="s">
        <v>292</v>
      </c>
      <c r="E227" s="575" t="s">
        <v>1715</v>
      </c>
      <c r="F227" s="561" t="s">
        <v>109</v>
      </c>
      <c r="G227" s="562" t="s">
        <v>932</v>
      </c>
      <c r="H227" s="563" t="s">
        <v>924</v>
      </c>
      <c r="I227" s="578" t="s">
        <v>925</v>
      </c>
      <c r="J227" s="564" t="s">
        <v>757</v>
      </c>
      <c r="K227" s="561">
        <v>32</v>
      </c>
      <c r="L227" s="338"/>
      <c r="M227" s="565">
        <v>85</v>
      </c>
      <c r="N227" s="565">
        <v>22</v>
      </c>
      <c r="O227" s="566">
        <f t="shared" si="10"/>
        <v>0.25882352941176473</v>
      </c>
      <c r="P227" s="567">
        <f t="shared" si="11"/>
        <v>0.80882352941176472</v>
      </c>
      <c r="Q227" s="568">
        <f t="shared" si="9"/>
        <v>0.80882352941176472</v>
      </c>
      <c r="R227" s="675"/>
    </row>
    <row r="228" spans="1:18" x14ac:dyDescent="0.2">
      <c r="A228" s="558" t="s">
        <v>277</v>
      </c>
      <c r="B228" s="559" t="s">
        <v>914</v>
      </c>
      <c r="C228" s="573" t="s">
        <v>305</v>
      </c>
      <c r="D228" s="327" t="s">
        <v>294</v>
      </c>
      <c r="E228" s="575" t="s">
        <v>1851</v>
      </c>
      <c r="F228" s="561" t="s">
        <v>109</v>
      </c>
      <c r="G228" s="562" t="s">
        <v>932</v>
      </c>
      <c r="H228" s="563" t="s">
        <v>924</v>
      </c>
      <c r="I228" s="578" t="s">
        <v>925</v>
      </c>
      <c r="J228" s="564" t="s">
        <v>757</v>
      </c>
      <c r="K228" s="561">
        <v>33</v>
      </c>
      <c r="L228" s="338"/>
      <c r="M228" s="565">
        <v>24</v>
      </c>
      <c r="N228" s="565">
        <v>8</v>
      </c>
      <c r="O228" s="566">
        <f t="shared" si="10"/>
        <v>0.33333333333333331</v>
      </c>
      <c r="P228" s="567">
        <f t="shared" si="11"/>
        <v>1.0101010101010102</v>
      </c>
      <c r="Q228" s="568">
        <f t="shared" si="9"/>
        <v>1.0101010101010102</v>
      </c>
      <c r="R228" s="675"/>
    </row>
    <row r="229" spans="1:18" x14ac:dyDescent="0.2">
      <c r="A229" s="558" t="s">
        <v>277</v>
      </c>
      <c r="B229" s="559" t="s">
        <v>914</v>
      </c>
      <c r="C229" s="573" t="s">
        <v>305</v>
      </c>
      <c r="D229" s="327" t="s">
        <v>285</v>
      </c>
      <c r="E229" s="575" t="s">
        <v>1851</v>
      </c>
      <c r="F229" s="561" t="s">
        <v>109</v>
      </c>
      <c r="G229" s="562" t="s">
        <v>932</v>
      </c>
      <c r="H229" s="563" t="s">
        <v>924</v>
      </c>
      <c r="I229" s="578" t="s">
        <v>925</v>
      </c>
      <c r="J229" s="564" t="s">
        <v>757</v>
      </c>
      <c r="K229" s="561">
        <v>0</v>
      </c>
      <c r="L229" s="338" t="s">
        <v>926</v>
      </c>
      <c r="M229" s="565">
        <v>2</v>
      </c>
      <c r="N229" s="565">
        <v>1</v>
      </c>
      <c r="O229" s="566">
        <f t="shared" si="10"/>
        <v>0.5</v>
      </c>
      <c r="P229" s="567">
        <f t="shared" si="11"/>
        <v>0</v>
      </c>
      <c r="Q229" s="568" t="e">
        <f t="shared" si="9"/>
        <v>#DIV/0!</v>
      </c>
      <c r="R229" s="676" t="s">
        <v>926</v>
      </c>
    </row>
    <row r="230" spans="1:18" x14ac:dyDescent="0.2">
      <c r="A230" s="558" t="s">
        <v>277</v>
      </c>
      <c r="B230" s="559" t="s">
        <v>914</v>
      </c>
      <c r="C230" s="573" t="s">
        <v>97</v>
      </c>
      <c r="D230" s="327" t="s">
        <v>282</v>
      </c>
      <c r="E230" s="575" t="s">
        <v>1843</v>
      </c>
      <c r="F230" s="561" t="s">
        <v>109</v>
      </c>
      <c r="G230" s="562" t="s">
        <v>933</v>
      </c>
      <c r="H230" s="563" t="s">
        <v>924</v>
      </c>
      <c r="I230" s="578" t="s">
        <v>925</v>
      </c>
      <c r="J230" s="564" t="s">
        <v>757</v>
      </c>
      <c r="K230" s="561">
        <v>33</v>
      </c>
      <c r="L230" s="338"/>
      <c r="M230" s="565">
        <v>6</v>
      </c>
      <c r="N230" s="565">
        <v>3</v>
      </c>
      <c r="O230" s="566">
        <f t="shared" si="10"/>
        <v>0.5</v>
      </c>
      <c r="P230" s="567">
        <f t="shared" si="11"/>
        <v>1.5151515151515151</v>
      </c>
      <c r="Q230" s="568">
        <f t="shared" si="9"/>
        <v>1.5151515151515151</v>
      </c>
      <c r="R230" s="675"/>
    </row>
    <row r="231" spans="1:18" x14ac:dyDescent="0.2">
      <c r="A231" s="558" t="s">
        <v>277</v>
      </c>
      <c r="B231" s="559" t="s">
        <v>914</v>
      </c>
      <c r="C231" s="573" t="s">
        <v>97</v>
      </c>
      <c r="D231" s="327" t="s">
        <v>285</v>
      </c>
      <c r="E231" s="575" t="s">
        <v>1843</v>
      </c>
      <c r="F231" s="561" t="s">
        <v>109</v>
      </c>
      <c r="G231" s="562" t="s">
        <v>933</v>
      </c>
      <c r="H231" s="563" t="s">
        <v>924</v>
      </c>
      <c r="I231" s="578" t="s">
        <v>925</v>
      </c>
      <c r="J231" s="564" t="s">
        <v>757</v>
      </c>
      <c r="K231" s="561">
        <v>0</v>
      </c>
      <c r="L231" s="338" t="s">
        <v>926</v>
      </c>
      <c r="M231" s="565">
        <v>8</v>
      </c>
      <c r="N231" s="565">
        <v>7</v>
      </c>
      <c r="O231" s="566">
        <f t="shared" si="10"/>
        <v>0.875</v>
      </c>
      <c r="P231" s="567">
        <f t="shared" si="11"/>
        <v>0</v>
      </c>
      <c r="Q231" s="568" t="e">
        <f t="shared" si="9"/>
        <v>#DIV/0!</v>
      </c>
      <c r="R231" s="676" t="s">
        <v>926</v>
      </c>
    </row>
    <row r="232" spans="1:18" x14ac:dyDescent="0.2">
      <c r="A232" s="558" t="s">
        <v>277</v>
      </c>
      <c r="B232" s="559" t="s">
        <v>914</v>
      </c>
      <c r="C232" s="573" t="s">
        <v>286</v>
      </c>
      <c r="D232" s="327" t="s">
        <v>300</v>
      </c>
      <c r="E232" s="575" t="s">
        <v>1715</v>
      </c>
      <c r="F232" s="561" t="s">
        <v>109</v>
      </c>
      <c r="G232" s="562" t="s">
        <v>933</v>
      </c>
      <c r="H232" s="563" t="s">
        <v>927</v>
      </c>
      <c r="I232" s="578" t="s">
        <v>925</v>
      </c>
      <c r="J232" s="564" t="s">
        <v>757</v>
      </c>
      <c r="K232" s="561">
        <v>0</v>
      </c>
      <c r="L232" s="338" t="s">
        <v>926</v>
      </c>
      <c r="M232" s="565">
        <v>39</v>
      </c>
      <c r="N232" s="565">
        <v>5</v>
      </c>
      <c r="O232" s="566">
        <f t="shared" si="10"/>
        <v>0.12820512820512819</v>
      </c>
      <c r="P232" s="567">
        <f t="shared" si="11"/>
        <v>0</v>
      </c>
      <c r="Q232" s="568" t="e">
        <f t="shared" si="9"/>
        <v>#DIV/0!</v>
      </c>
      <c r="R232" s="676" t="s">
        <v>926</v>
      </c>
    </row>
    <row r="233" spans="1:18" x14ac:dyDescent="0.2">
      <c r="A233" s="558" t="s">
        <v>277</v>
      </c>
      <c r="B233" s="559" t="s">
        <v>914</v>
      </c>
      <c r="C233" s="573" t="s">
        <v>286</v>
      </c>
      <c r="D233" s="327" t="s">
        <v>292</v>
      </c>
      <c r="E233" s="575" t="s">
        <v>1715</v>
      </c>
      <c r="F233" s="561" t="s">
        <v>109</v>
      </c>
      <c r="G233" s="562" t="s">
        <v>933</v>
      </c>
      <c r="H233" s="563" t="s">
        <v>924</v>
      </c>
      <c r="I233" s="578" t="s">
        <v>925</v>
      </c>
      <c r="J233" s="564" t="s">
        <v>757</v>
      </c>
      <c r="K233" s="561">
        <v>26</v>
      </c>
      <c r="L233" s="338"/>
      <c r="M233" s="565">
        <v>12</v>
      </c>
      <c r="N233" s="565">
        <v>4</v>
      </c>
      <c r="O233" s="566">
        <f t="shared" si="10"/>
        <v>0.33333333333333331</v>
      </c>
      <c r="P233" s="567">
        <f t="shared" si="11"/>
        <v>1.2820512820512819</v>
      </c>
      <c r="Q233" s="568">
        <f t="shared" si="9"/>
        <v>1.2820512820512819</v>
      </c>
      <c r="R233" s="675"/>
    </row>
    <row r="234" spans="1:18" x14ac:dyDescent="0.2">
      <c r="A234" s="558" t="s">
        <v>277</v>
      </c>
      <c r="B234" s="559" t="s">
        <v>914</v>
      </c>
      <c r="C234" s="573" t="s">
        <v>286</v>
      </c>
      <c r="D234" s="327" t="s">
        <v>294</v>
      </c>
      <c r="E234" s="575" t="s">
        <v>1715</v>
      </c>
      <c r="F234" s="561" t="s">
        <v>109</v>
      </c>
      <c r="G234" s="562" t="s">
        <v>933</v>
      </c>
      <c r="H234" s="563" t="s">
        <v>924</v>
      </c>
      <c r="I234" s="578" t="s">
        <v>925</v>
      </c>
      <c r="J234" s="564" t="s">
        <v>757</v>
      </c>
      <c r="K234" s="561">
        <v>16</v>
      </c>
      <c r="L234" s="338"/>
      <c r="M234" s="565">
        <v>40</v>
      </c>
      <c r="N234" s="565">
        <v>7</v>
      </c>
      <c r="O234" s="566">
        <f t="shared" si="10"/>
        <v>0.17499999999999999</v>
      </c>
      <c r="P234" s="567">
        <f t="shared" si="11"/>
        <v>1.09375</v>
      </c>
      <c r="Q234" s="568">
        <f t="shared" si="9"/>
        <v>1.09375</v>
      </c>
      <c r="R234" s="675"/>
    </row>
    <row r="235" spans="1:18" x14ac:dyDescent="0.2">
      <c r="A235" s="558" t="s">
        <v>277</v>
      </c>
      <c r="B235" s="559" t="s">
        <v>914</v>
      </c>
      <c r="C235" s="573" t="s">
        <v>286</v>
      </c>
      <c r="D235" s="327" t="s">
        <v>282</v>
      </c>
      <c r="E235" s="575" t="s">
        <v>1715</v>
      </c>
      <c r="F235" s="561" t="s">
        <v>109</v>
      </c>
      <c r="G235" s="562" t="s">
        <v>933</v>
      </c>
      <c r="H235" s="563" t="s">
        <v>924</v>
      </c>
      <c r="I235" s="578" t="s">
        <v>925</v>
      </c>
      <c r="J235" s="564" t="s">
        <v>757</v>
      </c>
      <c r="K235" s="561">
        <v>6</v>
      </c>
      <c r="L235" s="338"/>
      <c r="M235" s="565">
        <v>68</v>
      </c>
      <c r="N235" s="565">
        <v>9</v>
      </c>
      <c r="O235" s="566">
        <f t="shared" si="10"/>
        <v>0.13235294117647059</v>
      </c>
      <c r="P235" s="567">
        <f t="shared" si="11"/>
        <v>2.2058823529411766</v>
      </c>
      <c r="Q235" s="568">
        <f t="shared" si="9"/>
        <v>2.2058823529411766</v>
      </c>
      <c r="R235" s="675"/>
    </row>
    <row r="236" spans="1:18" x14ac:dyDescent="0.2">
      <c r="A236" s="558" t="s">
        <v>277</v>
      </c>
      <c r="B236" s="559" t="s">
        <v>914</v>
      </c>
      <c r="C236" s="573" t="s">
        <v>286</v>
      </c>
      <c r="D236" s="327" t="s">
        <v>285</v>
      </c>
      <c r="E236" s="575" t="s">
        <v>1715</v>
      </c>
      <c r="F236" s="561" t="s">
        <v>109</v>
      </c>
      <c r="G236" s="562" t="s">
        <v>933</v>
      </c>
      <c r="H236" s="563" t="s">
        <v>924</v>
      </c>
      <c r="I236" s="578" t="s">
        <v>925</v>
      </c>
      <c r="J236" s="564" t="s">
        <v>757</v>
      </c>
      <c r="K236" s="561">
        <v>8</v>
      </c>
      <c r="L236" s="338"/>
      <c r="M236" s="565">
        <v>47</v>
      </c>
      <c r="N236" s="565">
        <v>12</v>
      </c>
      <c r="O236" s="566">
        <f t="shared" si="10"/>
        <v>0.25531914893617019</v>
      </c>
      <c r="P236" s="567">
        <f t="shared" si="11"/>
        <v>3.1914893617021276</v>
      </c>
      <c r="Q236" s="568">
        <f t="shared" si="9"/>
        <v>3.191489361702128</v>
      </c>
      <c r="R236" s="675"/>
    </row>
    <row r="237" spans="1:18" x14ac:dyDescent="0.2">
      <c r="A237" s="558" t="s">
        <v>277</v>
      </c>
      <c r="B237" s="559" t="s">
        <v>914</v>
      </c>
      <c r="C237" s="573" t="s">
        <v>303</v>
      </c>
      <c r="D237" s="327" t="s">
        <v>300</v>
      </c>
      <c r="E237" s="575" t="s">
        <v>1715</v>
      </c>
      <c r="F237" s="561" t="s">
        <v>109</v>
      </c>
      <c r="G237" s="562" t="s">
        <v>933</v>
      </c>
      <c r="H237" s="563" t="s">
        <v>927</v>
      </c>
      <c r="I237" s="578" t="s">
        <v>925</v>
      </c>
      <c r="J237" s="564" t="s">
        <v>757</v>
      </c>
      <c r="K237" s="561">
        <v>28.999999999999996</v>
      </c>
      <c r="L237" s="338"/>
      <c r="M237" s="565">
        <v>144</v>
      </c>
      <c r="N237" s="565">
        <v>7</v>
      </c>
      <c r="O237" s="566">
        <f t="shared" si="10"/>
        <v>4.8611111111111112E-2</v>
      </c>
      <c r="P237" s="567">
        <f t="shared" si="11"/>
        <v>0.16762452107279693</v>
      </c>
      <c r="Q237" s="568">
        <f t="shared" si="9"/>
        <v>0.16762452107279696</v>
      </c>
      <c r="R237" s="675"/>
    </row>
    <row r="238" spans="1:18" x14ac:dyDescent="0.2">
      <c r="A238" s="558" t="s">
        <v>277</v>
      </c>
      <c r="B238" s="559" t="s">
        <v>914</v>
      </c>
      <c r="C238" s="573" t="s">
        <v>303</v>
      </c>
      <c r="D238" s="327" t="s">
        <v>292</v>
      </c>
      <c r="E238" s="575" t="s">
        <v>1844</v>
      </c>
      <c r="F238" s="561" t="s">
        <v>109</v>
      </c>
      <c r="G238" s="562" t="s">
        <v>933</v>
      </c>
      <c r="H238" s="563" t="s">
        <v>924</v>
      </c>
      <c r="I238" s="578" t="s">
        <v>925</v>
      </c>
      <c r="J238" s="564" t="s">
        <v>757</v>
      </c>
      <c r="K238" s="561">
        <v>8</v>
      </c>
      <c r="L238" s="338"/>
      <c r="M238" s="565">
        <v>42</v>
      </c>
      <c r="N238" s="565">
        <v>6</v>
      </c>
      <c r="O238" s="566">
        <f t="shared" si="10"/>
        <v>0.14285714285714285</v>
      </c>
      <c r="P238" s="567">
        <f t="shared" si="11"/>
        <v>1.7857142857142858</v>
      </c>
      <c r="Q238" s="568">
        <f t="shared" si="9"/>
        <v>1.7857142857142858</v>
      </c>
      <c r="R238" s="675"/>
    </row>
    <row r="239" spans="1:18" x14ac:dyDescent="0.2">
      <c r="A239" s="558" t="s">
        <v>277</v>
      </c>
      <c r="B239" s="559" t="s">
        <v>914</v>
      </c>
      <c r="C239" s="573" t="s">
        <v>303</v>
      </c>
      <c r="D239" s="327" t="s">
        <v>294</v>
      </c>
      <c r="E239" s="575" t="s">
        <v>1844</v>
      </c>
      <c r="F239" s="561" t="s">
        <v>109</v>
      </c>
      <c r="G239" s="562" t="s">
        <v>933</v>
      </c>
      <c r="H239" s="563" t="s">
        <v>924</v>
      </c>
      <c r="I239" s="578" t="s">
        <v>925</v>
      </c>
      <c r="J239" s="564" t="s">
        <v>757</v>
      </c>
      <c r="K239" s="561">
        <v>0</v>
      </c>
      <c r="L239" s="338" t="s">
        <v>926</v>
      </c>
      <c r="M239" s="565">
        <v>10</v>
      </c>
      <c r="N239" s="565">
        <v>0</v>
      </c>
      <c r="O239" s="566">
        <f t="shared" si="10"/>
        <v>0</v>
      </c>
      <c r="P239" s="567">
        <f t="shared" si="11"/>
        <v>0</v>
      </c>
      <c r="Q239" s="568" t="e">
        <f t="shared" si="9"/>
        <v>#DIV/0!</v>
      </c>
      <c r="R239" s="676" t="s">
        <v>926</v>
      </c>
    </row>
    <row r="240" spans="1:18" x14ac:dyDescent="0.2">
      <c r="A240" s="558" t="s">
        <v>277</v>
      </c>
      <c r="B240" s="559" t="s">
        <v>914</v>
      </c>
      <c r="C240" s="573" t="s">
        <v>303</v>
      </c>
      <c r="D240" s="327" t="s">
        <v>282</v>
      </c>
      <c r="E240" s="575" t="s">
        <v>1845</v>
      </c>
      <c r="F240" s="561" t="s">
        <v>109</v>
      </c>
      <c r="G240" s="562" t="s">
        <v>933</v>
      </c>
      <c r="H240" s="563" t="s">
        <v>924</v>
      </c>
      <c r="I240" s="578" t="s">
        <v>925</v>
      </c>
      <c r="J240" s="564" t="s">
        <v>757</v>
      </c>
      <c r="K240" s="561">
        <v>0</v>
      </c>
      <c r="L240" s="338" t="s">
        <v>926</v>
      </c>
      <c r="M240" s="565">
        <v>2</v>
      </c>
      <c r="N240" s="565">
        <v>0</v>
      </c>
      <c r="O240" s="566">
        <f t="shared" si="10"/>
        <v>0</v>
      </c>
      <c r="P240" s="567">
        <f t="shared" si="11"/>
        <v>0</v>
      </c>
      <c r="Q240" s="568" t="e">
        <f t="shared" si="9"/>
        <v>#DIV/0!</v>
      </c>
      <c r="R240" s="676" t="s">
        <v>926</v>
      </c>
    </row>
    <row r="241" spans="1:18" x14ac:dyDescent="0.2">
      <c r="A241" s="558" t="s">
        <v>277</v>
      </c>
      <c r="B241" s="559" t="s">
        <v>914</v>
      </c>
      <c r="C241" s="573" t="s">
        <v>303</v>
      </c>
      <c r="D241" s="327" t="s">
        <v>285</v>
      </c>
      <c r="E241" s="575" t="s">
        <v>1845</v>
      </c>
      <c r="F241" s="561" t="s">
        <v>109</v>
      </c>
      <c r="G241" s="562" t="s">
        <v>933</v>
      </c>
      <c r="H241" s="563" t="s">
        <v>924</v>
      </c>
      <c r="I241" s="578" t="s">
        <v>925</v>
      </c>
      <c r="J241" s="564" t="s">
        <v>757</v>
      </c>
      <c r="K241" s="561">
        <v>0</v>
      </c>
      <c r="L241" s="338" t="s">
        <v>926</v>
      </c>
      <c r="M241" s="565">
        <v>5</v>
      </c>
      <c r="N241" s="565">
        <v>1</v>
      </c>
      <c r="O241" s="566">
        <f t="shared" si="10"/>
        <v>0.2</v>
      </c>
      <c r="P241" s="567">
        <f t="shared" si="11"/>
        <v>0</v>
      </c>
      <c r="Q241" s="568" t="e">
        <f t="shared" si="9"/>
        <v>#DIV/0!</v>
      </c>
      <c r="R241" s="676" t="s">
        <v>926</v>
      </c>
    </row>
    <row r="242" spans="1:18" x14ac:dyDescent="0.2">
      <c r="A242" s="558" t="s">
        <v>277</v>
      </c>
      <c r="B242" s="559" t="s">
        <v>914</v>
      </c>
      <c r="C242" s="573" t="s">
        <v>99</v>
      </c>
      <c r="D242" s="327" t="s">
        <v>300</v>
      </c>
      <c r="E242" s="575" t="s">
        <v>1715</v>
      </c>
      <c r="F242" s="561" t="s">
        <v>109</v>
      </c>
      <c r="G242" s="562" t="s">
        <v>933</v>
      </c>
      <c r="H242" s="563" t="s">
        <v>927</v>
      </c>
      <c r="I242" s="578" t="s">
        <v>925</v>
      </c>
      <c r="J242" s="564" t="s">
        <v>757</v>
      </c>
      <c r="K242" s="561">
        <v>17</v>
      </c>
      <c r="L242" s="338"/>
      <c r="M242" s="565">
        <v>158</v>
      </c>
      <c r="N242" s="565">
        <v>15</v>
      </c>
      <c r="O242" s="566">
        <f t="shared" si="10"/>
        <v>9.49367088607595E-2</v>
      </c>
      <c r="P242" s="567">
        <f t="shared" si="11"/>
        <v>0.5584512285927028</v>
      </c>
      <c r="Q242" s="568">
        <f t="shared" si="9"/>
        <v>0.55845122859270291</v>
      </c>
      <c r="R242" s="675"/>
    </row>
    <row r="243" spans="1:18" x14ac:dyDescent="0.2">
      <c r="A243" s="558" t="s">
        <v>277</v>
      </c>
      <c r="B243" s="559" t="s">
        <v>914</v>
      </c>
      <c r="C243" s="573" t="s">
        <v>99</v>
      </c>
      <c r="D243" s="327" t="s">
        <v>292</v>
      </c>
      <c r="E243" s="575" t="s">
        <v>1715</v>
      </c>
      <c r="F243" s="561" t="s">
        <v>109</v>
      </c>
      <c r="G243" s="562" t="s">
        <v>933</v>
      </c>
      <c r="H243" s="563" t="s">
        <v>924</v>
      </c>
      <c r="I243" s="578" t="s">
        <v>925</v>
      </c>
      <c r="J243" s="564" t="s">
        <v>757</v>
      </c>
      <c r="K243" s="561">
        <v>36</v>
      </c>
      <c r="L243" s="338"/>
      <c r="M243" s="565">
        <v>7</v>
      </c>
      <c r="N243" s="565">
        <v>1</v>
      </c>
      <c r="O243" s="566">
        <f t="shared" si="10"/>
        <v>0.14285714285714285</v>
      </c>
      <c r="P243" s="567">
        <f t="shared" si="11"/>
        <v>0.3968253968253968</v>
      </c>
      <c r="Q243" s="568">
        <f t="shared" si="9"/>
        <v>0.3968253968253968</v>
      </c>
      <c r="R243" s="675"/>
    </row>
    <row r="244" spans="1:18" x14ac:dyDescent="0.2">
      <c r="A244" s="558" t="s">
        <v>277</v>
      </c>
      <c r="B244" s="559" t="s">
        <v>914</v>
      </c>
      <c r="C244" s="573" t="s">
        <v>99</v>
      </c>
      <c r="D244" s="327" t="s">
        <v>294</v>
      </c>
      <c r="E244" s="575" t="s">
        <v>1846</v>
      </c>
      <c r="F244" s="561" t="s">
        <v>109</v>
      </c>
      <c r="G244" s="562" t="s">
        <v>933</v>
      </c>
      <c r="H244" s="563" t="s">
        <v>924</v>
      </c>
      <c r="I244" s="578" t="s">
        <v>925</v>
      </c>
      <c r="J244" s="564" t="s">
        <v>757</v>
      </c>
      <c r="K244" s="561">
        <v>80</v>
      </c>
      <c r="L244" s="338"/>
      <c r="M244" s="565">
        <v>8</v>
      </c>
      <c r="N244" s="565">
        <v>3</v>
      </c>
      <c r="O244" s="566">
        <f t="shared" si="10"/>
        <v>0.375</v>
      </c>
      <c r="P244" s="567">
        <f t="shared" si="11"/>
        <v>0.46875</v>
      </c>
      <c r="Q244" s="568">
        <f t="shared" si="9"/>
        <v>0.46875</v>
      </c>
      <c r="R244" s="675"/>
    </row>
    <row r="245" spans="1:18" x14ac:dyDescent="0.2">
      <c r="A245" s="558" t="s">
        <v>277</v>
      </c>
      <c r="B245" s="559" t="s">
        <v>914</v>
      </c>
      <c r="C245" s="573" t="s">
        <v>99</v>
      </c>
      <c r="D245" s="327" t="s">
        <v>282</v>
      </c>
      <c r="E245" s="575" t="s">
        <v>1846</v>
      </c>
      <c r="F245" s="561" t="s">
        <v>109</v>
      </c>
      <c r="G245" s="562" t="s">
        <v>933</v>
      </c>
      <c r="H245" s="563" t="s">
        <v>924</v>
      </c>
      <c r="I245" s="578" t="s">
        <v>925</v>
      </c>
      <c r="J245" s="564" t="s">
        <v>757</v>
      </c>
      <c r="K245" s="561">
        <v>0</v>
      </c>
      <c r="L245" s="338" t="s">
        <v>926</v>
      </c>
      <c r="M245" s="565">
        <v>4</v>
      </c>
      <c r="N245" s="565">
        <v>1</v>
      </c>
      <c r="O245" s="566">
        <f t="shared" si="10"/>
        <v>0.25</v>
      </c>
      <c r="P245" s="567">
        <f t="shared" si="11"/>
        <v>0</v>
      </c>
      <c r="Q245" s="568" t="e">
        <f t="shared" si="9"/>
        <v>#DIV/0!</v>
      </c>
      <c r="R245" s="676" t="s">
        <v>926</v>
      </c>
    </row>
    <row r="246" spans="1:18" x14ac:dyDescent="0.2">
      <c r="A246" s="558" t="s">
        <v>277</v>
      </c>
      <c r="B246" s="559" t="s">
        <v>914</v>
      </c>
      <c r="C246" s="573" t="s">
        <v>99</v>
      </c>
      <c r="D246" s="327" t="s">
        <v>285</v>
      </c>
      <c r="E246" s="575" t="s">
        <v>1846</v>
      </c>
      <c r="F246" s="561" t="s">
        <v>109</v>
      </c>
      <c r="G246" s="562" t="s">
        <v>933</v>
      </c>
      <c r="H246" s="563" t="s">
        <v>924</v>
      </c>
      <c r="I246" s="578" t="s">
        <v>925</v>
      </c>
      <c r="J246" s="564" t="s">
        <v>757</v>
      </c>
      <c r="K246" s="561">
        <v>0</v>
      </c>
      <c r="L246" s="338" t="s">
        <v>926</v>
      </c>
      <c r="M246" s="565">
        <v>1</v>
      </c>
      <c r="N246" s="565">
        <v>0</v>
      </c>
      <c r="O246" s="566">
        <f t="shared" si="10"/>
        <v>0</v>
      </c>
      <c r="P246" s="567">
        <f t="shared" si="11"/>
        <v>0</v>
      </c>
      <c r="Q246" s="568" t="e">
        <f t="shared" si="9"/>
        <v>#DIV/0!</v>
      </c>
      <c r="R246" s="676" t="s">
        <v>926</v>
      </c>
    </row>
    <row r="247" spans="1:18" x14ac:dyDescent="0.2">
      <c r="A247" s="558" t="s">
        <v>277</v>
      </c>
      <c r="B247" s="559" t="s">
        <v>914</v>
      </c>
      <c r="C247" s="573" t="s">
        <v>296</v>
      </c>
      <c r="D247" s="327" t="s">
        <v>300</v>
      </c>
      <c r="E247" s="575" t="s">
        <v>1847</v>
      </c>
      <c r="F247" s="561" t="s">
        <v>109</v>
      </c>
      <c r="G247" s="562" t="s">
        <v>933</v>
      </c>
      <c r="H247" s="563" t="s">
        <v>927</v>
      </c>
      <c r="I247" s="578" t="s">
        <v>925</v>
      </c>
      <c r="J247" s="564" t="s">
        <v>757</v>
      </c>
      <c r="K247" s="561">
        <v>13</v>
      </c>
      <c r="L247" s="338"/>
      <c r="M247" s="565">
        <v>0</v>
      </c>
      <c r="N247" s="565">
        <v>0</v>
      </c>
      <c r="O247" s="566">
        <f t="shared" si="10"/>
        <v>0</v>
      </c>
      <c r="P247" s="567">
        <f t="shared" si="11"/>
        <v>0</v>
      </c>
      <c r="Q247" s="568" t="e">
        <f t="shared" si="9"/>
        <v>#DIV/0!</v>
      </c>
      <c r="R247" s="676" t="s">
        <v>1919</v>
      </c>
    </row>
    <row r="248" spans="1:18" x14ac:dyDescent="0.2">
      <c r="A248" s="558" t="s">
        <v>277</v>
      </c>
      <c r="B248" s="559" t="s">
        <v>914</v>
      </c>
      <c r="C248" s="573" t="s">
        <v>296</v>
      </c>
      <c r="D248" s="327" t="s">
        <v>292</v>
      </c>
      <c r="E248" s="575" t="s">
        <v>1847</v>
      </c>
      <c r="F248" s="561" t="s">
        <v>109</v>
      </c>
      <c r="G248" s="562" t="s">
        <v>933</v>
      </c>
      <c r="H248" s="563" t="s">
        <v>924</v>
      </c>
      <c r="I248" s="578" t="s">
        <v>925</v>
      </c>
      <c r="J248" s="564" t="s">
        <v>757</v>
      </c>
      <c r="K248" s="561">
        <v>0</v>
      </c>
      <c r="L248" s="338" t="s">
        <v>926</v>
      </c>
      <c r="M248" s="565">
        <v>3</v>
      </c>
      <c r="N248" s="565">
        <v>1</v>
      </c>
      <c r="O248" s="566">
        <f t="shared" si="10"/>
        <v>0.33333333333333331</v>
      </c>
      <c r="P248" s="567">
        <f t="shared" si="11"/>
        <v>0</v>
      </c>
      <c r="Q248" s="568" t="e">
        <f t="shared" si="9"/>
        <v>#DIV/0!</v>
      </c>
      <c r="R248" s="676" t="s">
        <v>926</v>
      </c>
    </row>
    <row r="249" spans="1:18" x14ac:dyDescent="0.2">
      <c r="A249" s="558" t="s">
        <v>277</v>
      </c>
      <c r="B249" s="559" t="s">
        <v>914</v>
      </c>
      <c r="C249" s="573" t="s">
        <v>296</v>
      </c>
      <c r="D249" s="327" t="s">
        <v>294</v>
      </c>
      <c r="E249" s="575" t="s">
        <v>1848</v>
      </c>
      <c r="F249" s="561" t="s">
        <v>109</v>
      </c>
      <c r="G249" s="562" t="s">
        <v>933</v>
      </c>
      <c r="H249" s="563" t="s">
        <v>924</v>
      </c>
      <c r="I249" s="578" t="s">
        <v>925</v>
      </c>
      <c r="J249" s="564" t="s">
        <v>757</v>
      </c>
      <c r="K249" s="561">
        <v>0</v>
      </c>
      <c r="L249" s="338" t="s">
        <v>926</v>
      </c>
      <c r="M249" s="565">
        <v>1</v>
      </c>
      <c r="N249" s="565">
        <v>0</v>
      </c>
      <c r="O249" s="566">
        <f t="shared" si="10"/>
        <v>0</v>
      </c>
      <c r="P249" s="567">
        <f t="shared" si="11"/>
        <v>0</v>
      </c>
      <c r="Q249" s="568" t="e">
        <f t="shared" si="9"/>
        <v>#DIV/0!</v>
      </c>
      <c r="R249" s="676" t="s">
        <v>926</v>
      </c>
    </row>
    <row r="250" spans="1:18" x14ac:dyDescent="0.2">
      <c r="A250" s="558" t="s">
        <v>277</v>
      </c>
      <c r="B250" s="559" t="s">
        <v>914</v>
      </c>
      <c r="C250" s="573" t="s">
        <v>296</v>
      </c>
      <c r="D250" s="327" t="s">
        <v>282</v>
      </c>
      <c r="E250" s="575" t="s">
        <v>1848</v>
      </c>
      <c r="F250" s="561" t="s">
        <v>109</v>
      </c>
      <c r="G250" s="562" t="s">
        <v>933</v>
      </c>
      <c r="H250" s="563" t="s">
        <v>924</v>
      </c>
      <c r="I250" s="578" t="s">
        <v>925</v>
      </c>
      <c r="J250" s="564" t="s">
        <v>757</v>
      </c>
      <c r="K250" s="561">
        <v>0</v>
      </c>
      <c r="L250" s="338" t="s">
        <v>926</v>
      </c>
      <c r="M250" s="565">
        <v>2</v>
      </c>
      <c r="N250" s="565">
        <v>1</v>
      </c>
      <c r="O250" s="566">
        <f t="shared" si="10"/>
        <v>0.5</v>
      </c>
      <c r="P250" s="567">
        <f t="shared" si="11"/>
        <v>0</v>
      </c>
      <c r="Q250" s="568" t="e">
        <f t="shared" si="9"/>
        <v>#DIV/0!</v>
      </c>
      <c r="R250" s="676" t="s">
        <v>926</v>
      </c>
    </row>
    <row r="251" spans="1:18" x14ac:dyDescent="0.2">
      <c r="A251" s="558" t="s">
        <v>277</v>
      </c>
      <c r="B251" s="559" t="s">
        <v>914</v>
      </c>
      <c r="C251" s="573" t="s">
        <v>296</v>
      </c>
      <c r="D251" s="327" t="s">
        <v>285</v>
      </c>
      <c r="E251" s="575" t="s">
        <v>1715</v>
      </c>
      <c r="F251" s="561" t="s">
        <v>109</v>
      </c>
      <c r="G251" s="562" t="s">
        <v>933</v>
      </c>
      <c r="H251" s="563" t="s">
        <v>924</v>
      </c>
      <c r="I251" s="578" t="s">
        <v>925</v>
      </c>
      <c r="J251" s="564" t="s">
        <v>757</v>
      </c>
      <c r="K251" s="561">
        <v>25</v>
      </c>
      <c r="L251" s="338"/>
      <c r="M251" s="565">
        <v>11</v>
      </c>
      <c r="N251" s="565">
        <v>3</v>
      </c>
      <c r="O251" s="566">
        <f t="shared" si="10"/>
        <v>0.27272727272727271</v>
      </c>
      <c r="P251" s="567">
        <f t="shared" si="11"/>
        <v>1.0909090909090908</v>
      </c>
      <c r="Q251" s="568">
        <f t="shared" si="9"/>
        <v>1.0909090909090908</v>
      </c>
      <c r="R251" s="675"/>
    </row>
    <row r="252" spans="1:18" x14ac:dyDescent="0.2">
      <c r="A252" s="558" t="s">
        <v>277</v>
      </c>
      <c r="B252" s="559" t="s">
        <v>914</v>
      </c>
      <c r="C252" s="573" t="s">
        <v>296</v>
      </c>
      <c r="D252" s="327" t="s">
        <v>298</v>
      </c>
      <c r="E252" s="575" t="s">
        <v>1715</v>
      </c>
      <c r="F252" s="561" t="s">
        <v>109</v>
      </c>
      <c r="G252" s="562" t="s">
        <v>933</v>
      </c>
      <c r="H252" s="563" t="s">
        <v>924</v>
      </c>
      <c r="I252" s="578" t="s">
        <v>925</v>
      </c>
      <c r="J252" s="564" t="s">
        <v>757</v>
      </c>
      <c r="K252" s="561">
        <v>10</v>
      </c>
      <c r="L252" s="338"/>
      <c r="M252" s="565">
        <v>20</v>
      </c>
      <c r="N252" s="565">
        <v>7</v>
      </c>
      <c r="O252" s="566">
        <f t="shared" si="10"/>
        <v>0.35</v>
      </c>
      <c r="P252" s="567">
        <f t="shared" si="11"/>
        <v>3.5</v>
      </c>
      <c r="Q252" s="568">
        <f t="shared" si="9"/>
        <v>3.5</v>
      </c>
      <c r="R252" s="675"/>
    </row>
    <row r="253" spans="1:18" x14ac:dyDescent="0.2">
      <c r="A253" s="558" t="s">
        <v>277</v>
      </c>
      <c r="B253" s="559" t="s">
        <v>914</v>
      </c>
      <c r="C253" s="573" t="s">
        <v>316</v>
      </c>
      <c r="D253" s="327" t="s">
        <v>292</v>
      </c>
      <c r="E253" s="575" t="s">
        <v>1849</v>
      </c>
      <c r="F253" s="561" t="s">
        <v>109</v>
      </c>
      <c r="G253" s="562" t="s">
        <v>933</v>
      </c>
      <c r="H253" s="563" t="s">
        <v>924</v>
      </c>
      <c r="I253" s="578" t="s">
        <v>925</v>
      </c>
      <c r="J253" s="564" t="s">
        <v>757</v>
      </c>
      <c r="K253" s="561">
        <v>0</v>
      </c>
      <c r="L253" s="338" t="s">
        <v>926</v>
      </c>
      <c r="M253" s="565">
        <v>0</v>
      </c>
      <c r="N253" s="565">
        <v>0</v>
      </c>
      <c r="O253" s="566">
        <f t="shared" si="10"/>
        <v>0</v>
      </c>
      <c r="P253" s="567">
        <f t="shared" si="11"/>
        <v>0</v>
      </c>
      <c r="Q253" s="568" t="e">
        <f t="shared" si="9"/>
        <v>#DIV/0!</v>
      </c>
      <c r="R253" s="676" t="s">
        <v>1919</v>
      </c>
    </row>
    <row r="254" spans="1:18" x14ac:dyDescent="0.2">
      <c r="A254" s="558" t="s">
        <v>277</v>
      </c>
      <c r="B254" s="559" t="s">
        <v>914</v>
      </c>
      <c r="C254" s="573" t="s">
        <v>316</v>
      </c>
      <c r="D254" s="327" t="s">
        <v>294</v>
      </c>
      <c r="E254" s="575" t="s">
        <v>1849</v>
      </c>
      <c r="F254" s="561" t="s">
        <v>109</v>
      </c>
      <c r="G254" s="562" t="s">
        <v>933</v>
      </c>
      <c r="H254" s="563" t="s">
        <v>924</v>
      </c>
      <c r="I254" s="578" t="s">
        <v>925</v>
      </c>
      <c r="J254" s="564" t="s">
        <v>757</v>
      </c>
      <c r="K254" s="561">
        <v>0</v>
      </c>
      <c r="L254" s="338" t="s">
        <v>926</v>
      </c>
      <c r="M254" s="565">
        <v>0</v>
      </c>
      <c r="N254" s="565">
        <v>0</v>
      </c>
      <c r="O254" s="566">
        <f t="shared" si="10"/>
        <v>0</v>
      </c>
      <c r="P254" s="567">
        <f t="shared" si="11"/>
        <v>0</v>
      </c>
      <c r="Q254" s="568" t="e">
        <f t="shared" si="9"/>
        <v>#DIV/0!</v>
      </c>
      <c r="R254" s="676" t="s">
        <v>1919</v>
      </c>
    </row>
    <row r="255" spans="1:18" x14ac:dyDescent="0.2">
      <c r="A255" s="558" t="s">
        <v>277</v>
      </c>
      <c r="B255" s="559" t="s">
        <v>914</v>
      </c>
      <c r="C255" s="573" t="s">
        <v>308</v>
      </c>
      <c r="D255" s="327" t="s">
        <v>300</v>
      </c>
      <c r="E255" s="575" t="s">
        <v>1715</v>
      </c>
      <c r="F255" s="561" t="s">
        <v>109</v>
      </c>
      <c r="G255" s="562" t="s">
        <v>933</v>
      </c>
      <c r="H255" s="563" t="s">
        <v>927</v>
      </c>
      <c r="I255" s="578" t="s">
        <v>925</v>
      </c>
      <c r="J255" s="564" t="s">
        <v>757</v>
      </c>
      <c r="K255" s="561">
        <v>38</v>
      </c>
      <c r="L255" s="338"/>
      <c r="M255" s="565">
        <v>51</v>
      </c>
      <c r="N255" s="565">
        <v>3</v>
      </c>
      <c r="O255" s="566">
        <f t="shared" si="10"/>
        <v>5.8823529411764705E-2</v>
      </c>
      <c r="P255" s="567">
        <f t="shared" si="11"/>
        <v>0.15479876160990713</v>
      </c>
      <c r="Q255" s="568">
        <f t="shared" si="9"/>
        <v>0.15479876160990713</v>
      </c>
      <c r="R255" s="675"/>
    </row>
    <row r="256" spans="1:18" x14ac:dyDescent="0.2">
      <c r="A256" s="558" t="s">
        <v>277</v>
      </c>
      <c r="B256" s="559" t="s">
        <v>914</v>
      </c>
      <c r="C256" s="573" t="s">
        <v>308</v>
      </c>
      <c r="D256" s="327" t="s">
        <v>292</v>
      </c>
      <c r="E256" s="575" t="s">
        <v>1850</v>
      </c>
      <c r="F256" s="561" t="s">
        <v>109</v>
      </c>
      <c r="G256" s="562" t="s">
        <v>933</v>
      </c>
      <c r="H256" s="563" t="s">
        <v>924</v>
      </c>
      <c r="I256" s="578" t="s">
        <v>925</v>
      </c>
      <c r="J256" s="564" t="s">
        <v>757</v>
      </c>
      <c r="K256" s="561">
        <v>0</v>
      </c>
      <c r="L256" s="338" t="s">
        <v>926</v>
      </c>
      <c r="M256" s="565">
        <v>7</v>
      </c>
      <c r="N256" s="565">
        <v>2</v>
      </c>
      <c r="O256" s="566">
        <f t="shared" si="10"/>
        <v>0.2857142857142857</v>
      </c>
      <c r="P256" s="567">
        <f t="shared" si="11"/>
        <v>0</v>
      </c>
      <c r="Q256" s="568" t="e">
        <f t="shared" si="9"/>
        <v>#DIV/0!</v>
      </c>
      <c r="R256" s="676" t="s">
        <v>926</v>
      </c>
    </row>
    <row r="257" spans="1:18" x14ac:dyDescent="0.2">
      <c r="A257" s="558" t="s">
        <v>277</v>
      </c>
      <c r="B257" s="559" t="s">
        <v>914</v>
      </c>
      <c r="C257" s="573" t="s">
        <v>308</v>
      </c>
      <c r="D257" s="327" t="s">
        <v>294</v>
      </c>
      <c r="E257" s="575" t="s">
        <v>1850</v>
      </c>
      <c r="F257" s="561" t="s">
        <v>109</v>
      </c>
      <c r="G257" s="562" t="s">
        <v>933</v>
      </c>
      <c r="H257" s="563" t="s">
        <v>924</v>
      </c>
      <c r="I257" s="578" t="s">
        <v>925</v>
      </c>
      <c r="J257" s="564" t="s">
        <v>757</v>
      </c>
      <c r="K257" s="561">
        <v>0</v>
      </c>
      <c r="L257" s="338" t="s">
        <v>926</v>
      </c>
      <c r="M257" s="565">
        <v>1</v>
      </c>
      <c r="N257" s="565">
        <v>0</v>
      </c>
      <c r="O257" s="566">
        <f t="shared" si="10"/>
        <v>0</v>
      </c>
      <c r="P257" s="567">
        <f t="shared" si="11"/>
        <v>0</v>
      </c>
      <c r="Q257" s="568" t="e">
        <f t="shared" si="9"/>
        <v>#DIV/0!</v>
      </c>
      <c r="R257" s="676" t="s">
        <v>926</v>
      </c>
    </row>
    <row r="258" spans="1:18" x14ac:dyDescent="0.2">
      <c r="A258" s="558" t="s">
        <v>277</v>
      </c>
      <c r="B258" s="559" t="s">
        <v>914</v>
      </c>
      <c r="C258" s="573" t="s">
        <v>305</v>
      </c>
      <c r="D258" s="327" t="s">
        <v>300</v>
      </c>
      <c r="E258" s="575" t="s">
        <v>1715</v>
      </c>
      <c r="F258" s="561" t="s">
        <v>109</v>
      </c>
      <c r="G258" s="562" t="s">
        <v>933</v>
      </c>
      <c r="H258" s="563" t="s">
        <v>927</v>
      </c>
      <c r="I258" s="578" t="s">
        <v>925</v>
      </c>
      <c r="J258" s="564" t="s">
        <v>757</v>
      </c>
      <c r="K258" s="561">
        <v>5</v>
      </c>
      <c r="L258" s="338"/>
      <c r="M258" s="565">
        <v>568</v>
      </c>
      <c r="N258" s="565">
        <v>24</v>
      </c>
      <c r="O258" s="566">
        <f t="shared" si="10"/>
        <v>4.2253521126760563E-2</v>
      </c>
      <c r="P258" s="567">
        <f t="shared" si="11"/>
        <v>0.84507042253521125</v>
      </c>
      <c r="Q258" s="568">
        <f t="shared" si="9"/>
        <v>0.84507042253521136</v>
      </c>
      <c r="R258" s="675"/>
    </row>
    <row r="259" spans="1:18" x14ac:dyDescent="0.2">
      <c r="A259" s="558" t="s">
        <v>277</v>
      </c>
      <c r="B259" s="559" t="s">
        <v>914</v>
      </c>
      <c r="C259" s="573" t="s">
        <v>305</v>
      </c>
      <c r="D259" s="327" t="s">
        <v>292</v>
      </c>
      <c r="E259" s="575" t="s">
        <v>1715</v>
      </c>
      <c r="F259" s="561" t="s">
        <v>109</v>
      </c>
      <c r="G259" s="562" t="s">
        <v>933</v>
      </c>
      <c r="H259" s="563" t="s">
        <v>924</v>
      </c>
      <c r="I259" s="578" t="s">
        <v>925</v>
      </c>
      <c r="J259" s="564" t="s">
        <v>757</v>
      </c>
      <c r="K259" s="561">
        <v>32</v>
      </c>
      <c r="L259" s="338"/>
      <c r="M259" s="565">
        <v>85</v>
      </c>
      <c r="N259" s="565">
        <v>22</v>
      </c>
      <c r="O259" s="566">
        <f t="shared" si="10"/>
        <v>0.25882352941176473</v>
      </c>
      <c r="P259" s="567">
        <f t="shared" si="11"/>
        <v>0.80882352941176472</v>
      </c>
      <c r="Q259" s="568">
        <f t="shared" si="9"/>
        <v>0.80882352941176472</v>
      </c>
      <c r="R259" s="675"/>
    </row>
    <row r="260" spans="1:18" x14ac:dyDescent="0.2">
      <c r="A260" s="558" t="s">
        <v>277</v>
      </c>
      <c r="B260" s="559" t="s">
        <v>914</v>
      </c>
      <c r="C260" s="573" t="s">
        <v>305</v>
      </c>
      <c r="D260" s="327" t="s">
        <v>294</v>
      </c>
      <c r="E260" s="575" t="s">
        <v>1851</v>
      </c>
      <c r="F260" s="561" t="s">
        <v>109</v>
      </c>
      <c r="G260" s="562" t="s">
        <v>933</v>
      </c>
      <c r="H260" s="563" t="s">
        <v>924</v>
      </c>
      <c r="I260" s="578" t="s">
        <v>925</v>
      </c>
      <c r="J260" s="564" t="s">
        <v>757</v>
      </c>
      <c r="K260" s="561">
        <v>33</v>
      </c>
      <c r="L260" s="338"/>
      <c r="M260" s="565">
        <v>24</v>
      </c>
      <c r="N260" s="565">
        <v>8</v>
      </c>
      <c r="O260" s="566">
        <f t="shared" si="10"/>
        <v>0.33333333333333331</v>
      </c>
      <c r="P260" s="567">
        <f t="shared" si="11"/>
        <v>1.0101010101010102</v>
      </c>
      <c r="Q260" s="568">
        <f t="shared" si="9"/>
        <v>1.0101010101010102</v>
      </c>
      <c r="R260" s="675"/>
    </row>
    <row r="261" spans="1:18" x14ac:dyDescent="0.2">
      <c r="A261" s="558" t="s">
        <v>277</v>
      </c>
      <c r="B261" s="559" t="s">
        <v>914</v>
      </c>
      <c r="C261" s="573" t="s">
        <v>305</v>
      </c>
      <c r="D261" s="327" t="s">
        <v>285</v>
      </c>
      <c r="E261" s="575" t="s">
        <v>1851</v>
      </c>
      <c r="F261" s="561" t="s">
        <v>109</v>
      </c>
      <c r="G261" s="562" t="s">
        <v>933</v>
      </c>
      <c r="H261" s="563" t="s">
        <v>924</v>
      </c>
      <c r="I261" s="578" t="s">
        <v>925</v>
      </c>
      <c r="J261" s="564" t="s">
        <v>757</v>
      </c>
      <c r="K261" s="561">
        <v>0</v>
      </c>
      <c r="L261" s="338" t="s">
        <v>926</v>
      </c>
      <c r="M261" s="565">
        <v>2</v>
      </c>
      <c r="N261" s="565">
        <v>1</v>
      </c>
      <c r="O261" s="566">
        <f t="shared" si="10"/>
        <v>0.5</v>
      </c>
      <c r="P261" s="567">
        <f t="shared" si="11"/>
        <v>0</v>
      </c>
      <c r="Q261" s="568" t="e">
        <f t="shared" ref="Q261:Q324" si="12">N261/(M261*K261/100)</f>
        <v>#DIV/0!</v>
      </c>
      <c r="R261" s="676" t="s">
        <v>926</v>
      </c>
    </row>
    <row r="262" spans="1:18" x14ac:dyDescent="0.2">
      <c r="A262" s="558" t="s">
        <v>277</v>
      </c>
      <c r="B262" s="559" t="s">
        <v>914</v>
      </c>
      <c r="C262" s="573" t="s">
        <v>97</v>
      </c>
      <c r="D262" s="327" t="s">
        <v>282</v>
      </c>
      <c r="E262" s="575" t="s">
        <v>1843</v>
      </c>
      <c r="F262" s="561" t="s">
        <v>109</v>
      </c>
      <c r="G262" s="562" t="s">
        <v>934</v>
      </c>
      <c r="H262" s="563" t="s">
        <v>924</v>
      </c>
      <c r="I262" s="578" t="s">
        <v>925</v>
      </c>
      <c r="J262" s="564" t="s">
        <v>757</v>
      </c>
      <c r="K262" s="561">
        <v>33</v>
      </c>
      <c r="L262" s="338"/>
      <c r="M262" s="565">
        <v>6</v>
      </c>
      <c r="N262" s="565">
        <v>6</v>
      </c>
      <c r="O262" s="566">
        <f t="shared" ref="O262:O325" si="13">IFERROR(N262/M262,0)</f>
        <v>1</v>
      </c>
      <c r="P262" s="567">
        <f t="shared" ref="P262:P325" si="14">IFERROR(N262/(M262*(K262/100)),0)</f>
        <v>3.0303030303030303</v>
      </c>
      <c r="Q262" s="568">
        <f t="shared" si="12"/>
        <v>3.0303030303030303</v>
      </c>
      <c r="R262" s="676" t="s">
        <v>1854</v>
      </c>
    </row>
    <row r="263" spans="1:18" x14ac:dyDescent="0.2">
      <c r="A263" s="558" t="s">
        <v>277</v>
      </c>
      <c r="B263" s="559" t="s">
        <v>914</v>
      </c>
      <c r="C263" s="573" t="s">
        <v>97</v>
      </c>
      <c r="D263" s="327" t="s">
        <v>285</v>
      </c>
      <c r="E263" s="575" t="s">
        <v>1843</v>
      </c>
      <c r="F263" s="561" t="s">
        <v>109</v>
      </c>
      <c r="G263" s="562" t="s">
        <v>934</v>
      </c>
      <c r="H263" s="563" t="s">
        <v>924</v>
      </c>
      <c r="I263" s="578" t="s">
        <v>925</v>
      </c>
      <c r="J263" s="564" t="s">
        <v>757</v>
      </c>
      <c r="K263" s="561">
        <v>0</v>
      </c>
      <c r="L263" s="338" t="s">
        <v>926</v>
      </c>
      <c r="M263" s="565">
        <v>8</v>
      </c>
      <c r="N263" s="565">
        <v>8</v>
      </c>
      <c r="O263" s="566">
        <f t="shared" si="13"/>
        <v>1</v>
      </c>
      <c r="P263" s="567">
        <f t="shared" si="14"/>
        <v>0</v>
      </c>
      <c r="Q263" s="568" t="e">
        <f t="shared" si="12"/>
        <v>#DIV/0!</v>
      </c>
      <c r="R263" s="676" t="s">
        <v>926</v>
      </c>
    </row>
    <row r="264" spans="1:18" x14ac:dyDescent="0.2">
      <c r="A264" s="558" t="s">
        <v>277</v>
      </c>
      <c r="B264" s="559" t="s">
        <v>914</v>
      </c>
      <c r="C264" s="573" t="s">
        <v>286</v>
      </c>
      <c r="D264" s="327" t="s">
        <v>300</v>
      </c>
      <c r="E264" s="575" t="s">
        <v>1715</v>
      </c>
      <c r="F264" s="561" t="s">
        <v>109</v>
      </c>
      <c r="G264" s="562" t="s">
        <v>934</v>
      </c>
      <c r="H264" s="563" t="s">
        <v>927</v>
      </c>
      <c r="I264" s="578" t="s">
        <v>925</v>
      </c>
      <c r="J264" s="564" t="s">
        <v>757</v>
      </c>
      <c r="K264" s="561">
        <v>0</v>
      </c>
      <c r="L264" s="338" t="s">
        <v>926</v>
      </c>
      <c r="M264" s="565">
        <v>39</v>
      </c>
      <c r="N264" s="565">
        <v>39</v>
      </c>
      <c r="O264" s="566">
        <f t="shared" si="13"/>
        <v>1</v>
      </c>
      <c r="P264" s="567">
        <f t="shared" si="14"/>
        <v>0</v>
      </c>
      <c r="Q264" s="568" t="e">
        <f t="shared" si="12"/>
        <v>#DIV/0!</v>
      </c>
      <c r="R264" s="676" t="s">
        <v>926</v>
      </c>
    </row>
    <row r="265" spans="1:18" x14ac:dyDescent="0.2">
      <c r="A265" s="558" t="s">
        <v>277</v>
      </c>
      <c r="B265" s="559" t="s">
        <v>914</v>
      </c>
      <c r="C265" s="573" t="s">
        <v>286</v>
      </c>
      <c r="D265" s="327" t="s">
        <v>292</v>
      </c>
      <c r="E265" s="575" t="s">
        <v>1715</v>
      </c>
      <c r="F265" s="561" t="s">
        <v>109</v>
      </c>
      <c r="G265" s="562" t="s">
        <v>934</v>
      </c>
      <c r="H265" s="563" t="s">
        <v>924</v>
      </c>
      <c r="I265" s="578" t="s">
        <v>925</v>
      </c>
      <c r="J265" s="564" t="s">
        <v>757</v>
      </c>
      <c r="K265" s="561">
        <v>26</v>
      </c>
      <c r="L265" s="338"/>
      <c r="M265" s="565">
        <v>12</v>
      </c>
      <c r="N265" s="565">
        <v>12</v>
      </c>
      <c r="O265" s="566">
        <f t="shared" si="13"/>
        <v>1</v>
      </c>
      <c r="P265" s="567">
        <f t="shared" si="14"/>
        <v>3.8461538461538458</v>
      </c>
      <c r="Q265" s="568">
        <f t="shared" si="12"/>
        <v>3.8461538461538458</v>
      </c>
      <c r="R265" s="676" t="s">
        <v>1854</v>
      </c>
    </row>
    <row r="266" spans="1:18" x14ac:dyDescent="0.2">
      <c r="A266" s="558" t="s">
        <v>277</v>
      </c>
      <c r="B266" s="559" t="s">
        <v>914</v>
      </c>
      <c r="C266" s="573" t="s">
        <v>286</v>
      </c>
      <c r="D266" s="327" t="s">
        <v>294</v>
      </c>
      <c r="E266" s="575" t="s">
        <v>1715</v>
      </c>
      <c r="F266" s="561" t="s">
        <v>109</v>
      </c>
      <c r="G266" s="562" t="s">
        <v>934</v>
      </c>
      <c r="H266" s="563" t="s">
        <v>924</v>
      </c>
      <c r="I266" s="578" t="s">
        <v>925</v>
      </c>
      <c r="J266" s="564" t="s">
        <v>757</v>
      </c>
      <c r="K266" s="561">
        <v>16</v>
      </c>
      <c r="L266" s="338"/>
      <c r="M266" s="565">
        <v>40</v>
      </c>
      <c r="N266" s="565">
        <v>40</v>
      </c>
      <c r="O266" s="566">
        <f t="shared" si="13"/>
        <v>1</v>
      </c>
      <c r="P266" s="567">
        <f t="shared" si="14"/>
        <v>6.25</v>
      </c>
      <c r="Q266" s="568">
        <f t="shared" si="12"/>
        <v>6.25</v>
      </c>
      <c r="R266" s="676" t="s">
        <v>1854</v>
      </c>
    </row>
    <row r="267" spans="1:18" x14ac:dyDescent="0.2">
      <c r="A267" s="558" t="s">
        <v>277</v>
      </c>
      <c r="B267" s="559" t="s">
        <v>914</v>
      </c>
      <c r="C267" s="573" t="s">
        <v>286</v>
      </c>
      <c r="D267" s="327" t="s">
        <v>282</v>
      </c>
      <c r="E267" s="575" t="s">
        <v>1715</v>
      </c>
      <c r="F267" s="561" t="s">
        <v>109</v>
      </c>
      <c r="G267" s="562" t="s">
        <v>934</v>
      </c>
      <c r="H267" s="563" t="s">
        <v>924</v>
      </c>
      <c r="I267" s="578" t="s">
        <v>925</v>
      </c>
      <c r="J267" s="564" t="s">
        <v>757</v>
      </c>
      <c r="K267" s="561">
        <v>6</v>
      </c>
      <c r="L267" s="338"/>
      <c r="M267" s="565">
        <v>68</v>
      </c>
      <c r="N267" s="565">
        <v>68</v>
      </c>
      <c r="O267" s="566">
        <f t="shared" si="13"/>
        <v>1</v>
      </c>
      <c r="P267" s="567">
        <f t="shared" si="14"/>
        <v>16.666666666666668</v>
      </c>
      <c r="Q267" s="568">
        <f t="shared" si="12"/>
        <v>16.666666666666668</v>
      </c>
      <c r="R267" s="676" t="s">
        <v>1854</v>
      </c>
    </row>
    <row r="268" spans="1:18" x14ac:dyDescent="0.2">
      <c r="A268" s="558" t="s">
        <v>277</v>
      </c>
      <c r="B268" s="559" t="s">
        <v>914</v>
      </c>
      <c r="C268" s="573" t="s">
        <v>286</v>
      </c>
      <c r="D268" s="327" t="s">
        <v>285</v>
      </c>
      <c r="E268" s="575" t="s">
        <v>1715</v>
      </c>
      <c r="F268" s="561" t="s">
        <v>109</v>
      </c>
      <c r="G268" s="562" t="s">
        <v>934</v>
      </c>
      <c r="H268" s="563" t="s">
        <v>924</v>
      </c>
      <c r="I268" s="578" t="s">
        <v>925</v>
      </c>
      <c r="J268" s="564" t="s">
        <v>757</v>
      </c>
      <c r="K268" s="561">
        <v>8</v>
      </c>
      <c r="L268" s="338"/>
      <c r="M268" s="565">
        <v>47</v>
      </c>
      <c r="N268" s="565">
        <v>47</v>
      </c>
      <c r="O268" s="566">
        <f t="shared" si="13"/>
        <v>1</v>
      </c>
      <c r="P268" s="567">
        <f t="shared" si="14"/>
        <v>12.5</v>
      </c>
      <c r="Q268" s="568">
        <f t="shared" si="12"/>
        <v>12.5</v>
      </c>
      <c r="R268" s="676" t="s">
        <v>1854</v>
      </c>
    </row>
    <row r="269" spans="1:18" x14ac:dyDescent="0.2">
      <c r="A269" s="558" t="s">
        <v>277</v>
      </c>
      <c r="B269" s="559" t="s">
        <v>914</v>
      </c>
      <c r="C269" s="573" t="s">
        <v>303</v>
      </c>
      <c r="D269" s="327" t="s">
        <v>300</v>
      </c>
      <c r="E269" s="575" t="s">
        <v>1715</v>
      </c>
      <c r="F269" s="561" t="s">
        <v>109</v>
      </c>
      <c r="G269" s="562" t="s">
        <v>934</v>
      </c>
      <c r="H269" s="563" t="s">
        <v>927</v>
      </c>
      <c r="I269" s="578" t="s">
        <v>925</v>
      </c>
      <c r="J269" s="564" t="s">
        <v>757</v>
      </c>
      <c r="K269" s="561">
        <v>28.999999999999996</v>
      </c>
      <c r="L269" s="338"/>
      <c r="M269" s="565">
        <v>144</v>
      </c>
      <c r="N269" s="565">
        <v>144</v>
      </c>
      <c r="O269" s="566">
        <f t="shared" si="13"/>
        <v>1</v>
      </c>
      <c r="P269" s="567">
        <f t="shared" si="14"/>
        <v>3.4482758620689657</v>
      </c>
      <c r="Q269" s="568">
        <f t="shared" si="12"/>
        <v>3.4482758620689662</v>
      </c>
      <c r="R269" s="676" t="s">
        <v>1854</v>
      </c>
    </row>
    <row r="270" spans="1:18" x14ac:dyDescent="0.2">
      <c r="A270" s="558" t="s">
        <v>277</v>
      </c>
      <c r="B270" s="559" t="s">
        <v>914</v>
      </c>
      <c r="C270" s="573" t="s">
        <v>303</v>
      </c>
      <c r="D270" s="327" t="s">
        <v>292</v>
      </c>
      <c r="E270" s="575" t="s">
        <v>1844</v>
      </c>
      <c r="F270" s="561" t="s">
        <v>109</v>
      </c>
      <c r="G270" s="562" t="s">
        <v>934</v>
      </c>
      <c r="H270" s="563" t="s">
        <v>924</v>
      </c>
      <c r="I270" s="578" t="s">
        <v>925</v>
      </c>
      <c r="J270" s="564" t="s">
        <v>757</v>
      </c>
      <c r="K270" s="561">
        <v>8</v>
      </c>
      <c r="L270" s="338"/>
      <c r="M270" s="565">
        <v>42</v>
      </c>
      <c r="N270" s="565">
        <v>42</v>
      </c>
      <c r="O270" s="566">
        <f t="shared" si="13"/>
        <v>1</v>
      </c>
      <c r="P270" s="567">
        <f t="shared" si="14"/>
        <v>12.5</v>
      </c>
      <c r="Q270" s="568">
        <f t="shared" si="12"/>
        <v>12.5</v>
      </c>
      <c r="R270" s="676" t="s">
        <v>1854</v>
      </c>
    </row>
    <row r="271" spans="1:18" x14ac:dyDescent="0.2">
      <c r="A271" s="558" t="s">
        <v>277</v>
      </c>
      <c r="B271" s="559" t="s">
        <v>914</v>
      </c>
      <c r="C271" s="573" t="s">
        <v>303</v>
      </c>
      <c r="D271" s="327" t="s">
        <v>294</v>
      </c>
      <c r="E271" s="575" t="s">
        <v>1844</v>
      </c>
      <c r="F271" s="561" t="s">
        <v>109</v>
      </c>
      <c r="G271" s="562" t="s">
        <v>934</v>
      </c>
      <c r="H271" s="563" t="s">
        <v>924</v>
      </c>
      <c r="I271" s="578" t="s">
        <v>925</v>
      </c>
      <c r="J271" s="564" t="s">
        <v>757</v>
      </c>
      <c r="K271" s="561">
        <v>0</v>
      </c>
      <c r="L271" s="338" t="s">
        <v>926</v>
      </c>
      <c r="M271" s="565">
        <v>10</v>
      </c>
      <c r="N271" s="565">
        <v>10</v>
      </c>
      <c r="O271" s="566">
        <f t="shared" si="13"/>
        <v>1</v>
      </c>
      <c r="P271" s="567">
        <f t="shared" si="14"/>
        <v>0</v>
      </c>
      <c r="Q271" s="568" t="e">
        <f t="shared" si="12"/>
        <v>#DIV/0!</v>
      </c>
      <c r="R271" s="676" t="s">
        <v>926</v>
      </c>
    </row>
    <row r="272" spans="1:18" x14ac:dyDescent="0.2">
      <c r="A272" s="558" t="s">
        <v>277</v>
      </c>
      <c r="B272" s="559" t="s">
        <v>914</v>
      </c>
      <c r="C272" s="573" t="s">
        <v>303</v>
      </c>
      <c r="D272" s="327" t="s">
        <v>282</v>
      </c>
      <c r="E272" s="575" t="s">
        <v>1845</v>
      </c>
      <c r="F272" s="561" t="s">
        <v>109</v>
      </c>
      <c r="G272" s="562" t="s">
        <v>934</v>
      </c>
      <c r="H272" s="563" t="s">
        <v>924</v>
      </c>
      <c r="I272" s="578" t="s">
        <v>925</v>
      </c>
      <c r="J272" s="564" t="s">
        <v>757</v>
      </c>
      <c r="K272" s="561">
        <v>0</v>
      </c>
      <c r="L272" s="338" t="s">
        <v>926</v>
      </c>
      <c r="M272" s="565">
        <v>2</v>
      </c>
      <c r="N272" s="565">
        <v>2</v>
      </c>
      <c r="O272" s="566">
        <f t="shared" si="13"/>
        <v>1</v>
      </c>
      <c r="P272" s="567">
        <f t="shared" si="14"/>
        <v>0</v>
      </c>
      <c r="Q272" s="568" t="e">
        <f t="shared" si="12"/>
        <v>#DIV/0!</v>
      </c>
      <c r="R272" s="676" t="s">
        <v>926</v>
      </c>
    </row>
    <row r="273" spans="1:18" x14ac:dyDescent="0.2">
      <c r="A273" s="558" t="s">
        <v>277</v>
      </c>
      <c r="B273" s="559" t="s">
        <v>914</v>
      </c>
      <c r="C273" s="573" t="s">
        <v>303</v>
      </c>
      <c r="D273" s="327" t="s">
        <v>285</v>
      </c>
      <c r="E273" s="575" t="s">
        <v>1845</v>
      </c>
      <c r="F273" s="561" t="s">
        <v>109</v>
      </c>
      <c r="G273" s="562" t="s">
        <v>934</v>
      </c>
      <c r="H273" s="563" t="s">
        <v>924</v>
      </c>
      <c r="I273" s="578" t="s">
        <v>925</v>
      </c>
      <c r="J273" s="564" t="s">
        <v>757</v>
      </c>
      <c r="K273" s="561">
        <v>0</v>
      </c>
      <c r="L273" s="338" t="s">
        <v>926</v>
      </c>
      <c r="M273" s="565">
        <v>5</v>
      </c>
      <c r="N273" s="565">
        <v>5</v>
      </c>
      <c r="O273" s="566">
        <f t="shared" si="13"/>
        <v>1</v>
      </c>
      <c r="P273" s="567">
        <f t="shared" si="14"/>
        <v>0</v>
      </c>
      <c r="Q273" s="568" t="e">
        <f t="shared" si="12"/>
        <v>#DIV/0!</v>
      </c>
      <c r="R273" s="676" t="s">
        <v>926</v>
      </c>
    </row>
    <row r="274" spans="1:18" x14ac:dyDescent="0.2">
      <c r="A274" s="558" t="s">
        <v>277</v>
      </c>
      <c r="B274" s="559" t="s">
        <v>914</v>
      </c>
      <c r="C274" s="573" t="s">
        <v>99</v>
      </c>
      <c r="D274" s="327" t="s">
        <v>300</v>
      </c>
      <c r="E274" s="575" t="s">
        <v>1715</v>
      </c>
      <c r="F274" s="561" t="s">
        <v>109</v>
      </c>
      <c r="G274" s="562" t="s">
        <v>934</v>
      </c>
      <c r="H274" s="563" t="s">
        <v>927</v>
      </c>
      <c r="I274" s="578" t="s">
        <v>925</v>
      </c>
      <c r="J274" s="564" t="s">
        <v>757</v>
      </c>
      <c r="K274" s="561">
        <v>17</v>
      </c>
      <c r="L274" s="338"/>
      <c r="M274" s="565">
        <v>158</v>
      </c>
      <c r="N274" s="565">
        <v>158</v>
      </c>
      <c r="O274" s="566">
        <f t="shared" si="13"/>
        <v>1</v>
      </c>
      <c r="P274" s="567">
        <f t="shared" si="14"/>
        <v>5.8823529411764701</v>
      </c>
      <c r="Q274" s="568">
        <f t="shared" si="12"/>
        <v>5.882352941176471</v>
      </c>
      <c r="R274" s="676" t="s">
        <v>1854</v>
      </c>
    </row>
    <row r="275" spans="1:18" x14ac:dyDescent="0.2">
      <c r="A275" s="558" t="s">
        <v>277</v>
      </c>
      <c r="B275" s="559" t="s">
        <v>914</v>
      </c>
      <c r="C275" s="573" t="s">
        <v>99</v>
      </c>
      <c r="D275" s="327" t="s">
        <v>292</v>
      </c>
      <c r="E275" s="575" t="s">
        <v>1715</v>
      </c>
      <c r="F275" s="561" t="s">
        <v>109</v>
      </c>
      <c r="G275" s="562" t="s">
        <v>934</v>
      </c>
      <c r="H275" s="563" t="s">
        <v>924</v>
      </c>
      <c r="I275" s="578" t="s">
        <v>925</v>
      </c>
      <c r="J275" s="564" t="s">
        <v>757</v>
      </c>
      <c r="K275" s="561">
        <v>36</v>
      </c>
      <c r="L275" s="338"/>
      <c r="M275" s="565">
        <v>7</v>
      </c>
      <c r="N275" s="565">
        <v>7</v>
      </c>
      <c r="O275" s="566">
        <f t="shared" si="13"/>
        <v>1</v>
      </c>
      <c r="P275" s="567">
        <f t="shared" si="14"/>
        <v>2.7777777777777777</v>
      </c>
      <c r="Q275" s="568">
        <f t="shared" si="12"/>
        <v>2.7777777777777777</v>
      </c>
      <c r="R275" s="676" t="s">
        <v>1854</v>
      </c>
    </row>
    <row r="276" spans="1:18" x14ac:dyDescent="0.2">
      <c r="A276" s="558" t="s">
        <v>277</v>
      </c>
      <c r="B276" s="559" t="s">
        <v>914</v>
      </c>
      <c r="C276" s="573" t="s">
        <v>99</v>
      </c>
      <c r="D276" s="327" t="s">
        <v>294</v>
      </c>
      <c r="E276" s="575" t="s">
        <v>1846</v>
      </c>
      <c r="F276" s="561" t="s">
        <v>109</v>
      </c>
      <c r="G276" s="562" t="s">
        <v>934</v>
      </c>
      <c r="H276" s="563" t="s">
        <v>924</v>
      </c>
      <c r="I276" s="578" t="s">
        <v>925</v>
      </c>
      <c r="J276" s="564" t="s">
        <v>757</v>
      </c>
      <c r="K276" s="561">
        <v>80</v>
      </c>
      <c r="L276" s="338"/>
      <c r="M276" s="565">
        <v>8</v>
      </c>
      <c r="N276" s="565">
        <v>8</v>
      </c>
      <c r="O276" s="566">
        <f t="shared" si="13"/>
        <v>1</v>
      </c>
      <c r="P276" s="567">
        <f t="shared" si="14"/>
        <v>1.25</v>
      </c>
      <c r="Q276" s="568">
        <f t="shared" si="12"/>
        <v>1.25</v>
      </c>
      <c r="R276" s="676" t="s">
        <v>1854</v>
      </c>
    </row>
    <row r="277" spans="1:18" x14ac:dyDescent="0.2">
      <c r="A277" s="558" t="s">
        <v>277</v>
      </c>
      <c r="B277" s="559" t="s">
        <v>914</v>
      </c>
      <c r="C277" s="573" t="s">
        <v>99</v>
      </c>
      <c r="D277" s="327" t="s">
        <v>282</v>
      </c>
      <c r="E277" s="575" t="s">
        <v>1846</v>
      </c>
      <c r="F277" s="561" t="s">
        <v>109</v>
      </c>
      <c r="G277" s="562" t="s">
        <v>934</v>
      </c>
      <c r="H277" s="563" t="s">
        <v>924</v>
      </c>
      <c r="I277" s="578" t="s">
        <v>925</v>
      </c>
      <c r="J277" s="564" t="s">
        <v>757</v>
      </c>
      <c r="K277" s="561">
        <v>0</v>
      </c>
      <c r="L277" s="338" t="s">
        <v>926</v>
      </c>
      <c r="M277" s="565">
        <v>4</v>
      </c>
      <c r="N277" s="565">
        <v>4</v>
      </c>
      <c r="O277" s="566">
        <f t="shared" si="13"/>
        <v>1</v>
      </c>
      <c r="P277" s="567">
        <f t="shared" si="14"/>
        <v>0</v>
      </c>
      <c r="Q277" s="568" t="e">
        <f t="shared" si="12"/>
        <v>#DIV/0!</v>
      </c>
      <c r="R277" s="676" t="s">
        <v>926</v>
      </c>
    </row>
    <row r="278" spans="1:18" x14ac:dyDescent="0.2">
      <c r="A278" s="558" t="s">
        <v>277</v>
      </c>
      <c r="B278" s="559" t="s">
        <v>914</v>
      </c>
      <c r="C278" s="573" t="s">
        <v>99</v>
      </c>
      <c r="D278" s="327" t="s">
        <v>285</v>
      </c>
      <c r="E278" s="575" t="s">
        <v>1846</v>
      </c>
      <c r="F278" s="561" t="s">
        <v>109</v>
      </c>
      <c r="G278" s="562" t="s">
        <v>934</v>
      </c>
      <c r="H278" s="563" t="s">
        <v>924</v>
      </c>
      <c r="I278" s="578" t="s">
        <v>925</v>
      </c>
      <c r="J278" s="564" t="s">
        <v>757</v>
      </c>
      <c r="K278" s="561">
        <v>0</v>
      </c>
      <c r="L278" s="338" t="s">
        <v>926</v>
      </c>
      <c r="M278" s="565">
        <v>1</v>
      </c>
      <c r="N278" s="565">
        <v>1</v>
      </c>
      <c r="O278" s="566">
        <f t="shared" si="13"/>
        <v>1</v>
      </c>
      <c r="P278" s="567">
        <f t="shared" si="14"/>
        <v>0</v>
      </c>
      <c r="Q278" s="568" t="e">
        <f t="shared" si="12"/>
        <v>#DIV/0!</v>
      </c>
      <c r="R278" s="676" t="s">
        <v>926</v>
      </c>
    </row>
    <row r="279" spans="1:18" x14ac:dyDescent="0.2">
      <c r="A279" s="558" t="s">
        <v>277</v>
      </c>
      <c r="B279" s="559" t="s">
        <v>914</v>
      </c>
      <c r="C279" s="573" t="s">
        <v>296</v>
      </c>
      <c r="D279" s="327" t="s">
        <v>300</v>
      </c>
      <c r="E279" s="575" t="s">
        <v>1847</v>
      </c>
      <c r="F279" s="561" t="s">
        <v>109</v>
      </c>
      <c r="G279" s="562" t="s">
        <v>934</v>
      </c>
      <c r="H279" s="563" t="s">
        <v>927</v>
      </c>
      <c r="I279" s="578" t="s">
        <v>925</v>
      </c>
      <c r="J279" s="564" t="s">
        <v>757</v>
      </c>
      <c r="K279" s="561">
        <v>13</v>
      </c>
      <c r="L279" s="338"/>
      <c r="M279" s="565">
        <v>0</v>
      </c>
      <c r="N279" s="565">
        <v>0</v>
      </c>
      <c r="O279" s="566">
        <f t="shared" si="13"/>
        <v>0</v>
      </c>
      <c r="P279" s="567">
        <f t="shared" si="14"/>
        <v>0</v>
      </c>
      <c r="Q279" s="568" t="e">
        <f t="shared" si="12"/>
        <v>#DIV/0!</v>
      </c>
      <c r="R279" s="676" t="s">
        <v>1919</v>
      </c>
    </row>
    <row r="280" spans="1:18" x14ac:dyDescent="0.2">
      <c r="A280" s="558" t="s">
        <v>277</v>
      </c>
      <c r="B280" s="559" t="s">
        <v>914</v>
      </c>
      <c r="C280" s="573" t="s">
        <v>296</v>
      </c>
      <c r="D280" s="327" t="s">
        <v>292</v>
      </c>
      <c r="E280" s="575" t="s">
        <v>1847</v>
      </c>
      <c r="F280" s="561" t="s">
        <v>109</v>
      </c>
      <c r="G280" s="562" t="s">
        <v>934</v>
      </c>
      <c r="H280" s="563" t="s">
        <v>924</v>
      </c>
      <c r="I280" s="578" t="s">
        <v>925</v>
      </c>
      <c r="J280" s="564" t="s">
        <v>757</v>
      </c>
      <c r="K280" s="561">
        <v>0</v>
      </c>
      <c r="L280" s="338" t="s">
        <v>926</v>
      </c>
      <c r="M280" s="565">
        <v>3</v>
      </c>
      <c r="N280" s="565">
        <v>3</v>
      </c>
      <c r="O280" s="566">
        <f t="shared" si="13"/>
        <v>1</v>
      </c>
      <c r="P280" s="567">
        <f t="shared" si="14"/>
        <v>0</v>
      </c>
      <c r="Q280" s="568" t="e">
        <f t="shared" si="12"/>
        <v>#DIV/0!</v>
      </c>
      <c r="R280" s="676" t="s">
        <v>926</v>
      </c>
    </row>
    <row r="281" spans="1:18" x14ac:dyDescent="0.2">
      <c r="A281" s="558" t="s">
        <v>277</v>
      </c>
      <c r="B281" s="559" t="s">
        <v>914</v>
      </c>
      <c r="C281" s="573" t="s">
        <v>296</v>
      </c>
      <c r="D281" s="327" t="s">
        <v>294</v>
      </c>
      <c r="E281" s="575" t="s">
        <v>1848</v>
      </c>
      <c r="F281" s="561" t="s">
        <v>109</v>
      </c>
      <c r="G281" s="562" t="s">
        <v>934</v>
      </c>
      <c r="H281" s="563" t="s">
        <v>924</v>
      </c>
      <c r="I281" s="578" t="s">
        <v>925</v>
      </c>
      <c r="J281" s="564" t="s">
        <v>757</v>
      </c>
      <c r="K281" s="561">
        <v>0</v>
      </c>
      <c r="L281" s="338" t="s">
        <v>926</v>
      </c>
      <c r="M281" s="565">
        <v>1</v>
      </c>
      <c r="N281" s="565">
        <v>1</v>
      </c>
      <c r="O281" s="566">
        <f t="shared" si="13"/>
        <v>1</v>
      </c>
      <c r="P281" s="567">
        <f t="shared" si="14"/>
        <v>0</v>
      </c>
      <c r="Q281" s="568" t="e">
        <f t="shared" si="12"/>
        <v>#DIV/0!</v>
      </c>
      <c r="R281" s="676" t="s">
        <v>926</v>
      </c>
    </row>
    <row r="282" spans="1:18" x14ac:dyDescent="0.2">
      <c r="A282" s="558" t="s">
        <v>277</v>
      </c>
      <c r="B282" s="559" t="s">
        <v>914</v>
      </c>
      <c r="C282" s="573" t="s">
        <v>296</v>
      </c>
      <c r="D282" s="327" t="s">
        <v>282</v>
      </c>
      <c r="E282" s="575" t="s">
        <v>1848</v>
      </c>
      <c r="F282" s="561" t="s">
        <v>109</v>
      </c>
      <c r="G282" s="562" t="s">
        <v>934</v>
      </c>
      <c r="H282" s="563" t="s">
        <v>924</v>
      </c>
      <c r="I282" s="578" t="s">
        <v>925</v>
      </c>
      <c r="J282" s="564" t="s">
        <v>757</v>
      </c>
      <c r="K282" s="561">
        <v>0</v>
      </c>
      <c r="L282" s="338" t="s">
        <v>926</v>
      </c>
      <c r="M282" s="565">
        <v>2</v>
      </c>
      <c r="N282" s="565">
        <v>2</v>
      </c>
      <c r="O282" s="566">
        <f t="shared" si="13"/>
        <v>1</v>
      </c>
      <c r="P282" s="567">
        <f t="shared" si="14"/>
        <v>0</v>
      </c>
      <c r="Q282" s="568" t="e">
        <f t="shared" si="12"/>
        <v>#DIV/0!</v>
      </c>
      <c r="R282" s="676" t="s">
        <v>926</v>
      </c>
    </row>
    <row r="283" spans="1:18" x14ac:dyDescent="0.2">
      <c r="A283" s="558" t="s">
        <v>277</v>
      </c>
      <c r="B283" s="559" t="s">
        <v>914</v>
      </c>
      <c r="C283" s="573" t="s">
        <v>296</v>
      </c>
      <c r="D283" s="327" t="s">
        <v>285</v>
      </c>
      <c r="E283" s="575" t="s">
        <v>1715</v>
      </c>
      <c r="F283" s="561" t="s">
        <v>109</v>
      </c>
      <c r="G283" s="562" t="s">
        <v>934</v>
      </c>
      <c r="H283" s="563" t="s">
        <v>924</v>
      </c>
      <c r="I283" s="578" t="s">
        <v>925</v>
      </c>
      <c r="J283" s="564" t="s">
        <v>757</v>
      </c>
      <c r="K283" s="561">
        <v>25</v>
      </c>
      <c r="L283" s="338"/>
      <c r="M283" s="565">
        <v>11</v>
      </c>
      <c r="N283" s="565">
        <v>11</v>
      </c>
      <c r="O283" s="566">
        <f t="shared" si="13"/>
        <v>1</v>
      </c>
      <c r="P283" s="567">
        <f t="shared" si="14"/>
        <v>4</v>
      </c>
      <c r="Q283" s="568">
        <f t="shared" si="12"/>
        <v>4</v>
      </c>
      <c r="R283" s="676" t="s">
        <v>1854</v>
      </c>
    </row>
    <row r="284" spans="1:18" x14ac:dyDescent="0.2">
      <c r="A284" s="558" t="s">
        <v>277</v>
      </c>
      <c r="B284" s="559" t="s">
        <v>914</v>
      </c>
      <c r="C284" s="573" t="s">
        <v>296</v>
      </c>
      <c r="D284" s="327" t="s">
        <v>298</v>
      </c>
      <c r="E284" s="575" t="s">
        <v>1715</v>
      </c>
      <c r="F284" s="561" t="s">
        <v>109</v>
      </c>
      <c r="G284" s="562" t="s">
        <v>934</v>
      </c>
      <c r="H284" s="563" t="s">
        <v>924</v>
      </c>
      <c r="I284" s="578" t="s">
        <v>925</v>
      </c>
      <c r="J284" s="564" t="s">
        <v>757</v>
      </c>
      <c r="K284" s="561">
        <v>10</v>
      </c>
      <c r="L284" s="338"/>
      <c r="M284" s="565">
        <v>20</v>
      </c>
      <c r="N284" s="565">
        <v>20</v>
      </c>
      <c r="O284" s="566">
        <f t="shared" si="13"/>
        <v>1</v>
      </c>
      <c r="P284" s="567">
        <f t="shared" si="14"/>
        <v>10</v>
      </c>
      <c r="Q284" s="568">
        <f t="shared" si="12"/>
        <v>10</v>
      </c>
      <c r="R284" s="676" t="s">
        <v>1854</v>
      </c>
    </row>
    <row r="285" spans="1:18" x14ac:dyDescent="0.2">
      <c r="A285" s="558" t="s">
        <v>277</v>
      </c>
      <c r="B285" s="559" t="s">
        <v>914</v>
      </c>
      <c r="C285" s="573" t="s">
        <v>316</v>
      </c>
      <c r="D285" s="327" t="s">
        <v>292</v>
      </c>
      <c r="E285" s="575" t="s">
        <v>1849</v>
      </c>
      <c r="F285" s="561" t="s">
        <v>109</v>
      </c>
      <c r="G285" s="562" t="s">
        <v>934</v>
      </c>
      <c r="H285" s="563" t="s">
        <v>924</v>
      </c>
      <c r="I285" s="578" t="s">
        <v>925</v>
      </c>
      <c r="J285" s="564" t="s">
        <v>757</v>
      </c>
      <c r="K285" s="561">
        <v>0</v>
      </c>
      <c r="L285" s="338" t="s">
        <v>926</v>
      </c>
      <c r="M285" s="565">
        <v>0</v>
      </c>
      <c r="N285" s="565">
        <v>0</v>
      </c>
      <c r="O285" s="566">
        <f t="shared" si="13"/>
        <v>0</v>
      </c>
      <c r="P285" s="567">
        <f t="shared" si="14"/>
        <v>0</v>
      </c>
      <c r="Q285" s="568" t="e">
        <f t="shared" si="12"/>
        <v>#DIV/0!</v>
      </c>
      <c r="R285" s="676" t="s">
        <v>1919</v>
      </c>
    </row>
    <row r="286" spans="1:18" x14ac:dyDescent="0.2">
      <c r="A286" s="558" t="s">
        <v>277</v>
      </c>
      <c r="B286" s="559" t="s">
        <v>914</v>
      </c>
      <c r="C286" s="573" t="s">
        <v>316</v>
      </c>
      <c r="D286" s="327" t="s">
        <v>294</v>
      </c>
      <c r="E286" s="575" t="s">
        <v>1849</v>
      </c>
      <c r="F286" s="561" t="s">
        <v>109</v>
      </c>
      <c r="G286" s="562" t="s">
        <v>934</v>
      </c>
      <c r="H286" s="563" t="s">
        <v>924</v>
      </c>
      <c r="I286" s="578" t="s">
        <v>925</v>
      </c>
      <c r="J286" s="564" t="s">
        <v>757</v>
      </c>
      <c r="K286" s="561">
        <v>0</v>
      </c>
      <c r="L286" s="338" t="s">
        <v>926</v>
      </c>
      <c r="M286" s="565">
        <v>0</v>
      </c>
      <c r="N286" s="565">
        <v>0</v>
      </c>
      <c r="O286" s="566">
        <f t="shared" si="13"/>
        <v>0</v>
      </c>
      <c r="P286" s="567">
        <f t="shared" si="14"/>
        <v>0</v>
      </c>
      <c r="Q286" s="568" t="e">
        <f t="shared" si="12"/>
        <v>#DIV/0!</v>
      </c>
      <c r="R286" s="676" t="s">
        <v>1919</v>
      </c>
    </row>
    <row r="287" spans="1:18" x14ac:dyDescent="0.2">
      <c r="A287" s="558" t="s">
        <v>277</v>
      </c>
      <c r="B287" s="559" t="s">
        <v>914</v>
      </c>
      <c r="C287" s="573" t="s">
        <v>308</v>
      </c>
      <c r="D287" s="327" t="s">
        <v>300</v>
      </c>
      <c r="E287" s="575" t="s">
        <v>1715</v>
      </c>
      <c r="F287" s="561" t="s">
        <v>109</v>
      </c>
      <c r="G287" s="562" t="s">
        <v>934</v>
      </c>
      <c r="H287" s="563" t="s">
        <v>927</v>
      </c>
      <c r="I287" s="578" t="s">
        <v>925</v>
      </c>
      <c r="J287" s="564" t="s">
        <v>757</v>
      </c>
      <c r="K287" s="561">
        <v>38</v>
      </c>
      <c r="L287" s="338"/>
      <c r="M287" s="565">
        <v>51</v>
      </c>
      <c r="N287" s="565">
        <v>51</v>
      </c>
      <c r="O287" s="566">
        <f t="shared" si="13"/>
        <v>1</v>
      </c>
      <c r="P287" s="567">
        <f t="shared" si="14"/>
        <v>2.6315789473684212</v>
      </c>
      <c r="Q287" s="568">
        <f t="shared" si="12"/>
        <v>2.6315789473684212</v>
      </c>
      <c r="R287" s="676" t="s">
        <v>1854</v>
      </c>
    </row>
    <row r="288" spans="1:18" x14ac:dyDescent="0.2">
      <c r="A288" s="558" t="s">
        <v>277</v>
      </c>
      <c r="B288" s="559" t="s">
        <v>914</v>
      </c>
      <c r="C288" s="573" t="s">
        <v>308</v>
      </c>
      <c r="D288" s="327" t="s">
        <v>292</v>
      </c>
      <c r="E288" s="575" t="s">
        <v>1850</v>
      </c>
      <c r="F288" s="561" t="s">
        <v>109</v>
      </c>
      <c r="G288" s="562" t="s">
        <v>934</v>
      </c>
      <c r="H288" s="563" t="s">
        <v>924</v>
      </c>
      <c r="I288" s="578" t="s">
        <v>925</v>
      </c>
      <c r="J288" s="564" t="s">
        <v>757</v>
      </c>
      <c r="K288" s="561">
        <v>0</v>
      </c>
      <c r="L288" s="338" t="s">
        <v>926</v>
      </c>
      <c r="M288" s="565">
        <v>7</v>
      </c>
      <c r="N288" s="565">
        <v>7</v>
      </c>
      <c r="O288" s="566">
        <f t="shared" si="13"/>
        <v>1</v>
      </c>
      <c r="P288" s="567">
        <f t="shared" si="14"/>
        <v>0</v>
      </c>
      <c r="Q288" s="568" t="e">
        <f t="shared" si="12"/>
        <v>#DIV/0!</v>
      </c>
      <c r="R288" s="676" t="s">
        <v>926</v>
      </c>
    </row>
    <row r="289" spans="1:18" x14ac:dyDescent="0.2">
      <c r="A289" s="558" t="s">
        <v>277</v>
      </c>
      <c r="B289" s="559" t="s">
        <v>914</v>
      </c>
      <c r="C289" s="573" t="s">
        <v>308</v>
      </c>
      <c r="D289" s="327" t="s">
        <v>294</v>
      </c>
      <c r="E289" s="575" t="s">
        <v>1850</v>
      </c>
      <c r="F289" s="561" t="s">
        <v>109</v>
      </c>
      <c r="G289" s="562" t="s">
        <v>934</v>
      </c>
      <c r="H289" s="563" t="s">
        <v>924</v>
      </c>
      <c r="I289" s="578" t="s">
        <v>925</v>
      </c>
      <c r="J289" s="564" t="s">
        <v>757</v>
      </c>
      <c r="K289" s="561">
        <v>0</v>
      </c>
      <c r="L289" s="338" t="s">
        <v>926</v>
      </c>
      <c r="M289" s="565">
        <v>1</v>
      </c>
      <c r="N289" s="565">
        <v>1</v>
      </c>
      <c r="O289" s="566">
        <f t="shared" si="13"/>
        <v>1</v>
      </c>
      <c r="P289" s="567">
        <f t="shared" si="14"/>
        <v>0</v>
      </c>
      <c r="Q289" s="568" t="e">
        <f t="shared" si="12"/>
        <v>#DIV/0!</v>
      </c>
      <c r="R289" s="676" t="s">
        <v>926</v>
      </c>
    </row>
    <row r="290" spans="1:18" x14ac:dyDescent="0.2">
      <c r="A290" s="558" t="s">
        <v>277</v>
      </c>
      <c r="B290" s="559" t="s">
        <v>914</v>
      </c>
      <c r="C290" s="573" t="s">
        <v>305</v>
      </c>
      <c r="D290" s="327" t="s">
        <v>300</v>
      </c>
      <c r="E290" s="575" t="s">
        <v>1715</v>
      </c>
      <c r="F290" s="561" t="s">
        <v>109</v>
      </c>
      <c r="G290" s="562" t="s">
        <v>934</v>
      </c>
      <c r="H290" s="563" t="s">
        <v>927</v>
      </c>
      <c r="I290" s="578" t="s">
        <v>925</v>
      </c>
      <c r="J290" s="564" t="s">
        <v>757</v>
      </c>
      <c r="K290" s="561">
        <v>5</v>
      </c>
      <c r="L290" s="338"/>
      <c r="M290" s="565">
        <v>568</v>
      </c>
      <c r="N290" s="565">
        <v>568</v>
      </c>
      <c r="O290" s="566">
        <f t="shared" si="13"/>
        <v>1</v>
      </c>
      <c r="P290" s="567">
        <f t="shared" si="14"/>
        <v>20</v>
      </c>
      <c r="Q290" s="568">
        <f t="shared" si="12"/>
        <v>20</v>
      </c>
      <c r="R290" s="676" t="s">
        <v>1854</v>
      </c>
    </row>
    <row r="291" spans="1:18" x14ac:dyDescent="0.2">
      <c r="A291" s="558" t="s">
        <v>277</v>
      </c>
      <c r="B291" s="559" t="s">
        <v>914</v>
      </c>
      <c r="C291" s="573" t="s">
        <v>305</v>
      </c>
      <c r="D291" s="327" t="s">
        <v>292</v>
      </c>
      <c r="E291" s="575" t="s">
        <v>1715</v>
      </c>
      <c r="F291" s="561" t="s">
        <v>109</v>
      </c>
      <c r="G291" s="562" t="s">
        <v>934</v>
      </c>
      <c r="H291" s="563" t="s">
        <v>924</v>
      </c>
      <c r="I291" s="578" t="s">
        <v>925</v>
      </c>
      <c r="J291" s="564" t="s">
        <v>757</v>
      </c>
      <c r="K291" s="561">
        <v>32</v>
      </c>
      <c r="L291" s="338"/>
      <c r="M291" s="565">
        <v>85</v>
      </c>
      <c r="N291" s="565">
        <v>85</v>
      </c>
      <c r="O291" s="566">
        <f t="shared" si="13"/>
        <v>1</v>
      </c>
      <c r="P291" s="567">
        <f t="shared" si="14"/>
        <v>3.125</v>
      </c>
      <c r="Q291" s="568">
        <f t="shared" si="12"/>
        <v>3.125</v>
      </c>
      <c r="R291" s="676" t="s">
        <v>1854</v>
      </c>
    </row>
    <row r="292" spans="1:18" x14ac:dyDescent="0.2">
      <c r="A292" s="558" t="s">
        <v>277</v>
      </c>
      <c r="B292" s="559" t="s">
        <v>914</v>
      </c>
      <c r="C292" s="573" t="s">
        <v>305</v>
      </c>
      <c r="D292" s="327" t="s">
        <v>294</v>
      </c>
      <c r="E292" s="575" t="s">
        <v>1851</v>
      </c>
      <c r="F292" s="561" t="s">
        <v>109</v>
      </c>
      <c r="G292" s="562" t="s">
        <v>934</v>
      </c>
      <c r="H292" s="563" t="s">
        <v>924</v>
      </c>
      <c r="I292" s="578" t="s">
        <v>925</v>
      </c>
      <c r="J292" s="564" t="s">
        <v>757</v>
      </c>
      <c r="K292" s="561">
        <v>33</v>
      </c>
      <c r="L292" s="338"/>
      <c r="M292" s="565">
        <v>24</v>
      </c>
      <c r="N292" s="565">
        <v>24</v>
      </c>
      <c r="O292" s="566">
        <f t="shared" si="13"/>
        <v>1</v>
      </c>
      <c r="P292" s="567">
        <f t="shared" si="14"/>
        <v>3.0303030303030303</v>
      </c>
      <c r="Q292" s="568">
        <f t="shared" si="12"/>
        <v>3.0303030303030303</v>
      </c>
      <c r="R292" s="676" t="s">
        <v>1854</v>
      </c>
    </row>
    <row r="293" spans="1:18" x14ac:dyDescent="0.2">
      <c r="A293" s="558" t="s">
        <v>277</v>
      </c>
      <c r="B293" s="559" t="s">
        <v>914</v>
      </c>
      <c r="C293" s="573" t="s">
        <v>305</v>
      </c>
      <c r="D293" s="327" t="s">
        <v>285</v>
      </c>
      <c r="E293" s="575" t="s">
        <v>1851</v>
      </c>
      <c r="F293" s="561" t="s">
        <v>109</v>
      </c>
      <c r="G293" s="562" t="s">
        <v>934</v>
      </c>
      <c r="H293" s="563" t="s">
        <v>924</v>
      </c>
      <c r="I293" s="578" t="s">
        <v>925</v>
      </c>
      <c r="J293" s="564" t="s">
        <v>757</v>
      </c>
      <c r="K293" s="561">
        <v>0</v>
      </c>
      <c r="L293" s="338" t="s">
        <v>926</v>
      </c>
      <c r="M293" s="565">
        <v>2</v>
      </c>
      <c r="N293" s="565">
        <v>2</v>
      </c>
      <c r="O293" s="566">
        <f t="shared" si="13"/>
        <v>1</v>
      </c>
      <c r="P293" s="567">
        <f t="shared" si="14"/>
        <v>0</v>
      </c>
      <c r="Q293" s="568" t="e">
        <f t="shared" si="12"/>
        <v>#DIV/0!</v>
      </c>
      <c r="R293" s="676" t="s">
        <v>926</v>
      </c>
    </row>
    <row r="294" spans="1:18" x14ac:dyDescent="0.2">
      <c r="A294" s="558" t="s">
        <v>277</v>
      </c>
      <c r="B294" s="559" t="s">
        <v>914</v>
      </c>
      <c r="C294" s="573" t="s">
        <v>97</v>
      </c>
      <c r="D294" s="327" t="s">
        <v>282</v>
      </c>
      <c r="E294" s="575" t="s">
        <v>1843</v>
      </c>
      <c r="F294" s="561" t="s">
        <v>109</v>
      </c>
      <c r="G294" s="562" t="s">
        <v>935</v>
      </c>
      <c r="H294" s="563" t="s">
        <v>924</v>
      </c>
      <c r="I294" s="578" t="s">
        <v>925</v>
      </c>
      <c r="J294" s="564" t="s">
        <v>757</v>
      </c>
      <c r="K294" s="561">
        <v>33</v>
      </c>
      <c r="L294" s="338"/>
      <c r="M294" s="565">
        <v>6</v>
      </c>
      <c r="N294" s="565">
        <v>6</v>
      </c>
      <c r="O294" s="566">
        <f t="shared" si="13"/>
        <v>1</v>
      </c>
      <c r="P294" s="567">
        <f t="shared" si="14"/>
        <v>3.0303030303030303</v>
      </c>
      <c r="Q294" s="568">
        <f t="shared" si="12"/>
        <v>3.0303030303030303</v>
      </c>
      <c r="R294" s="676" t="s">
        <v>1854</v>
      </c>
    </row>
    <row r="295" spans="1:18" x14ac:dyDescent="0.2">
      <c r="A295" s="558" t="s">
        <v>277</v>
      </c>
      <c r="B295" s="559" t="s">
        <v>914</v>
      </c>
      <c r="C295" s="573" t="s">
        <v>97</v>
      </c>
      <c r="D295" s="327" t="s">
        <v>285</v>
      </c>
      <c r="E295" s="575" t="s">
        <v>1843</v>
      </c>
      <c r="F295" s="561" t="s">
        <v>109</v>
      </c>
      <c r="G295" s="562" t="s">
        <v>935</v>
      </c>
      <c r="H295" s="563" t="s">
        <v>924</v>
      </c>
      <c r="I295" s="578" t="s">
        <v>925</v>
      </c>
      <c r="J295" s="564" t="s">
        <v>757</v>
      </c>
      <c r="K295" s="561">
        <v>0</v>
      </c>
      <c r="L295" s="338" t="s">
        <v>926</v>
      </c>
      <c r="M295" s="565">
        <v>8</v>
      </c>
      <c r="N295" s="565">
        <v>8</v>
      </c>
      <c r="O295" s="566">
        <f t="shared" si="13"/>
        <v>1</v>
      </c>
      <c r="P295" s="567">
        <f t="shared" si="14"/>
        <v>0</v>
      </c>
      <c r="Q295" s="568" t="e">
        <f t="shared" si="12"/>
        <v>#DIV/0!</v>
      </c>
      <c r="R295" s="676" t="s">
        <v>926</v>
      </c>
    </row>
    <row r="296" spans="1:18" x14ac:dyDescent="0.2">
      <c r="A296" s="558" t="s">
        <v>277</v>
      </c>
      <c r="B296" s="559" t="s">
        <v>914</v>
      </c>
      <c r="C296" s="573" t="s">
        <v>286</v>
      </c>
      <c r="D296" s="327" t="s">
        <v>300</v>
      </c>
      <c r="E296" s="575" t="s">
        <v>1715</v>
      </c>
      <c r="F296" s="561" t="s">
        <v>109</v>
      </c>
      <c r="G296" s="562" t="s">
        <v>935</v>
      </c>
      <c r="H296" s="563" t="s">
        <v>927</v>
      </c>
      <c r="I296" s="578" t="s">
        <v>925</v>
      </c>
      <c r="J296" s="564" t="s">
        <v>757</v>
      </c>
      <c r="K296" s="561">
        <v>0</v>
      </c>
      <c r="L296" s="338" t="s">
        <v>926</v>
      </c>
      <c r="M296" s="565">
        <v>39</v>
      </c>
      <c r="N296" s="565">
        <v>39</v>
      </c>
      <c r="O296" s="566">
        <f t="shared" si="13"/>
        <v>1</v>
      </c>
      <c r="P296" s="567">
        <f t="shared" si="14"/>
        <v>0</v>
      </c>
      <c r="Q296" s="568" t="e">
        <f t="shared" si="12"/>
        <v>#DIV/0!</v>
      </c>
      <c r="R296" s="676" t="s">
        <v>926</v>
      </c>
    </row>
    <row r="297" spans="1:18" x14ac:dyDescent="0.2">
      <c r="A297" s="558" t="s">
        <v>277</v>
      </c>
      <c r="B297" s="559" t="s">
        <v>914</v>
      </c>
      <c r="C297" s="573" t="s">
        <v>286</v>
      </c>
      <c r="D297" s="327" t="s">
        <v>292</v>
      </c>
      <c r="E297" s="575" t="s">
        <v>1715</v>
      </c>
      <c r="F297" s="561" t="s">
        <v>109</v>
      </c>
      <c r="G297" s="562" t="s">
        <v>935</v>
      </c>
      <c r="H297" s="563" t="s">
        <v>924</v>
      </c>
      <c r="I297" s="578" t="s">
        <v>925</v>
      </c>
      <c r="J297" s="564" t="s">
        <v>757</v>
      </c>
      <c r="K297" s="561">
        <v>26</v>
      </c>
      <c r="L297" s="338"/>
      <c r="M297" s="565">
        <v>12</v>
      </c>
      <c r="N297" s="565">
        <v>12</v>
      </c>
      <c r="O297" s="566">
        <f t="shared" si="13"/>
        <v>1</v>
      </c>
      <c r="P297" s="567">
        <f t="shared" si="14"/>
        <v>3.8461538461538458</v>
      </c>
      <c r="Q297" s="568">
        <f t="shared" si="12"/>
        <v>3.8461538461538458</v>
      </c>
      <c r="R297" s="676" t="s">
        <v>1854</v>
      </c>
    </row>
    <row r="298" spans="1:18" x14ac:dyDescent="0.2">
      <c r="A298" s="558" t="s">
        <v>277</v>
      </c>
      <c r="B298" s="559" t="s">
        <v>914</v>
      </c>
      <c r="C298" s="573" t="s">
        <v>286</v>
      </c>
      <c r="D298" s="327" t="s">
        <v>294</v>
      </c>
      <c r="E298" s="575" t="s">
        <v>1715</v>
      </c>
      <c r="F298" s="561" t="s">
        <v>109</v>
      </c>
      <c r="G298" s="562" t="s">
        <v>935</v>
      </c>
      <c r="H298" s="563" t="s">
        <v>924</v>
      </c>
      <c r="I298" s="578" t="s">
        <v>925</v>
      </c>
      <c r="J298" s="564" t="s">
        <v>757</v>
      </c>
      <c r="K298" s="561">
        <v>16</v>
      </c>
      <c r="L298" s="338"/>
      <c r="M298" s="565">
        <v>40</v>
      </c>
      <c r="N298" s="565">
        <v>40</v>
      </c>
      <c r="O298" s="566">
        <f t="shared" si="13"/>
        <v>1</v>
      </c>
      <c r="P298" s="567">
        <f t="shared" si="14"/>
        <v>6.25</v>
      </c>
      <c r="Q298" s="568">
        <f t="shared" si="12"/>
        <v>6.25</v>
      </c>
      <c r="R298" s="676" t="s">
        <v>1854</v>
      </c>
    </row>
    <row r="299" spans="1:18" x14ac:dyDescent="0.2">
      <c r="A299" s="558" t="s">
        <v>277</v>
      </c>
      <c r="B299" s="559" t="s">
        <v>914</v>
      </c>
      <c r="C299" s="573" t="s">
        <v>286</v>
      </c>
      <c r="D299" s="327" t="s">
        <v>282</v>
      </c>
      <c r="E299" s="575" t="s">
        <v>1715</v>
      </c>
      <c r="F299" s="561" t="s">
        <v>109</v>
      </c>
      <c r="G299" s="562" t="s">
        <v>935</v>
      </c>
      <c r="H299" s="563" t="s">
        <v>924</v>
      </c>
      <c r="I299" s="578" t="s">
        <v>925</v>
      </c>
      <c r="J299" s="564" t="s">
        <v>757</v>
      </c>
      <c r="K299" s="561">
        <v>6</v>
      </c>
      <c r="L299" s="338"/>
      <c r="M299" s="565">
        <v>68</v>
      </c>
      <c r="N299" s="565">
        <v>68</v>
      </c>
      <c r="O299" s="566">
        <f t="shared" si="13"/>
        <v>1</v>
      </c>
      <c r="P299" s="567">
        <f t="shared" si="14"/>
        <v>16.666666666666668</v>
      </c>
      <c r="Q299" s="568">
        <f t="shared" si="12"/>
        <v>16.666666666666668</v>
      </c>
      <c r="R299" s="676" t="s">
        <v>1854</v>
      </c>
    </row>
    <row r="300" spans="1:18" x14ac:dyDescent="0.2">
      <c r="A300" s="558" t="s">
        <v>277</v>
      </c>
      <c r="B300" s="559" t="s">
        <v>914</v>
      </c>
      <c r="C300" s="573" t="s">
        <v>286</v>
      </c>
      <c r="D300" s="327" t="s">
        <v>285</v>
      </c>
      <c r="E300" s="575" t="s">
        <v>1715</v>
      </c>
      <c r="F300" s="561" t="s">
        <v>109</v>
      </c>
      <c r="G300" s="562" t="s">
        <v>935</v>
      </c>
      <c r="H300" s="563" t="s">
        <v>924</v>
      </c>
      <c r="I300" s="578" t="s">
        <v>925</v>
      </c>
      <c r="J300" s="564" t="s">
        <v>757</v>
      </c>
      <c r="K300" s="561">
        <v>8</v>
      </c>
      <c r="L300" s="338"/>
      <c r="M300" s="565">
        <v>47</v>
      </c>
      <c r="N300" s="565">
        <v>47</v>
      </c>
      <c r="O300" s="566">
        <f t="shared" si="13"/>
        <v>1</v>
      </c>
      <c r="P300" s="567">
        <f t="shared" si="14"/>
        <v>12.5</v>
      </c>
      <c r="Q300" s="568">
        <f t="shared" si="12"/>
        <v>12.5</v>
      </c>
      <c r="R300" s="676" t="s">
        <v>1854</v>
      </c>
    </row>
    <row r="301" spans="1:18" x14ac:dyDescent="0.2">
      <c r="A301" s="558" t="s">
        <v>277</v>
      </c>
      <c r="B301" s="559" t="s">
        <v>914</v>
      </c>
      <c r="C301" s="573" t="s">
        <v>303</v>
      </c>
      <c r="D301" s="327" t="s">
        <v>300</v>
      </c>
      <c r="E301" s="575" t="s">
        <v>1715</v>
      </c>
      <c r="F301" s="561" t="s">
        <v>109</v>
      </c>
      <c r="G301" s="562" t="s">
        <v>935</v>
      </c>
      <c r="H301" s="563" t="s">
        <v>927</v>
      </c>
      <c r="I301" s="578" t="s">
        <v>925</v>
      </c>
      <c r="J301" s="564" t="s">
        <v>757</v>
      </c>
      <c r="K301" s="561">
        <v>28.999999999999996</v>
      </c>
      <c r="L301" s="338"/>
      <c r="M301" s="565">
        <v>144</v>
      </c>
      <c r="N301" s="565">
        <v>144</v>
      </c>
      <c r="O301" s="566">
        <f t="shared" si="13"/>
        <v>1</v>
      </c>
      <c r="P301" s="567">
        <f t="shared" si="14"/>
        <v>3.4482758620689657</v>
      </c>
      <c r="Q301" s="568">
        <f t="shared" si="12"/>
        <v>3.4482758620689662</v>
      </c>
      <c r="R301" s="676" t="s">
        <v>1854</v>
      </c>
    </row>
    <row r="302" spans="1:18" x14ac:dyDescent="0.2">
      <c r="A302" s="558" t="s">
        <v>277</v>
      </c>
      <c r="B302" s="559" t="s">
        <v>914</v>
      </c>
      <c r="C302" s="573" t="s">
        <v>303</v>
      </c>
      <c r="D302" s="327" t="s">
        <v>292</v>
      </c>
      <c r="E302" s="575" t="s">
        <v>1844</v>
      </c>
      <c r="F302" s="561" t="s">
        <v>109</v>
      </c>
      <c r="G302" s="562" t="s">
        <v>935</v>
      </c>
      <c r="H302" s="563" t="s">
        <v>924</v>
      </c>
      <c r="I302" s="578" t="s">
        <v>925</v>
      </c>
      <c r="J302" s="564" t="s">
        <v>757</v>
      </c>
      <c r="K302" s="561">
        <v>8</v>
      </c>
      <c r="L302" s="338"/>
      <c r="M302" s="565">
        <v>42</v>
      </c>
      <c r="N302" s="565">
        <v>42</v>
      </c>
      <c r="O302" s="566">
        <f t="shared" si="13"/>
        <v>1</v>
      </c>
      <c r="P302" s="567">
        <f t="shared" si="14"/>
        <v>12.5</v>
      </c>
      <c r="Q302" s="568">
        <f t="shared" si="12"/>
        <v>12.5</v>
      </c>
      <c r="R302" s="676" t="s">
        <v>1854</v>
      </c>
    </row>
    <row r="303" spans="1:18" x14ac:dyDescent="0.2">
      <c r="A303" s="558" t="s">
        <v>277</v>
      </c>
      <c r="B303" s="559" t="s">
        <v>914</v>
      </c>
      <c r="C303" s="573" t="s">
        <v>303</v>
      </c>
      <c r="D303" s="327" t="s">
        <v>294</v>
      </c>
      <c r="E303" s="575" t="s">
        <v>1844</v>
      </c>
      <c r="F303" s="561" t="s">
        <v>109</v>
      </c>
      <c r="G303" s="562" t="s">
        <v>935</v>
      </c>
      <c r="H303" s="563" t="s">
        <v>924</v>
      </c>
      <c r="I303" s="578" t="s">
        <v>925</v>
      </c>
      <c r="J303" s="564" t="s">
        <v>757</v>
      </c>
      <c r="K303" s="561">
        <v>0</v>
      </c>
      <c r="L303" s="338" t="s">
        <v>926</v>
      </c>
      <c r="M303" s="565">
        <v>10</v>
      </c>
      <c r="N303" s="565">
        <v>10</v>
      </c>
      <c r="O303" s="566">
        <f t="shared" si="13"/>
        <v>1</v>
      </c>
      <c r="P303" s="567">
        <f t="shared" si="14"/>
        <v>0</v>
      </c>
      <c r="Q303" s="568" t="e">
        <f t="shared" si="12"/>
        <v>#DIV/0!</v>
      </c>
      <c r="R303" s="676" t="s">
        <v>926</v>
      </c>
    </row>
    <row r="304" spans="1:18" x14ac:dyDescent="0.2">
      <c r="A304" s="558" t="s">
        <v>277</v>
      </c>
      <c r="B304" s="559" t="s">
        <v>914</v>
      </c>
      <c r="C304" s="573" t="s">
        <v>303</v>
      </c>
      <c r="D304" s="327" t="s">
        <v>282</v>
      </c>
      <c r="E304" s="575" t="s">
        <v>1845</v>
      </c>
      <c r="F304" s="561" t="s">
        <v>109</v>
      </c>
      <c r="G304" s="562" t="s">
        <v>935</v>
      </c>
      <c r="H304" s="563" t="s">
        <v>924</v>
      </c>
      <c r="I304" s="578" t="s">
        <v>925</v>
      </c>
      <c r="J304" s="564" t="s">
        <v>757</v>
      </c>
      <c r="K304" s="561">
        <v>0</v>
      </c>
      <c r="L304" s="338" t="s">
        <v>926</v>
      </c>
      <c r="M304" s="565">
        <v>2</v>
      </c>
      <c r="N304" s="565">
        <v>2</v>
      </c>
      <c r="O304" s="566">
        <f t="shared" si="13"/>
        <v>1</v>
      </c>
      <c r="P304" s="567">
        <f t="shared" si="14"/>
        <v>0</v>
      </c>
      <c r="Q304" s="568" t="e">
        <f t="shared" si="12"/>
        <v>#DIV/0!</v>
      </c>
      <c r="R304" s="676" t="s">
        <v>926</v>
      </c>
    </row>
    <row r="305" spans="1:18" x14ac:dyDescent="0.2">
      <c r="A305" s="558" t="s">
        <v>277</v>
      </c>
      <c r="B305" s="559" t="s">
        <v>914</v>
      </c>
      <c r="C305" s="573" t="s">
        <v>303</v>
      </c>
      <c r="D305" s="327" t="s">
        <v>285</v>
      </c>
      <c r="E305" s="575" t="s">
        <v>1845</v>
      </c>
      <c r="F305" s="561" t="s">
        <v>109</v>
      </c>
      <c r="G305" s="562" t="s">
        <v>935</v>
      </c>
      <c r="H305" s="563" t="s">
        <v>924</v>
      </c>
      <c r="I305" s="578" t="s">
        <v>925</v>
      </c>
      <c r="J305" s="564" t="s">
        <v>757</v>
      </c>
      <c r="K305" s="561">
        <v>0</v>
      </c>
      <c r="L305" s="338" t="s">
        <v>926</v>
      </c>
      <c r="M305" s="565">
        <v>5</v>
      </c>
      <c r="N305" s="565">
        <v>5</v>
      </c>
      <c r="O305" s="566">
        <f t="shared" si="13"/>
        <v>1</v>
      </c>
      <c r="P305" s="567">
        <f t="shared" si="14"/>
        <v>0</v>
      </c>
      <c r="Q305" s="568" t="e">
        <f t="shared" si="12"/>
        <v>#DIV/0!</v>
      </c>
      <c r="R305" s="676" t="s">
        <v>926</v>
      </c>
    </row>
    <row r="306" spans="1:18" x14ac:dyDescent="0.2">
      <c r="A306" s="558" t="s">
        <v>277</v>
      </c>
      <c r="B306" s="559" t="s">
        <v>914</v>
      </c>
      <c r="C306" s="573" t="s">
        <v>99</v>
      </c>
      <c r="D306" s="327" t="s">
        <v>300</v>
      </c>
      <c r="E306" s="575" t="s">
        <v>1715</v>
      </c>
      <c r="F306" s="561" t="s">
        <v>109</v>
      </c>
      <c r="G306" s="562" t="s">
        <v>935</v>
      </c>
      <c r="H306" s="563" t="s">
        <v>927</v>
      </c>
      <c r="I306" s="578" t="s">
        <v>925</v>
      </c>
      <c r="J306" s="564" t="s">
        <v>757</v>
      </c>
      <c r="K306" s="561">
        <v>17</v>
      </c>
      <c r="L306" s="338"/>
      <c r="M306" s="565">
        <v>158</v>
      </c>
      <c r="N306" s="565">
        <v>158</v>
      </c>
      <c r="O306" s="566">
        <f t="shared" si="13"/>
        <v>1</v>
      </c>
      <c r="P306" s="567">
        <f t="shared" si="14"/>
        <v>5.8823529411764701</v>
      </c>
      <c r="Q306" s="568">
        <f t="shared" si="12"/>
        <v>5.882352941176471</v>
      </c>
      <c r="R306" s="676" t="s">
        <v>1854</v>
      </c>
    </row>
    <row r="307" spans="1:18" x14ac:dyDescent="0.2">
      <c r="A307" s="558" t="s">
        <v>277</v>
      </c>
      <c r="B307" s="559" t="s">
        <v>914</v>
      </c>
      <c r="C307" s="573" t="s">
        <v>99</v>
      </c>
      <c r="D307" s="327" t="s">
        <v>292</v>
      </c>
      <c r="E307" s="575" t="s">
        <v>1715</v>
      </c>
      <c r="F307" s="561" t="s">
        <v>109</v>
      </c>
      <c r="G307" s="562" t="s">
        <v>935</v>
      </c>
      <c r="H307" s="563" t="s">
        <v>924</v>
      </c>
      <c r="I307" s="578" t="s">
        <v>925</v>
      </c>
      <c r="J307" s="564" t="s">
        <v>757</v>
      </c>
      <c r="K307" s="561">
        <v>36</v>
      </c>
      <c r="L307" s="338"/>
      <c r="M307" s="565">
        <v>7</v>
      </c>
      <c r="N307" s="565">
        <v>7</v>
      </c>
      <c r="O307" s="566">
        <f t="shared" si="13"/>
        <v>1</v>
      </c>
      <c r="P307" s="567">
        <f t="shared" si="14"/>
        <v>2.7777777777777777</v>
      </c>
      <c r="Q307" s="568">
        <f t="shared" si="12"/>
        <v>2.7777777777777777</v>
      </c>
      <c r="R307" s="676" t="s">
        <v>1854</v>
      </c>
    </row>
    <row r="308" spans="1:18" x14ac:dyDescent="0.2">
      <c r="A308" s="558" t="s">
        <v>277</v>
      </c>
      <c r="B308" s="559" t="s">
        <v>914</v>
      </c>
      <c r="C308" s="573" t="s">
        <v>99</v>
      </c>
      <c r="D308" s="327" t="s">
        <v>294</v>
      </c>
      <c r="E308" s="575" t="s">
        <v>1846</v>
      </c>
      <c r="F308" s="561" t="s">
        <v>109</v>
      </c>
      <c r="G308" s="562" t="s">
        <v>935</v>
      </c>
      <c r="H308" s="563" t="s">
        <v>924</v>
      </c>
      <c r="I308" s="578" t="s">
        <v>925</v>
      </c>
      <c r="J308" s="564" t="s">
        <v>757</v>
      </c>
      <c r="K308" s="561">
        <v>80</v>
      </c>
      <c r="L308" s="338"/>
      <c r="M308" s="565">
        <v>8</v>
      </c>
      <c r="N308" s="565">
        <v>8</v>
      </c>
      <c r="O308" s="566">
        <f t="shared" si="13"/>
        <v>1</v>
      </c>
      <c r="P308" s="567">
        <f t="shared" si="14"/>
        <v>1.25</v>
      </c>
      <c r="Q308" s="568">
        <f t="shared" si="12"/>
        <v>1.25</v>
      </c>
      <c r="R308" s="676" t="s">
        <v>1854</v>
      </c>
    </row>
    <row r="309" spans="1:18" x14ac:dyDescent="0.2">
      <c r="A309" s="558" t="s">
        <v>277</v>
      </c>
      <c r="B309" s="559" t="s">
        <v>914</v>
      </c>
      <c r="C309" s="573" t="s">
        <v>99</v>
      </c>
      <c r="D309" s="327" t="s">
        <v>282</v>
      </c>
      <c r="E309" s="575" t="s">
        <v>1846</v>
      </c>
      <c r="F309" s="561" t="s">
        <v>109</v>
      </c>
      <c r="G309" s="562" t="s">
        <v>935</v>
      </c>
      <c r="H309" s="563" t="s">
        <v>924</v>
      </c>
      <c r="I309" s="578" t="s">
        <v>925</v>
      </c>
      <c r="J309" s="564" t="s">
        <v>757</v>
      </c>
      <c r="K309" s="561">
        <v>0</v>
      </c>
      <c r="L309" s="338" t="s">
        <v>926</v>
      </c>
      <c r="M309" s="565">
        <v>4</v>
      </c>
      <c r="N309" s="565">
        <v>4</v>
      </c>
      <c r="O309" s="566">
        <f t="shared" si="13"/>
        <v>1</v>
      </c>
      <c r="P309" s="567">
        <f t="shared" si="14"/>
        <v>0</v>
      </c>
      <c r="Q309" s="568" t="e">
        <f t="shared" si="12"/>
        <v>#DIV/0!</v>
      </c>
      <c r="R309" s="676" t="s">
        <v>926</v>
      </c>
    </row>
    <row r="310" spans="1:18" x14ac:dyDescent="0.2">
      <c r="A310" s="558" t="s">
        <v>277</v>
      </c>
      <c r="B310" s="559" t="s">
        <v>914</v>
      </c>
      <c r="C310" s="573" t="s">
        <v>99</v>
      </c>
      <c r="D310" s="327" t="s">
        <v>285</v>
      </c>
      <c r="E310" s="575" t="s">
        <v>1846</v>
      </c>
      <c r="F310" s="561" t="s">
        <v>109</v>
      </c>
      <c r="G310" s="562" t="s">
        <v>935</v>
      </c>
      <c r="H310" s="563" t="s">
        <v>924</v>
      </c>
      <c r="I310" s="578" t="s">
        <v>925</v>
      </c>
      <c r="J310" s="564" t="s">
        <v>757</v>
      </c>
      <c r="K310" s="561">
        <v>0</v>
      </c>
      <c r="L310" s="338" t="s">
        <v>926</v>
      </c>
      <c r="M310" s="565">
        <v>1</v>
      </c>
      <c r="N310" s="565">
        <v>1</v>
      </c>
      <c r="O310" s="566">
        <f t="shared" si="13"/>
        <v>1</v>
      </c>
      <c r="P310" s="567">
        <f t="shared" si="14"/>
        <v>0</v>
      </c>
      <c r="Q310" s="568" t="e">
        <f t="shared" si="12"/>
        <v>#DIV/0!</v>
      </c>
      <c r="R310" s="676" t="s">
        <v>926</v>
      </c>
    </row>
    <row r="311" spans="1:18" x14ac:dyDescent="0.2">
      <c r="A311" s="558" t="s">
        <v>277</v>
      </c>
      <c r="B311" s="559" t="s">
        <v>914</v>
      </c>
      <c r="C311" s="573" t="s">
        <v>296</v>
      </c>
      <c r="D311" s="327" t="s">
        <v>300</v>
      </c>
      <c r="E311" s="575" t="s">
        <v>1847</v>
      </c>
      <c r="F311" s="561" t="s">
        <v>109</v>
      </c>
      <c r="G311" s="562" t="s">
        <v>935</v>
      </c>
      <c r="H311" s="563" t="s">
        <v>927</v>
      </c>
      <c r="I311" s="578" t="s">
        <v>925</v>
      </c>
      <c r="J311" s="564" t="s">
        <v>757</v>
      </c>
      <c r="K311" s="561">
        <v>13</v>
      </c>
      <c r="L311" s="338"/>
      <c r="M311" s="565">
        <v>0</v>
      </c>
      <c r="N311" s="565">
        <v>0</v>
      </c>
      <c r="O311" s="566">
        <f t="shared" si="13"/>
        <v>0</v>
      </c>
      <c r="P311" s="567">
        <f t="shared" si="14"/>
        <v>0</v>
      </c>
      <c r="Q311" s="568" t="e">
        <f t="shared" si="12"/>
        <v>#DIV/0!</v>
      </c>
      <c r="R311" s="676" t="s">
        <v>1919</v>
      </c>
    </row>
    <row r="312" spans="1:18" x14ac:dyDescent="0.2">
      <c r="A312" s="558" t="s">
        <v>277</v>
      </c>
      <c r="B312" s="559" t="s">
        <v>914</v>
      </c>
      <c r="C312" s="573" t="s">
        <v>296</v>
      </c>
      <c r="D312" s="327" t="s">
        <v>292</v>
      </c>
      <c r="E312" s="575" t="s">
        <v>1847</v>
      </c>
      <c r="F312" s="561" t="s">
        <v>109</v>
      </c>
      <c r="G312" s="562" t="s">
        <v>935</v>
      </c>
      <c r="H312" s="563" t="s">
        <v>924</v>
      </c>
      <c r="I312" s="578" t="s">
        <v>925</v>
      </c>
      <c r="J312" s="564" t="s">
        <v>757</v>
      </c>
      <c r="K312" s="561">
        <v>0</v>
      </c>
      <c r="L312" s="338" t="s">
        <v>926</v>
      </c>
      <c r="M312" s="565">
        <v>3</v>
      </c>
      <c r="N312" s="565">
        <v>3</v>
      </c>
      <c r="O312" s="566">
        <f t="shared" si="13"/>
        <v>1</v>
      </c>
      <c r="P312" s="567">
        <f t="shared" si="14"/>
        <v>0</v>
      </c>
      <c r="Q312" s="568" t="e">
        <f t="shared" si="12"/>
        <v>#DIV/0!</v>
      </c>
      <c r="R312" s="676" t="s">
        <v>926</v>
      </c>
    </row>
    <row r="313" spans="1:18" x14ac:dyDescent="0.2">
      <c r="A313" s="558" t="s">
        <v>277</v>
      </c>
      <c r="B313" s="559" t="s">
        <v>914</v>
      </c>
      <c r="C313" s="573" t="s">
        <v>296</v>
      </c>
      <c r="D313" s="327" t="s">
        <v>294</v>
      </c>
      <c r="E313" s="575" t="s">
        <v>1848</v>
      </c>
      <c r="F313" s="561" t="s">
        <v>109</v>
      </c>
      <c r="G313" s="562" t="s">
        <v>935</v>
      </c>
      <c r="H313" s="563" t="s">
        <v>924</v>
      </c>
      <c r="I313" s="578" t="s">
        <v>925</v>
      </c>
      <c r="J313" s="564" t="s">
        <v>757</v>
      </c>
      <c r="K313" s="561">
        <v>0</v>
      </c>
      <c r="L313" s="338" t="s">
        <v>926</v>
      </c>
      <c r="M313" s="565">
        <v>1</v>
      </c>
      <c r="N313" s="565">
        <v>1</v>
      </c>
      <c r="O313" s="566">
        <f t="shared" si="13"/>
        <v>1</v>
      </c>
      <c r="P313" s="567">
        <f t="shared" si="14"/>
        <v>0</v>
      </c>
      <c r="Q313" s="568" t="e">
        <f t="shared" si="12"/>
        <v>#DIV/0!</v>
      </c>
      <c r="R313" s="676" t="s">
        <v>926</v>
      </c>
    </row>
    <row r="314" spans="1:18" x14ac:dyDescent="0.2">
      <c r="A314" s="558" t="s">
        <v>277</v>
      </c>
      <c r="B314" s="559" t="s">
        <v>914</v>
      </c>
      <c r="C314" s="573" t="s">
        <v>296</v>
      </c>
      <c r="D314" s="327" t="s">
        <v>282</v>
      </c>
      <c r="E314" s="575" t="s">
        <v>1848</v>
      </c>
      <c r="F314" s="561" t="s">
        <v>109</v>
      </c>
      <c r="G314" s="562" t="s">
        <v>935</v>
      </c>
      <c r="H314" s="563" t="s">
        <v>924</v>
      </c>
      <c r="I314" s="578" t="s">
        <v>925</v>
      </c>
      <c r="J314" s="564" t="s">
        <v>757</v>
      </c>
      <c r="K314" s="561">
        <v>0</v>
      </c>
      <c r="L314" s="338" t="s">
        <v>926</v>
      </c>
      <c r="M314" s="565">
        <v>2</v>
      </c>
      <c r="N314" s="565">
        <v>2</v>
      </c>
      <c r="O314" s="566">
        <f t="shared" si="13"/>
        <v>1</v>
      </c>
      <c r="P314" s="567">
        <f t="shared" si="14"/>
        <v>0</v>
      </c>
      <c r="Q314" s="568" t="e">
        <f t="shared" si="12"/>
        <v>#DIV/0!</v>
      </c>
      <c r="R314" s="676" t="s">
        <v>926</v>
      </c>
    </row>
    <row r="315" spans="1:18" x14ac:dyDescent="0.2">
      <c r="A315" s="558" t="s">
        <v>277</v>
      </c>
      <c r="B315" s="559" t="s">
        <v>914</v>
      </c>
      <c r="C315" s="573" t="s">
        <v>296</v>
      </c>
      <c r="D315" s="327" t="s">
        <v>285</v>
      </c>
      <c r="E315" s="575" t="s">
        <v>1715</v>
      </c>
      <c r="F315" s="561" t="s">
        <v>109</v>
      </c>
      <c r="G315" s="562" t="s">
        <v>935</v>
      </c>
      <c r="H315" s="563" t="s">
        <v>924</v>
      </c>
      <c r="I315" s="578" t="s">
        <v>925</v>
      </c>
      <c r="J315" s="564" t="s">
        <v>757</v>
      </c>
      <c r="K315" s="561">
        <v>25</v>
      </c>
      <c r="L315" s="338"/>
      <c r="M315" s="565">
        <v>11</v>
      </c>
      <c r="N315" s="565">
        <v>11</v>
      </c>
      <c r="O315" s="566">
        <f t="shared" si="13"/>
        <v>1</v>
      </c>
      <c r="P315" s="567">
        <f t="shared" si="14"/>
        <v>4</v>
      </c>
      <c r="Q315" s="568">
        <f t="shared" si="12"/>
        <v>4</v>
      </c>
      <c r="R315" s="676" t="s">
        <v>1854</v>
      </c>
    </row>
    <row r="316" spans="1:18" x14ac:dyDescent="0.2">
      <c r="A316" s="558" t="s">
        <v>277</v>
      </c>
      <c r="B316" s="559" t="s">
        <v>914</v>
      </c>
      <c r="C316" s="573" t="s">
        <v>296</v>
      </c>
      <c r="D316" s="327" t="s">
        <v>298</v>
      </c>
      <c r="E316" s="575" t="s">
        <v>1715</v>
      </c>
      <c r="F316" s="561" t="s">
        <v>109</v>
      </c>
      <c r="G316" s="562" t="s">
        <v>935</v>
      </c>
      <c r="H316" s="563" t="s">
        <v>924</v>
      </c>
      <c r="I316" s="578" t="s">
        <v>925</v>
      </c>
      <c r="J316" s="564" t="s">
        <v>757</v>
      </c>
      <c r="K316" s="561">
        <v>10</v>
      </c>
      <c r="L316" s="338"/>
      <c r="M316" s="565">
        <v>20</v>
      </c>
      <c r="N316" s="565">
        <v>20</v>
      </c>
      <c r="O316" s="566">
        <f t="shared" si="13"/>
        <v>1</v>
      </c>
      <c r="P316" s="567">
        <f t="shared" si="14"/>
        <v>10</v>
      </c>
      <c r="Q316" s="568">
        <f t="shared" si="12"/>
        <v>10</v>
      </c>
      <c r="R316" s="676" t="s">
        <v>1854</v>
      </c>
    </row>
    <row r="317" spans="1:18" x14ac:dyDescent="0.2">
      <c r="A317" s="558" t="s">
        <v>277</v>
      </c>
      <c r="B317" s="559" t="s">
        <v>914</v>
      </c>
      <c r="C317" s="573" t="s">
        <v>316</v>
      </c>
      <c r="D317" s="327" t="s">
        <v>292</v>
      </c>
      <c r="E317" s="575" t="s">
        <v>1849</v>
      </c>
      <c r="F317" s="561" t="s">
        <v>109</v>
      </c>
      <c r="G317" s="562" t="s">
        <v>935</v>
      </c>
      <c r="H317" s="563" t="s">
        <v>924</v>
      </c>
      <c r="I317" s="578" t="s">
        <v>925</v>
      </c>
      <c r="J317" s="564" t="s">
        <v>757</v>
      </c>
      <c r="K317" s="561">
        <v>0</v>
      </c>
      <c r="L317" s="338" t="s">
        <v>926</v>
      </c>
      <c r="M317" s="565">
        <v>0</v>
      </c>
      <c r="N317" s="565">
        <v>0</v>
      </c>
      <c r="O317" s="566">
        <f t="shared" si="13"/>
        <v>0</v>
      </c>
      <c r="P317" s="567">
        <f t="shared" si="14"/>
        <v>0</v>
      </c>
      <c r="Q317" s="568" t="e">
        <f t="shared" si="12"/>
        <v>#DIV/0!</v>
      </c>
      <c r="R317" s="676" t="s">
        <v>1919</v>
      </c>
    </row>
    <row r="318" spans="1:18" x14ac:dyDescent="0.2">
      <c r="A318" s="558" t="s">
        <v>277</v>
      </c>
      <c r="B318" s="559" t="s">
        <v>914</v>
      </c>
      <c r="C318" s="573" t="s">
        <v>316</v>
      </c>
      <c r="D318" s="327" t="s">
        <v>294</v>
      </c>
      <c r="E318" s="575" t="s">
        <v>1849</v>
      </c>
      <c r="F318" s="561" t="s">
        <v>109</v>
      </c>
      <c r="G318" s="562" t="s">
        <v>935</v>
      </c>
      <c r="H318" s="563" t="s">
        <v>924</v>
      </c>
      <c r="I318" s="578" t="s">
        <v>925</v>
      </c>
      <c r="J318" s="564" t="s">
        <v>757</v>
      </c>
      <c r="K318" s="561">
        <v>0</v>
      </c>
      <c r="L318" s="338" t="s">
        <v>926</v>
      </c>
      <c r="M318" s="565">
        <v>0</v>
      </c>
      <c r="N318" s="565">
        <v>0</v>
      </c>
      <c r="O318" s="566">
        <f t="shared" si="13"/>
        <v>0</v>
      </c>
      <c r="P318" s="567">
        <f t="shared" si="14"/>
        <v>0</v>
      </c>
      <c r="Q318" s="568" t="e">
        <f t="shared" si="12"/>
        <v>#DIV/0!</v>
      </c>
      <c r="R318" s="676" t="s">
        <v>1919</v>
      </c>
    </row>
    <row r="319" spans="1:18" x14ac:dyDescent="0.2">
      <c r="A319" s="558" t="s">
        <v>277</v>
      </c>
      <c r="B319" s="559" t="s">
        <v>914</v>
      </c>
      <c r="C319" s="573" t="s">
        <v>308</v>
      </c>
      <c r="D319" s="327" t="s">
        <v>300</v>
      </c>
      <c r="E319" s="575" t="s">
        <v>1715</v>
      </c>
      <c r="F319" s="561" t="s">
        <v>109</v>
      </c>
      <c r="G319" s="562" t="s">
        <v>935</v>
      </c>
      <c r="H319" s="563" t="s">
        <v>927</v>
      </c>
      <c r="I319" s="578" t="s">
        <v>925</v>
      </c>
      <c r="J319" s="564" t="s">
        <v>757</v>
      </c>
      <c r="K319" s="561">
        <v>38</v>
      </c>
      <c r="L319" s="338"/>
      <c r="M319" s="565">
        <v>51</v>
      </c>
      <c r="N319" s="565">
        <v>51</v>
      </c>
      <c r="O319" s="566">
        <f t="shared" si="13"/>
        <v>1</v>
      </c>
      <c r="P319" s="567">
        <f t="shared" si="14"/>
        <v>2.6315789473684212</v>
      </c>
      <c r="Q319" s="568">
        <f t="shared" si="12"/>
        <v>2.6315789473684212</v>
      </c>
      <c r="R319" s="676" t="s">
        <v>1854</v>
      </c>
    </row>
    <row r="320" spans="1:18" x14ac:dyDescent="0.2">
      <c r="A320" s="558" t="s">
        <v>277</v>
      </c>
      <c r="B320" s="559" t="s">
        <v>914</v>
      </c>
      <c r="C320" s="573" t="s">
        <v>308</v>
      </c>
      <c r="D320" s="327" t="s">
        <v>292</v>
      </c>
      <c r="E320" s="575" t="s">
        <v>1850</v>
      </c>
      <c r="F320" s="561" t="s">
        <v>109</v>
      </c>
      <c r="G320" s="562" t="s">
        <v>935</v>
      </c>
      <c r="H320" s="563" t="s">
        <v>924</v>
      </c>
      <c r="I320" s="578" t="s">
        <v>925</v>
      </c>
      <c r="J320" s="564" t="s">
        <v>757</v>
      </c>
      <c r="K320" s="561">
        <v>0</v>
      </c>
      <c r="L320" s="338" t="s">
        <v>926</v>
      </c>
      <c r="M320" s="565">
        <v>7</v>
      </c>
      <c r="N320" s="565">
        <v>7</v>
      </c>
      <c r="O320" s="566">
        <f t="shared" si="13"/>
        <v>1</v>
      </c>
      <c r="P320" s="567">
        <f t="shared" si="14"/>
        <v>0</v>
      </c>
      <c r="Q320" s="568" t="e">
        <f t="shared" si="12"/>
        <v>#DIV/0!</v>
      </c>
      <c r="R320" s="676" t="s">
        <v>926</v>
      </c>
    </row>
    <row r="321" spans="1:18" x14ac:dyDescent="0.2">
      <c r="A321" s="558" t="s">
        <v>277</v>
      </c>
      <c r="B321" s="559" t="s">
        <v>914</v>
      </c>
      <c r="C321" s="573" t="s">
        <v>308</v>
      </c>
      <c r="D321" s="327" t="s">
        <v>294</v>
      </c>
      <c r="E321" s="575" t="s">
        <v>1850</v>
      </c>
      <c r="F321" s="561" t="s">
        <v>109</v>
      </c>
      <c r="G321" s="562" t="s">
        <v>935</v>
      </c>
      <c r="H321" s="563" t="s">
        <v>924</v>
      </c>
      <c r="I321" s="578" t="s">
        <v>925</v>
      </c>
      <c r="J321" s="564" t="s">
        <v>757</v>
      </c>
      <c r="K321" s="561">
        <v>0</v>
      </c>
      <c r="L321" s="338" t="s">
        <v>926</v>
      </c>
      <c r="M321" s="565">
        <v>1</v>
      </c>
      <c r="N321" s="565">
        <v>1</v>
      </c>
      <c r="O321" s="566">
        <f t="shared" si="13"/>
        <v>1</v>
      </c>
      <c r="P321" s="567">
        <f t="shared" si="14"/>
        <v>0</v>
      </c>
      <c r="Q321" s="568" t="e">
        <f t="shared" si="12"/>
        <v>#DIV/0!</v>
      </c>
      <c r="R321" s="676" t="s">
        <v>926</v>
      </c>
    </row>
    <row r="322" spans="1:18" x14ac:dyDescent="0.2">
      <c r="A322" s="558" t="s">
        <v>277</v>
      </c>
      <c r="B322" s="559" t="s">
        <v>914</v>
      </c>
      <c r="C322" s="573" t="s">
        <v>305</v>
      </c>
      <c r="D322" s="327" t="s">
        <v>300</v>
      </c>
      <c r="E322" s="575" t="s">
        <v>1715</v>
      </c>
      <c r="F322" s="561" t="s">
        <v>109</v>
      </c>
      <c r="G322" s="562" t="s">
        <v>935</v>
      </c>
      <c r="H322" s="563" t="s">
        <v>927</v>
      </c>
      <c r="I322" s="578" t="s">
        <v>925</v>
      </c>
      <c r="J322" s="564" t="s">
        <v>757</v>
      </c>
      <c r="K322" s="561">
        <v>5</v>
      </c>
      <c r="L322" s="338"/>
      <c r="M322" s="565">
        <v>568</v>
      </c>
      <c r="N322" s="565">
        <v>568</v>
      </c>
      <c r="O322" s="566">
        <f t="shared" si="13"/>
        <v>1</v>
      </c>
      <c r="P322" s="567">
        <f t="shared" si="14"/>
        <v>20</v>
      </c>
      <c r="Q322" s="568">
        <f t="shared" si="12"/>
        <v>20</v>
      </c>
      <c r="R322" s="676" t="s">
        <v>1854</v>
      </c>
    </row>
    <row r="323" spans="1:18" x14ac:dyDescent="0.2">
      <c r="A323" s="558" t="s">
        <v>277</v>
      </c>
      <c r="B323" s="559" t="s">
        <v>914</v>
      </c>
      <c r="C323" s="573" t="s">
        <v>305</v>
      </c>
      <c r="D323" s="327" t="s">
        <v>292</v>
      </c>
      <c r="E323" s="575" t="s">
        <v>1715</v>
      </c>
      <c r="F323" s="561" t="s">
        <v>109</v>
      </c>
      <c r="G323" s="562" t="s">
        <v>935</v>
      </c>
      <c r="H323" s="563" t="s">
        <v>924</v>
      </c>
      <c r="I323" s="578" t="s">
        <v>925</v>
      </c>
      <c r="J323" s="564" t="s">
        <v>757</v>
      </c>
      <c r="K323" s="561">
        <v>32</v>
      </c>
      <c r="L323" s="338"/>
      <c r="M323" s="565">
        <v>85</v>
      </c>
      <c r="N323" s="565">
        <v>85</v>
      </c>
      <c r="O323" s="566">
        <f t="shared" si="13"/>
        <v>1</v>
      </c>
      <c r="P323" s="567">
        <f t="shared" si="14"/>
        <v>3.125</v>
      </c>
      <c r="Q323" s="568">
        <f t="shared" si="12"/>
        <v>3.125</v>
      </c>
      <c r="R323" s="676" t="s">
        <v>1854</v>
      </c>
    </row>
    <row r="324" spans="1:18" x14ac:dyDescent="0.2">
      <c r="A324" s="558" t="s">
        <v>277</v>
      </c>
      <c r="B324" s="559" t="s">
        <v>914</v>
      </c>
      <c r="C324" s="573" t="s">
        <v>305</v>
      </c>
      <c r="D324" s="327" t="s">
        <v>294</v>
      </c>
      <c r="E324" s="575" t="s">
        <v>1851</v>
      </c>
      <c r="F324" s="561" t="s">
        <v>109</v>
      </c>
      <c r="G324" s="562" t="s">
        <v>935</v>
      </c>
      <c r="H324" s="563" t="s">
        <v>924</v>
      </c>
      <c r="I324" s="578" t="s">
        <v>925</v>
      </c>
      <c r="J324" s="564" t="s">
        <v>757</v>
      </c>
      <c r="K324" s="561">
        <v>33</v>
      </c>
      <c r="L324" s="338"/>
      <c r="M324" s="565">
        <v>24</v>
      </c>
      <c r="N324" s="565">
        <v>24</v>
      </c>
      <c r="O324" s="566">
        <f t="shared" si="13"/>
        <v>1</v>
      </c>
      <c r="P324" s="567">
        <f t="shared" si="14"/>
        <v>3.0303030303030303</v>
      </c>
      <c r="Q324" s="568">
        <f t="shared" si="12"/>
        <v>3.0303030303030303</v>
      </c>
      <c r="R324" s="676" t="s">
        <v>1854</v>
      </c>
    </row>
    <row r="325" spans="1:18" x14ac:dyDescent="0.2">
      <c r="A325" s="558" t="s">
        <v>277</v>
      </c>
      <c r="B325" s="559" t="s">
        <v>914</v>
      </c>
      <c r="C325" s="573" t="s">
        <v>305</v>
      </c>
      <c r="D325" s="327" t="s">
        <v>285</v>
      </c>
      <c r="E325" s="575" t="s">
        <v>1851</v>
      </c>
      <c r="F325" s="561" t="s">
        <v>109</v>
      </c>
      <c r="G325" s="562" t="s">
        <v>935</v>
      </c>
      <c r="H325" s="563" t="s">
        <v>924</v>
      </c>
      <c r="I325" s="578" t="s">
        <v>925</v>
      </c>
      <c r="J325" s="564" t="s">
        <v>757</v>
      </c>
      <c r="K325" s="561">
        <v>0</v>
      </c>
      <c r="L325" s="338" t="s">
        <v>926</v>
      </c>
      <c r="M325" s="565">
        <v>2</v>
      </c>
      <c r="N325" s="565">
        <v>2</v>
      </c>
      <c r="O325" s="566">
        <f t="shared" si="13"/>
        <v>1</v>
      </c>
      <c r="P325" s="567">
        <f t="shared" si="14"/>
        <v>0</v>
      </c>
      <c r="Q325" s="568" t="e">
        <f t="shared" ref="Q325:Q388" si="15">N325/(M325*K325/100)</f>
        <v>#DIV/0!</v>
      </c>
      <c r="R325" s="676" t="s">
        <v>926</v>
      </c>
    </row>
    <row r="326" spans="1:18" x14ac:dyDescent="0.2">
      <c r="A326" s="558" t="s">
        <v>277</v>
      </c>
      <c r="B326" s="559" t="s">
        <v>914</v>
      </c>
      <c r="C326" s="573" t="s">
        <v>97</v>
      </c>
      <c r="D326" s="327" t="s">
        <v>282</v>
      </c>
      <c r="E326" s="575" t="s">
        <v>1843</v>
      </c>
      <c r="F326" s="561" t="s">
        <v>109</v>
      </c>
      <c r="G326" s="562" t="s">
        <v>936</v>
      </c>
      <c r="H326" s="563" t="s">
        <v>924</v>
      </c>
      <c r="I326" s="578" t="s">
        <v>925</v>
      </c>
      <c r="J326" s="564" t="s">
        <v>757</v>
      </c>
      <c r="K326" s="561">
        <v>33</v>
      </c>
      <c r="L326" s="338"/>
      <c r="M326" s="565">
        <v>6</v>
      </c>
      <c r="N326" s="565">
        <v>3</v>
      </c>
      <c r="O326" s="566">
        <f t="shared" ref="O326:O389" si="16">IFERROR(N326/M326,0)</f>
        <v>0.5</v>
      </c>
      <c r="P326" s="567">
        <f t="shared" ref="P326:P389" si="17">IFERROR(N326/(M326*(K326/100)),0)</f>
        <v>1.5151515151515151</v>
      </c>
      <c r="Q326" s="568">
        <f t="shared" si="15"/>
        <v>1.5151515151515151</v>
      </c>
      <c r="R326" s="675"/>
    </row>
    <row r="327" spans="1:18" x14ac:dyDescent="0.2">
      <c r="A327" s="558" t="s">
        <v>277</v>
      </c>
      <c r="B327" s="559" t="s">
        <v>914</v>
      </c>
      <c r="C327" s="573" t="s">
        <v>97</v>
      </c>
      <c r="D327" s="327" t="s">
        <v>285</v>
      </c>
      <c r="E327" s="575" t="s">
        <v>1843</v>
      </c>
      <c r="F327" s="561" t="s">
        <v>109</v>
      </c>
      <c r="G327" s="562" t="s">
        <v>936</v>
      </c>
      <c r="H327" s="563" t="s">
        <v>924</v>
      </c>
      <c r="I327" s="578" t="s">
        <v>925</v>
      </c>
      <c r="J327" s="564" t="s">
        <v>757</v>
      </c>
      <c r="K327" s="561">
        <v>0</v>
      </c>
      <c r="L327" s="338" t="s">
        <v>926</v>
      </c>
      <c r="M327" s="565">
        <v>8</v>
      </c>
      <c r="N327" s="565">
        <v>7</v>
      </c>
      <c r="O327" s="566">
        <f t="shared" si="16"/>
        <v>0.875</v>
      </c>
      <c r="P327" s="567">
        <f t="shared" si="17"/>
        <v>0</v>
      </c>
      <c r="Q327" s="568" t="e">
        <f t="shared" si="15"/>
        <v>#DIV/0!</v>
      </c>
      <c r="R327" s="676" t="s">
        <v>926</v>
      </c>
    </row>
    <row r="328" spans="1:18" x14ac:dyDescent="0.2">
      <c r="A328" s="558" t="s">
        <v>277</v>
      </c>
      <c r="B328" s="559" t="s">
        <v>914</v>
      </c>
      <c r="C328" s="573" t="s">
        <v>286</v>
      </c>
      <c r="D328" s="327" t="s">
        <v>300</v>
      </c>
      <c r="E328" s="575" t="s">
        <v>1715</v>
      </c>
      <c r="F328" s="561" t="s">
        <v>109</v>
      </c>
      <c r="G328" s="562" t="s">
        <v>936</v>
      </c>
      <c r="H328" s="563" t="s">
        <v>927</v>
      </c>
      <c r="I328" s="578" t="s">
        <v>925</v>
      </c>
      <c r="J328" s="564" t="s">
        <v>757</v>
      </c>
      <c r="K328" s="561">
        <v>0</v>
      </c>
      <c r="L328" s="338" t="s">
        <v>926</v>
      </c>
      <c r="M328" s="565">
        <v>39</v>
      </c>
      <c r="N328" s="565">
        <v>5</v>
      </c>
      <c r="O328" s="566">
        <f t="shared" si="16"/>
        <v>0.12820512820512819</v>
      </c>
      <c r="P328" s="567">
        <f t="shared" si="17"/>
        <v>0</v>
      </c>
      <c r="Q328" s="568" t="e">
        <f t="shared" si="15"/>
        <v>#DIV/0!</v>
      </c>
      <c r="R328" s="676" t="s">
        <v>926</v>
      </c>
    </row>
    <row r="329" spans="1:18" x14ac:dyDescent="0.2">
      <c r="A329" s="558" t="s">
        <v>277</v>
      </c>
      <c r="B329" s="559" t="s">
        <v>914</v>
      </c>
      <c r="C329" s="573" t="s">
        <v>286</v>
      </c>
      <c r="D329" s="327" t="s">
        <v>292</v>
      </c>
      <c r="E329" s="575" t="s">
        <v>1715</v>
      </c>
      <c r="F329" s="561" t="s">
        <v>109</v>
      </c>
      <c r="G329" s="562" t="s">
        <v>936</v>
      </c>
      <c r="H329" s="563" t="s">
        <v>924</v>
      </c>
      <c r="I329" s="578" t="s">
        <v>925</v>
      </c>
      <c r="J329" s="564" t="s">
        <v>757</v>
      </c>
      <c r="K329" s="561">
        <v>26</v>
      </c>
      <c r="L329" s="338"/>
      <c r="M329" s="565">
        <v>12</v>
      </c>
      <c r="N329" s="565">
        <v>4</v>
      </c>
      <c r="O329" s="566">
        <f t="shared" si="16"/>
        <v>0.33333333333333331</v>
      </c>
      <c r="P329" s="567">
        <f t="shared" si="17"/>
        <v>1.2820512820512819</v>
      </c>
      <c r="Q329" s="568">
        <f t="shared" si="15"/>
        <v>1.2820512820512819</v>
      </c>
      <c r="R329" s="675"/>
    </row>
    <row r="330" spans="1:18" x14ac:dyDescent="0.2">
      <c r="A330" s="558" t="s">
        <v>277</v>
      </c>
      <c r="B330" s="559" t="s">
        <v>914</v>
      </c>
      <c r="C330" s="573" t="s">
        <v>286</v>
      </c>
      <c r="D330" s="327" t="s">
        <v>294</v>
      </c>
      <c r="E330" s="575" t="s">
        <v>1715</v>
      </c>
      <c r="F330" s="561" t="s">
        <v>109</v>
      </c>
      <c r="G330" s="562" t="s">
        <v>936</v>
      </c>
      <c r="H330" s="563" t="s">
        <v>924</v>
      </c>
      <c r="I330" s="578" t="s">
        <v>925</v>
      </c>
      <c r="J330" s="564" t="s">
        <v>757</v>
      </c>
      <c r="K330" s="561">
        <v>16</v>
      </c>
      <c r="L330" s="338"/>
      <c r="M330" s="565">
        <v>40</v>
      </c>
      <c r="N330" s="565">
        <v>7</v>
      </c>
      <c r="O330" s="566">
        <f t="shared" si="16"/>
        <v>0.17499999999999999</v>
      </c>
      <c r="P330" s="567">
        <f t="shared" si="17"/>
        <v>1.09375</v>
      </c>
      <c r="Q330" s="568">
        <f t="shared" si="15"/>
        <v>1.09375</v>
      </c>
      <c r="R330" s="675"/>
    </row>
    <row r="331" spans="1:18" x14ac:dyDescent="0.2">
      <c r="A331" s="558" t="s">
        <v>277</v>
      </c>
      <c r="B331" s="559" t="s">
        <v>914</v>
      </c>
      <c r="C331" s="573" t="s">
        <v>286</v>
      </c>
      <c r="D331" s="327" t="s">
        <v>282</v>
      </c>
      <c r="E331" s="575" t="s">
        <v>1715</v>
      </c>
      <c r="F331" s="561" t="s">
        <v>109</v>
      </c>
      <c r="G331" s="562" t="s">
        <v>936</v>
      </c>
      <c r="H331" s="563" t="s">
        <v>924</v>
      </c>
      <c r="I331" s="578" t="s">
        <v>925</v>
      </c>
      <c r="J331" s="564" t="s">
        <v>757</v>
      </c>
      <c r="K331" s="561">
        <v>6</v>
      </c>
      <c r="L331" s="338"/>
      <c r="M331" s="565">
        <v>68</v>
      </c>
      <c r="N331" s="565">
        <v>9</v>
      </c>
      <c r="O331" s="566">
        <f t="shared" si="16"/>
        <v>0.13235294117647059</v>
      </c>
      <c r="P331" s="567">
        <f t="shared" si="17"/>
        <v>2.2058823529411766</v>
      </c>
      <c r="Q331" s="568">
        <f t="shared" si="15"/>
        <v>2.2058823529411766</v>
      </c>
      <c r="R331" s="675"/>
    </row>
    <row r="332" spans="1:18" x14ac:dyDescent="0.2">
      <c r="A332" s="558" t="s">
        <v>277</v>
      </c>
      <c r="B332" s="559" t="s">
        <v>914</v>
      </c>
      <c r="C332" s="573" t="s">
        <v>286</v>
      </c>
      <c r="D332" s="327" t="s">
        <v>285</v>
      </c>
      <c r="E332" s="575" t="s">
        <v>1715</v>
      </c>
      <c r="F332" s="561" t="s">
        <v>109</v>
      </c>
      <c r="G332" s="562" t="s">
        <v>936</v>
      </c>
      <c r="H332" s="563" t="s">
        <v>924</v>
      </c>
      <c r="I332" s="578" t="s">
        <v>925</v>
      </c>
      <c r="J332" s="564" t="s">
        <v>757</v>
      </c>
      <c r="K332" s="561">
        <v>8</v>
      </c>
      <c r="L332" s="338"/>
      <c r="M332" s="565">
        <v>47</v>
      </c>
      <c r="N332" s="565">
        <v>12</v>
      </c>
      <c r="O332" s="566">
        <f t="shared" si="16"/>
        <v>0.25531914893617019</v>
      </c>
      <c r="P332" s="567">
        <f t="shared" si="17"/>
        <v>3.1914893617021276</v>
      </c>
      <c r="Q332" s="568">
        <f t="shared" si="15"/>
        <v>3.191489361702128</v>
      </c>
      <c r="R332" s="675"/>
    </row>
    <row r="333" spans="1:18" x14ac:dyDescent="0.2">
      <c r="A333" s="558" t="s">
        <v>277</v>
      </c>
      <c r="B333" s="559" t="s">
        <v>914</v>
      </c>
      <c r="C333" s="573" t="s">
        <v>303</v>
      </c>
      <c r="D333" s="327" t="s">
        <v>300</v>
      </c>
      <c r="E333" s="575" t="s">
        <v>1715</v>
      </c>
      <c r="F333" s="561" t="s">
        <v>109</v>
      </c>
      <c r="G333" s="562" t="s">
        <v>936</v>
      </c>
      <c r="H333" s="563" t="s">
        <v>927</v>
      </c>
      <c r="I333" s="578" t="s">
        <v>925</v>
      </c>
      <c r="J333" s="564" t="s">
        <v>757</v>
      </c>
      <c r="K333" s="561">
        <v>28.999999999999996</v>
      </c>
      <c r="L333" s="338"/>
      <c r="M333" s="565">
        <v>144</v>
      </c>
      <c r="N333" s="565">
        <v>7</v>
      </c>
      <c r="O333" s="566">
        <f t="shared" si="16"/>
        <v>4.8611111111111112E-2</v>
      </c>
      <c r="P333" s="567">
        <f t="shared" si="17"/>
        <v>0.16762452107279693</v>
      </c>
      <c r="Q333" s="568">
        <f t="shared" si="15"/>
        <v>0.16762452107279696</v>
      </c>
      <c r="R333" s="675"/>
    </row>
    <row r="334" spans="1:18" x14ac:dyDescent="0.2">
      <c r="A334" s="558" t="s">
        <v>277</v>
      </c>
      <c r="B334" s="559" t="s">
        <v>914</v>
      </c>
      <c r="C334" s="573" t="s">
        <v>303</v>
      </c>
      <c r="D334" s="327" t="s">
        <v>292</v>
      </c>
      <c r="E334" s="575" t="s">
        <v>1844</v>
      </c>
      <c r="F334" s="561" t="s">
        <v>109</v>
      </c>
      <c r="G334" s="562" t="s">
        <v>936</v>
      </c>
      <c r="H334" s="563" t="s">
        <v>924</v>
      </c>
      <c r="I334" s="578" t="s">
        <v>925</v>
      </c>
      <c r="J334" s="564" t="s">
        <v>757</v>
      </c>
      <c r="K334" s="561">
        <v>8</v>
      </c>
      <c r="L334" s="338"/>
      <c r="M334" s="565">
        <v>42</v>
      </c>
      <c r="N334" s="565">
        <v>6</v>
      </c>
      <c r="O334" s="566">
        <f t="shared" si="16"/>
        <v>0.14285714285714285</v>
      </c>
      <c r="P334" s="567">
        <f t="shared" si="17"/>
        <v>1.7857142857142858</v>
      </c>
      <c r="Q334" s="568">
        <f t="shared" si="15"/>
        <v>1.7857142857142858</v>
      </c>
      <c r="R334" s="675"/>
    </row>
    <row r="335" spans="1:18" x14ac:dyDescent="0.2">
      <c r="A335" s="558" t="s">
        <v>277</v>
      </c>
      <c r="B335" s="559" t="s">
        <v>914</v>
      </c>
      <c r="C335" s="573" t="s">
        <v>303</v>
      </c>
      <c r="D335" s="327" t="s">
        <v>294</v>
      </c>
      <c r="E335" s="575" t="s">
        <v>1844</v>
      </c>
      <c r="F335" s="561" t="s">
        <v>109</v>
      </c>
      <c r="G335" s="562" t="s">
        <v>936</v>
      </c>
      <c r="H335" s="563" t="s">
        <v>924</v>
      </c>
      <c r="I335" s="578" t="s">
        <v>925</v>
      </c>
      <c r="J335" s="564" t="s">
        <v>757</v>
      </c>
      <c r="K335" s="561">
        <v>0</v>
      </c>
      <c r="L335" s="338" t="s">
        <v>926</v>
      </c>
      <c r="M335" s="565">
        <v>10</v>
      </c>
      <c r="N335" s="565">
        <v>0</v>
      </c>
      <c r="O335" s="566">
        <f t="shared" si="16"/>
        <v>0</v>
      </c>
      <c r="P335" s="567">
        <f t="shared" si="17"/>
        <v>0</v>
      </c>
      <c r="Q335" s="568" t="e">
        <f t="shared" si="15"/>
        <v>#DIV/0!</v>
      </c>
      <c r="R335" s="676" t="s">
        <v>926</v>
      </c>
    </row>
    <row r="336" spans="1:18" x14ac:dyDescent="0.2">
      <c r="A336" s="558" t="s">
        <v>277</v>
      </c>
      <c r="B336" s="559" t="s">
        <v>914</v>
      </c>
      <c r="C336" s="573" t="s">
        <v>303</v>
      </c>
      <c r="D336" s="327" t="s">
        <v>282</v>
      </c>
      <c r="E336" s="575" t="s">
        <v>1845</v>
      </c>
      <c r="F336" s="561" t="s">
        <v>109</v>
      </c>
      <c r="G336" s="562" t="s">
        <v>936</v>
      </c>
      <c r="H336" s="563" t="s">
        <v>924</v>
      </c>
      <c r="I336" s="578" t="s">
        <v>925</v>
      </c>
      <c r="J336" s="564" t="s">
        <v>757</v>
      </c>
      <c r="K336" s="561">
        <v>0</v>
      </c>
      <c r="L336" s="338" t="s">
        <v>926</v>
      </c>
      <c r="M336" s="565">
        <v>2</v>
      </c>
      <c r="N336" s="565">
        <v>0</v>
      </c>
      <c r="O336" s="566">
        <f t="shared" si="16"/>
        <v>0</v>
      </c>
      <c r="P336" s="567">
        <f t="shared" si="17"/>
        <v>0</v>
      </c>
      <c r="Q336" s="568" t="e">
        <f t="shared" si="15"/>
        <v>#DIV/0!</v>
      </c>
      <c r="R336" s="676" t="s">
        <v>926</v>
      </c>
    </row>
    <row r="337" spans="1:18" x14ac:dyDescent="0.2">
      <c r="A337" s="558" t="s">
        <v>277</v>
      </c>
      <c r="B337" s="559" t="s">
        <v>914</v>
      </c>
      <c r="C337" s="573" t="s">
        <v>303</v>
      </c>
      <c r="D337" s="327" t="s">
        <v>285</v>
      </c>
      <c r="E337" s="575" t="s">
        <v>1845</v>
      </c>
      <c r="F337" s="561" t="s">
        <v>109</v>
      </c>
      <c r="G337" s="562" t="s">
        <v>936</v>
      </c>
      <c r="H337" s="563" t="s">
        <v>924</v>
      </c>
      <c r="I337" s="578" t="s">
        <v>925</v>
      </c>
      <c r="J337" s="564" t="s">
        <v>757</v>
      </c>
      <c r="K337" s="561">
        <v>0</v>
      </c>
      <c r="L337" s="338" t="s">
        <v>926</v>
      </c>
      <c r="M337" s="565">
        <v>5</v>
      </c>
      <c r="N337" s="565">
        <v>1</v>
      </c>
      <c r="O337" s="566">
        <f t="shared" si="16"/>
        <v>0.2</v>
      </c>
      <c r="P337" s="567">
        <f t="shared" si="17"/>
        <v>0</v>
      </c>
      <c r="Q337" s="568" t="e">
        <f t="shared" si="15"/>
        <v>#DIV/0!</v>
      </c>
      <c r="R337" s="676" t="s">
        <v>926</v>
      </c>
    </row>
    <row r="338" spans="1:18" x14ac:dyDescent="0.2">
      <c r="A338" s="558" t="s">
        <v>277</v>
      </c>
      <c r="B338" s="559" t="s">
        <v>914</v>
      </c>
      <c r="C338" s="573" t="s">
        <v>99</v>
      </c>
      <c r="D338" s="327" t="s">
        <v>300</v>
      </c>
      <c r="E338" s="575" t="s">
        <v>1715</v>
      </c>
      <c r="F338" s="561" t="s">
        <v>109</v>
      </c>
      <c r="G338" s="562" t="s">
        <v>936</v>
      </c>
      <c r="H338" s="563" t="s">
        <v>927</v>
      </c>
      <c r="I338" s="578" t="s">
        <v>925</v>
      </c>
      <c r="J338" s="564" t="s">
        <v>757</v>
      </c>
      <c r="K338" s="561">
        <v>17</v>
      </c>
      <c r="L338" s="338"/>
      <c r="M338" s="565">
        <v>158</v>
      </c>
      <c r="N338" s="565">
        <v>15</v>
      </c>
      <c r="O338" s="566">
        <f t="shared" si="16"/>
        <v>9.49367088607595E-2</v>
      </c>
      <c r="P338" s="567">
        <f t="shared" si="17"/>
        <v>0.5584512285927028</v>
      </c>
      <c r="Q338" s="568">
        <f t="shared" si="15"/>
        <v>0.55845122859270291</v>
      </c>
      <c r="R338" s="675"/>
    </row>
    <row r="339" spans="1:18" x14ac:dyDescent="0.2">
      <c r="A339" s="558" t="s">
        <v>277</v>
      </c>
      <c r="B339" s="559" t="s">
        <v>914</v>
      </c>
      <c r="C339" s="573" t="s">
        <v>99</v>
      </c>
      <c r="D339" s="327" t="s">
        <v>292</v>
      </c>
      <c r="E339" s="575" t="s">
        <v>1715</v>
      </c>
      <c r="F339" s="561" t="s">
        <v>109</v>
      </c>
      <c r="G339" s="562" t="s">
        <v>936</v>
      </c>
      <c r="H339" s="563" t="s">
        <v>924</v>
      </c>
      <c r="I339" s="578" t="s">
        <v>925</v>
      </c>
      <c r="J339" s="564" t="s">
        <v>757</v>
      </c>
      <c r="K339" s="561">
        <v>36</v>
      </c>
      <c r="L339" s="338"/>
      <c r="M339" s="565">
        <v>7</v>
      </c>
      <c r="N339" s="565">
        <v>1</v>
      </c>
      <c r="O339" s="566">
        <f t="shared" si="16"/>
        <v>0.14285714285714285</v>
      </c>
      <c r="P339" s="567">
        <f t="shared" si="17"/>
        <v>0.3968253968253968</v>
      </c>
      <c r="Q339" s="568">
        <f t="shared" si="15"/>
        <v>0.3968253968253968</v>
      </c>
      <c r="R339" s="675"/>
    </row>
    <row r="340" spans="1:18" x14ac:dyDescent="0.2">
      <c r="A340" s="558" t="s">
        <v>277</v>
      </c>
      <c r="B340" s="559" t="s">
        <v>914</v>
      </c>
      <c r="C340" s="573" t="s">
        <v>99</v>
      </c>
      <c r="D340" s="327" t="s">
        <v>294</v>
      </c>
      <c r="E340" s="575" t="s">
        <v>1846</v>
      </c>
      <c r="F340" s="561" t="s">
        <v>109</v>
      </c>
      <c r="G340" s="562" t="s">
        <v>936</v>
      </c>
      <c r="H340" s="563" t="s">
        <v>924</v>
      </c>
      <c r="I340" s="578" t="s">
        <v>925</v>
      </c>
      <c r="J340" s="564" t="s">
        <v>757</v>
      </c>
      <c r="K340" s="561">
        <v>80</v>
      </c>
      <c r="L340" s="338"/>
      <c r="M340" s="565">
        <v>8</v>
      </c>
      <c r="N340" s="565">
        <v>3</v>
      </c>
      <c r="O340" s="566">
        <f t="shared" si="16"/>
        <v>0.375</v>
      </c>
      <c r="P340" s="567">
        <f t="shared" si="17"/>
        <v>0.46875</v>
      </c>
      <c r="Q340" s="568">
        <f t="shared" si="15"/>
        <v>0.46875</v>
      </c>
      <c r="R340" s="675"/>
    </row>
    <row r="341" spans="1:18" x14ac:dyDescent="0.2">
      <c r="A341" s="558" t="s">
        <v>277</v>
      </c>
      <c r="B341" s="559" t="s">
        <v>914</v>
      </c>
      <c r="C341" s="573" t="s">
        <v>99</v>
      </c>
      <c r="D341" s="327" t="s">
        <v>282</v>
      </c>
      <c r="E341" s="575" t="s">
        <v>1846</v>
      </c>
      <c r="F341" s="561" t="s">
        <v>109</v>
      </c>
      <c r="G341" s="562" t="s">
        <v>936</v>
      </c>
      <c r="H341" s="563" t="s">
        <v>924</v>
      </c>
      <c r="I341" s="578" t="s">
        <v>925</v>
      </c>
      <c r="J341" s="564" t="s">
        <v>757</v>
      </c>
      <c r="K341" s="561">
        <v>0</v>
      </c>
      <c r="L341" s="338" t="s">
        <v>926</v>
      </c>
      <c r="M341" s="565">
        <v>4</v>
      </c>
      <c r="N341" s="565">
        <v>1</v>
      </c>
      <c r="O341" s="566">
        <f t="shared" si="16"/>
        <v>0.25</v>
      </c>
      <c r="P341" s="567">
        <f t="shared" si="17"/>
        <v>0</v>
      </c>
      <c r="Q341" s="568" t="e">
        <f t="shared" si="15"/>
        <v>#DIV/0!</v>
      </c>
      <c r="R341" s="676" t="s">
        <v>926</v>
      </c>
    </row>
    <row r="342" spans="1:18" x14ac:dyDescent="0.2">
      <c r="A342" s="558" t="s">
        <v>277</v>
      </c>
      <c r="B342" s="559" t="s">
        <v>914</v>
      </c>
      <c r="C342" s="573" t="s">
        <v>99</v>
      </c>
      <c r="D342" s="327" t="s">
        <v>285</v>
      </c>
      <c r="E342" s="575" t="s">
        <v>1846</v>
      </c>
      <c r="F342" s="561" t="s">
        <v>109</v>
      </c>
      <c r="G342" s="562" t="s">
        <v>936</v>
      </c>
      <c r="H342" s="563" t="s">
        <v>924</v>
      </c>
      <c r="I342" s="578" t="s">
        <v>925</v>
      </c>
      <c r="J342" s="564" t="s">
        <v>757</v>
      </c>
      <c r="K342" s="561">
        <v>0</v>
      </c>
      <c r="L342" s="338" t="s">
        <v>926</v>
      </c>
      <c r="M342" s="565">
        <v>1</v>
      </c>
      <c r="N342" s="565">
        <v>0</v>
      </c>
      <c r="O342" s="566">
        <f t="shared" si="16"/>
        <v>0</v>
      </c>
      <c r="P342" s="567">
        <f t="shared" si="17"/>
        <v>0</v>
      </c>
      <c r="Q342" s="568" t="e">
        <f t="shared" si="15"/>
        <v>#DIV/0!</v>
      </c>
      <c r="R342" s="676" t="s">
        <v>926</v>
      </c>
    </row>
    <row r="343" spans="1:18" x14ac:dyDescent="0.2">
      <c r="A343" s="558" t="s">
        <v>277</v>
      </c>
      <c r="B343" s="559" t="s">
        <v>914</v>
      </c>
      <c r="C343" s="573" t="s">
        <v>296</v>
      </c>
      <c r="D343" s="327" t="s">
        <v>300</v>
      </c>
      <c r="E343" s="575" t="s">
        <v>1847</v>
      </c>
      <c r="F343" s="561" t="s">
        <v>109</v>
      </c>
      <c r="G343" s="562" t="s">
        <v>936</v>
      </c>
      <c r="H343" s="563" t="s">
        <v>927</v>
      </c>
      <c r="I343" s="578" t="s">
        <v>925</v>
      </c>
      <c r="J343" s="564" t="s">
        <v>757</v>
      </c>
      <c r="K343" s="561">
        <v>13</v>
      </c>
      <c r="L343" s="338"/>
      <c r="M343" s="565">
        <v>0</v>
      </c>
      <c r="N343" s="565">
        <v>0</v>
      </c>
      <c r="O343" s="566">
        <f t="shared" si="16"/>
        <v>0</v>
      </c>
      <c r="P343" s="567">
        <f t="shared" si="17"/>
        <v>0</v>
      </c>
      <c r="Q343" s="568" t="e">
        <f t="shared" si="15"/>
        <v>#DIV/0!</v>
      </c>
      <c r="R343" s="676" t="s">
        <v>1919</v>
      </c>
    </row>
    <row r="344" spans="1:18" x14ac:dyDescent="0.2">
      <c r="A344" s="558" t="s">
        <v>277</v>
      </c>
      <c r="B344" s="559" t="s">
        <v>914</v>
      </c>
      <c r="C344" s="573" t="s">
        <v>296</v>
      </c>
      <c r="D344" s="327" t="s">
        <v>292</v>
      </c>
      <c r="E344" s="575" t="s">
        <v>1847</v>
      </c>
      <c r="F344" s="561" t="s">
        <v>109</v>
      </c>
      <c r="G344" s="562" t="s">
        <v>936</v>
      </c>
      <c r="H344" s="563" t="s">
        <v>924</v>
      </c>
      <c r="I344" s="578" t="s">
        <v>925</v>
      </c>
      <c r="J344" s="564" t="s">
        <v>757</v>
      </c>
      <c r="K344" s="561">
        <v>0</v>
      </c>
      <c r="L344" s="338" t="s">
        <v>926</v>
      </c>
      <c r="M344" s="565">
        <v>3</v>
      </c>
      <c r="N344" s="565">
        <v>1</v>
      </c>
      <c r="O344" s="566">
        <f t="shared" si="16"/>
        <v>0.33333333333333331</v>
      </c>
      <c r="P344" s="567">
        <f t="shared" si="17"/>
        <v>0</v>
      </c>
      <c r="Q344" s="568" t="e">
        <f t="shared" si="15"/>
        <v>#DIV/0!</v>
      </c>
      <c r="R344" s="676" t="s">
        <v>926</v>
      </c>
    </row>
    <row r="345" spans="1:18" x14ac:dyDescent="0.2">
      <c r="A345" s="558" t="s">
        <v>277</v>
      </c>
      <c r="B345" s="559" t="s">
        <v>914</v>
      </c>
      <c r="C345" s="573" t="s">
        <v>296</v>
      </c>
      <c r="D345" s="327" t="s">
        <v>294</v>
      </c>
      <c r="E345" s="575" t="s">
        <v>1848</v>
      </c>
      <c r="F345" s="561" t="s">
        <v>109</v>
      </c>
      <c r="G345" s="562" t="s">
        <v>936</v>
      </c>
      <c r="H345" s="563" t="s">
        <v>924</v>
      </c>
      <c r="I345" s="578" t="s">
        <v>925</v>
      </c>
      <c r="J345" s="564" t="s">
        <v>757</v>
      </c>
      <c r="K345" s="561">
        <v>0</v>
      </c>
      <c r="L345" s="338" t="s">
        <v>926</v>
      </c>
      <c r="M345" s="565">
        <v>1</v>
      </c>
      <c r="N345" s="565">
        <v>0</v>
      </c>
      <c r="O345" s="566">
        <f t="shared" si="16"/>
        <v>0</v>
      </c>
      <c r="P345" s="567">
        <f t="shared" si="17"/>
        <v>0</v>
      </c>
      <c r="Q345" s="568" t="e">
        <f t="shared" si="15"/>
        <v>#DIV/0!</v>
      </c>
      <c r="R345" s="676" t="s">
        <v>926</v>
      </c>
    </row>
    <row r="346" spans="1:18" x14ac:dyDescent="0.2">
      <c r="A346" s="558" t="s">
        <v>277</v>
      </c>
      <c r="B346" s="559" t="s">
        <v>914</v>
      </c>
      <c r="C346" s="573" t="s">
        <v>296</v>
      </c>
      <c r="D346" s="327" t="s">
        <v>282</v>
      </c>
      <c r="E346" s="575" t="s">
        <v>1848</v>
      </c>
      <c r="F346" s="561" t="s">
        <v>109</v>
      </c>
      <c r="G346" s="562" t="s">
        <v>936</v>
      </c>
      <c r="H346" s="563" t="s">
        <v>924</v>
      </c>
      <c r="I346" s="578" t="s">
        <v>925</v>
      </c>
      <c r="J346" s="564" t="s">
        <v>757</v>
      </c>
      <c r="K346" s="561">
        <v>0</v>
      </c>
      <c r="L346" s="338" t="s">
        <v>926</v>
      </c>
      <c r="M346" s="565">
        <v>2</v>
      </c>
      <c r="N346" s="565">
        <v>1</v>
      </c>
      <c r="O346" s="566">
        <f t="shared" si="16"/>
        <v>0.5</v>
      </c>
      <c r="P346" s="567">
        <f t="shared" si="17"/>
        <v>0</v>
      </c>
      <c r="Q346" s="568" t="e">
        <f t="shared" si="15"/>
        <v>#DIV/0!</v>
      </c>
      <c r="R346" s="676" t="s">
        <v>926</v>
      </c>
    </row>
    <row r="347" spans="1:18" x14ac:dyDescent="0.2">
      <c r="A347" s="558" t="s">
        <v>277</v>
      </c>
      <c r="B347" s="559" t="s">
        <v>914</v>
      </c>
      <c r="C347" s="573" t="s">
        <v>296</v>
      </c>
      <c r="D347" s="327" t="s">
        <v>285</v>
      </c>
      <c r="E347" s="575" t="s">
        <v>1715</v>
      </c>
      <c r="F347" s="561" t="s">
        <v>109</v>
      </c>
      <c r="G347" s="562" t="s">
        <v>936</v>
      </c>
      <c r="H347" s="563" t="s">
        <v>924</v>
      </c>
      <c r="I347" s="578" t="s">
        <v>925</v>
      </c>
      <c r="J347" s="564" t="s">
        <v>757</v>
      </c>
      <c r="K347" s="561">
        <v>25</v>
      </c>
      <c r="L347" s="338"/>
      <c r="M347" s="565">
        <v>11</v>
      </c>
      <c r="N347" s="565">
        <v>3</v>
      </c>
      <c r="O347" s="566">
        <f t="shared" si="16"/>
        <v>0.27272727272727271</v>
      </c>
      <c r="P347" s="567">
        <f t="shared" si="17"/>
        <v>1.0909090909090908</v>
      </c>
      <c r="Q347" s="568">
        <f t="shared" si="15"/>
        <v>1.0909090909090908</v>
      </c>
      <c r="R347" s="675"/>
    </row>
    <row r="348" spans="1:18" x14ac:dyDescent="0.2">
      <c r="A348" s="558" t="s">
        <v>277</v>
      </c>
      <c r="B348" s="559" t="s">
        <v>914</v>
      </c>
      <c r="C348" s="573" t="s">
        <v>296</v>
      </c>
      <c r="D348" s="327" t="s">
        <v>298</v>
      </c>
      <c r="E348" s="575" t="s">
        <v>1715</v>
      </c>
      <c r="F348" s="561" t="s">
        <v>109</v>
      </c>
      <c r="G348" s="562" t="s">
        <v>936</v>
      </c>
      <c r="H348" s="563" t="s">
        <v>924</v>
      </c>
      <c r="I348" s="578" t="s">
        <v>925</v>
      </c>
      <c r="J348" s="564" t="s">
        <v>757</v>
      </c>
      <c r="K348" s="561">
        <v>10</v>
      </c>
      <c r="L348" s="338"/>
      <c r="M348" s="565">
        <v>20</v>
      </c>
      <c r="N348" s="565">
        <v>7</v>
      </c>
      <c r="O348" s="566">
        <f t="shared" si="16"/>
        <v>0.35</v>
      </c>
      <c r="P348" s="567">
        <f t="shared" si="17"/>
        <v>3.5</v>
      </c>
      <c r="Q348" s="568">
        <f t="shared" si="15"/>
        <v>3.5</v>
      </c>
      <c r="R348" s="675"/>
    </row>
    <row r="349" spans="1:18" x14ac:dyDescent="0.2">
      <c r="A349" s="558" t="s">
        <v>277</v>
      </c>
      <c r="B349" s="559" t="s">
        <v>914</v>
      </c>
      <c r="C349" s="573" t="s">
        <v>316</v>
      </c>
      <c r="D349" s="327" t="s">
        <v>292</v>
      </c>
      <c r="E349" s="575" t="s">
        <v>1849</v>
      </c>
      <c r="F349" s="561" t="s">
        <v>109</v>
      </c>
      <c r="G349" s="562" t="s">
        <v>936</v>
      </c>
      <c r="H349" s="563" t="s">
        <v>924</v>
      </c>
      <c r="I349" s="578" t="s">
        <v>925</v>
      </c>
      <c r="J349" s="564" t="s">
        <v>757</v>
      </c>
      <c r="K349" s="561">
        <v>0</v>
      </c>
      <c r="L349" s="338" t="s">
        <v>926</v>
      </c>
      <c r="M349" s="565">
        <v>0</v>
      </c>
      <c r="N349" s="565">
        <v>0</v>
      </c>
      <c r="O349" s="566">
        <f t="shared" si="16"/>
        <v>0</v>
      </c>
      <c r="P349" s="567">
        <f t="shared" si="17"/>
        <v>0</v>
      </c>
      <c r="Q349" s="568" t="e">
        <f t="shared" si="15"/>
        <v>#DIV/0!</v>
      </c>
      <c r="R349" s="676" t="s">
        <v>1919</v>
      </c>
    </row>
    <row r="350" spans="1:18" x14ac:dyDescent="0.2">
      <c r="A350" s="558" t="s">
        <v>277</v>
      </c>
      <c r="B350" s="559" t="s">
        <v>914</v>
      </c>
      <c r="C350" s="573" t="s">
        <v>316</v>
      </c>
      <c r="D350" s="327" t="s">
        <v>294</v>
      </c>
      <c r="E350" s="575" t="s">
        <v>1849</v>
      </c>
      <c r="F350" s="561" t="s">
        <v>109</v>
      </c>
      <c r="G350" s="562" t="s">
        <v>936</v>
      </c>
      <c r="H350" s="563" t="s">
        <v>924</v>
      </c>
      <c r="I350" s="578" t="s">
        <v>925</v>
      </c>
      <c r="J350" s="564" t="s">
        <v>757</v>
      </c>
      <c r="K350" s="561">
        <v>0</v>
      </c>
      <c r="L350" s="338" t="s">
        <v>926</v>
      </c>
      <c r="M350" s="565">
        <v>0</v>
      </c>
      <c r="N350" s="565">
        <v>0</v>
      </c>
      <c r="O350" s="566">
        <f t="shared" si="16"/>
        <v>0</v>
      </c>
      <c r="P350" s="567">
        <f t="shared" si="17"/>
        <v>0</v>
      </c>
      <c r="Q350" s="568" t="e">
        <f t="shared" si="15"/>
        <v>#DIV/0!</v>
      </c>
      <c r="R350" s="676" t="s">
        <v>1919</v>
      </c>
    </row>
    <row r="351" spans="1:18" x14ac:dyDescent="0.2">
      <c r="A351" s="558" t="s">
        <v>277</v>
      </c>
      <c r="B351" s="559" t="s">
        <v>914</v>
      </c>
      <c r="C351" s="573" t="s">
        <v>308</v>
      </c>
      <c r="D351" s="327" t="s">
        <v>300</v>
      </c>
      <c r="E351" s="575" t="s">
        <v>1715</v>
      </c>
      <c r="F351" s="561" t="s">
        <v>109</v>
      </c>
      <c r="G351" s="562" t="s">
        <v>936</v>
      </c>
      <c r="H351" s="563" t="s">
        <v>927</v>
      </c>
      <c r="I351" s="578" t="s">
        <v>925</v>
      </c>
      <c r="J351" s="564" t="s">
        <v>757</v>
      </c>
      <c r="K351" s="561">
        <v>38</v>
      </c>
      <c r="L351" s="338"/>
      <c r="M351" s="565">
        <v>51</v>
      </c>
      <c r="N351" s="565">
        <v>3</v>
      </c>
      <c r="O351" s="566">
        <f t="shared" si="16"/>
        <v>5.8823529411764705E-2</v>
      </c>
      <c r="P351" s="567">
        <f t="shared" si="17"/>
        <v>0.15479876160990713</v>
      </c>
      <c r="Q351" s="568">
        <f t="shared" si="15"/>
        <v>0.15479876160990713</v>
      </c>
      <c r="R351" s="675"/>
    </row>
    <row r="352" spans="1:18" x14ac:dyDescent="0.2">
      <c r="A352" s="558" t="s">
        <v>277</v>
      </c>
      <c r="B352" s="559" t="s">
        <v>914</v>
      </c>
      <c r="C352" s="573" t="s">
        <v>308</v>
      </c>
      <c r="D352" s="327" t="s">
        <v>292</v>
      </c>
      <c r="E352" s="575" t="s">
        <v>1850</v>
      </c>
      <c r="F352" s="561" t="s">
        <v>109</v>
      </c>
      <c r="G352" s="562" t="s">
        <v>936</v>
      </c>
      <c r="H352" s="563" t="s">
        <v>924</v>
      </c>
      <c r="I352" s="578" t="s">
        <v>925</v>
      </c>
      <c r="J352" s="564" t="s">
        <v>757</v>
      </c>
      <c r="K352" s="561">
        <v>0</v>
      </c>
      <c r="L352" s="338" t="s">
        <v>926</v>
      </c>
      <c r="M352" s="565">
        <v>7</v>
      </c>
      <c r="N352" s="565">
        <v>2</v>
      </c>
      <c r="O352" s="566">
        <f t="shared" si="16"/>
        <v>0.2857142857142857</v>
      </c>
      <c r="P352" s="567">
        <f t="shared" si="17"/>
        <v>0</v>
      </c>
      <c r="Q352" s="568" t="e">
        <f t="shared" si="15"/>
        <v>#DIV/0!</v>
      </c>
      <c r="R352" s="676" t="s">
        <v>926</v>
      </c>
    </row>
    <row r="353" spans="1:18" x14ac:dyDescent="0.2">
      <c r="A353" s="558" t="s">
        <v>277</v>
      </c>
      <c r="B353" s="559" t="s">
        <v>914</v>
      </c>
      <c r="C353" s="573" t="s">
        <v>308</v>
      </c>
      <c r="D353" s="327" t="s">
        <v>294</v>
      </c>
      <c r="E353" s="575" t="s">
        <v>1850</v>
      </c>
      <c r="F353" s="561" t="s">
        <v>109</v>
      </c>
      <c r="G353" s="562" t="s">
        <v>936</v>
      </c>
      <c r="H353" s="563" t="s">
        <v>924</v>
      </c>
      <c r="I353" s="578" t="s">
        <v>925</v>
      </c>
      <c r="J353" s="564" t="s">
        <v>757</v>
      </c>
      <c r="K353" s="561">
        <v>0</v>
      </c>
      <c r="L353" s="338" t="s">
        <v>926</v>
      </c>
      <c r="M353" s="565">
        <v>1</v>
      </c>
      <c r="N353" s="565">
        <v>0</v>
      </c>
      <c r="O353" s="566">
        <f t="shared" si="16"/>
        <v>0</v>
      </c>
      <c r="P353" s="567">
        <f t="shared" si="17"/>
        <v>0</v>
      </c>
      <c r="Q353" s="568" t="e">
        <f t="shared" si="15"/>
        <v>#DIV/0!</v>
      </c>
      <c r="R353" s="676" t="s">
        <v>926</v>
      </c>
    </row>
    <row r="354" spans="1:18" x14ac:dyDescent="0.2">
      <c r="A354" s="558" t="s">
        <v>277</v>
      </c>
      <c r="B354" s="559" t="s">
        <v>914</v>
      </c>
      <c r="C354" s="573" t="s">
        <v>305</v>
      </c>
      <c r="D354" s="327" t="s">
        <v>300</v>
      </c>
      <c r="E354" s="575" t="s">
        <v>1715</v>
      </c>
      <c r="F354" s="561" t="s">
        <v>109</v>
      </c>
      <c r="G354" s="562" t="s">
        <v>936</v>
      </c>
      <c r="H354" s="563" t="s">
        <v>927</v>
      </c>
      <c r="I354" s="578" t="s">
        <v>925</v>
      </c>
      <c r="J354" s="564" t="s">
        <v>757</v>
      </c>
      <c r="K354" s="561">
        <v>5</v>
      </c>
      <c r="L354" s="338"/>
      <c r="M354" s="565">
        <v>568</v>
      </c>
      <c r="N354" s="565">
        <v>24</v>
      </c>
      <c r="O354" s="566">
        <f t="shared" si="16"/>
        <v>4.2253521126760563E-2</v>
      </c>
      <c r="P354" s="567">
        <f t="shared" si="17"/>
        <v>0.84507042253521125</v>
      </c>
      <c r="Q354" s="568">
        <f t="shared" si="15"/>
        <v>0.84507042253521136</v>
      </c>
      <c r="R354" s="675"/>
    </row>
    <row r="355" spans="1:18" x14ac:dyDescent="0.2">
      <c r="A355" s="558" t="s">
        <v>277</v>
      </c>
      <c r="B355" s="559" t="s">
        <v>914</v>
      </c>
      <c r="C355" s="573" t="s">
        <v>305</v>
      </c>
      <c r="D355" s="327" t="s">
        <v>292</v>
      </c>
      <c r="E355" s="575" t="s">
        <v>1715</v>
      </c>
      <c r="F355" s="561" t="s">
        <v>109</v>
      </c>
      <c r="G355" s="562" t="s">
        <v>936</v>
      </c>
      <c r="H355" s="563" t="s">
        <v>924</v>
      </c>
      <c r="I355" s="578" t="s">
        <v>925</v>
      </c>
      <c r="J355" s="564" t="s">
        <v>757</v>
      </c>
      <c r="K355" s="561">
        <v>32</v>
      </c>
      <c r="L355" s="338"/>
      <c r="M355" s="565">
        <v>85</v>
      </c>
      <c r="N355" s="565">
        <v>22</v>
      </c>
      <c r="O355" s="566">
        <f t="shared" si="16"/>
        <v>0.25882352941176473</v>
      </c>
      <c r="P355" s="567">
        <f t="shared" si="17"/>
        <v>0.80882352941176472</v>
      </c>
      <c r="Q355" s="568">
        <f t="shared" si="15"/>
        <v>0.80882352941176472</v>
      </c>
      <c r="R355" s="675"/>
    </row>
    <row r="356" spans="1:18" x14ac:dyDescent="0.2">
      <c r="A356" s="558" t="s">
        <v>277</v>
      </c>
      <c r="B356" s="559" t="s">
        <v>914</v>
      </c>
      <c r="C356" s="573" t="s">
        <v>305</v>
      </c>
      <c r="D356" s="327" t="s">
        <v>294</v>
      </c>
      <c r="E356" s="575" t="s">
        <v>1851</v>
      </c>
      <c r="F356" s="561" t="s">
        <v>109</v>
      </c>
      <c r="G356" s="562" t="s">
        <v>936</v>
      </c>
      <c r="H356" s="563" t="s">
        <v>924</v>
      </c>
      <c r="I356" s="578" t="s">
        <v>925</v>
      </c>
      <c r="J356" s="564" t="s">
        <v>757</v>
      </c>
      <c r="K356" s="561">
        <v>33</v>
      </c>
      <c r="L356" s="338"/>
      <c r="M356" s="565">
        <v>24</v>
      </c>
      <c r="N356" s="565">
        <v>8</v>
      </c>
      <c r="O356" s="566">
        <f t="shared" si="16"/>
        <v>0.33333333333333331</v>
      </c>
      <c r="P356" s="567">
        <f t="shared" si="17"/>
        <v>1.0101010101010102</v>
      </c>
      <c r="Q356" s="568">
        <f t="shared" si="15"/>
        <v>1.0101010101010102</v>
      </c>
      <c r="R356" s="675"/>
    </row>
    <row r="357" spans="1:18" x14ac:dyDescent="0.2">
      <c r="A357" s="558" t="s">
        <v>277</v>
      </c>
      <c r="B357" s="559" t="s">
        <v>914</v>
      </c>
      <c r="C357" s="573" t="s">
        <v>305</v>
      </c>
      <c r="D357" s="327" t="s">
        <v>285</v>
      </c>
      <c r="E357" s="575" t="s">
        <v>1851</v>
      </c>
      <c r="F357" s="561" t="s">
        <v>109</v>
      </c>
      <c r="G357" s="562" t="s">
        <v>936</v>
      </c>
      <c r="H357" s="563" t="s">
        <v>924</v>
      </c>
      <c r="I357" s="578" t="s">
        <v>925</v>
      </c>
      <c r="J357" s="564" t="s">
        <v>757</v>
      </c>
      <c r="K357" s="561">
        <v>0</v>
      </c>
      <c r="L357" s="338" t="s">
        <v>926</v>
      </c>
      <c r="M357" s="565">
        <v>2</v>
      </c>
      <c r="N357" s="565">
        <v>1</v>
      </c>
      <c r="O357" s="566">
        <f t="shared" si="16"/>
        <v>0.5</v>
      </c>
      <c r="P357" s="567">
        <f t="shared" si="17"/>
        <v>0</v>
      </c>
      <c r="Q357" s="568" t="e">
        <f t="shared" si="15"/>
        <v>#DIV/0!</v>
      </c>
      <c r="R357" s="676" t="s">
        <v>926</v>
      </c>
    </row>
    <row r="358" spans="1:18" x14ac:dyDescent="0.2">
      <c r="A358" s="558" t="s">
        <v>277</v>
      </c>
      <c r="B358" s="559" t="s">
        <v>914</v>
      </c>
      <c r="C358" s="573" t="s">
        <v>97</v>
      </c>
      <c r="D358" s="327" t="s">
        <v>282</v>
      </c>
      <c r="E358" s="575" t="s">
        <v>1843</v>
      </c>
      <c r="F358" s="561" t="s">
        <v>109</v>
      </c>
      <c r="G358" s="562" t="s">
        <v>937</v>
      </c>
      <c r="H358" s="563" t="s">
        <v>924</v>
      </c>
      <c r="I358" s="578" t="s">
        <v>925</v>
      </c>
      <c r="J358" s="564" t="s">
        <v>757</v>
      </c>
      <c r="K358" s="561">
        <v>33</v>
      </c>
      <c r="L358" s="338"/>
      <c r="M358" s="565">
        <v>6</v>
      </c>
      <c r="N358" s="565">
        <v>3</v>
      </c>
      <c r="O358" s="566">
        <f t="shared" si="16"/>
        <v>0.5</v>
      </c>
      <c r="P358" s="567">
        <f t="shared" si="17"/>
        <v>1.5151515151515151</v>
      </c>
      <c r="Q358" s="568">
        <f t="shared" si="15"/>
        <v>1.5151515151515151</v>
      </c>
      <c r="R358" s="675"/>
    </row>
    <row r="359" spans="1:18" x14ac:dyDescent="0.2">
      <c r="A359" s="558" t="s">
        <v>277</v>
      </c>
      <c r="B359" s="559" t="s">
        <v>914</v>
      </c>
      <c r="C359" s="573" t="s">
        <v>97</v>
      </c>
      <c r="D359" s="327" t="s">
        <v>285</v>
      </c>
      <c r="E359" s="575" t="s">
        <v>1843</v>
      </c>
      <c r="F359" s="561" t="s">
        <v>109</v>
      </c>
      <c r="G359" s="562" t="s">
        <v>937</v>
      </c>
      <c r="H359" s="563" t="s">
        <v>924</v>
      </c>
      <c r="I359" s="578" t="s">
        <v>925</v>
      </c>
      <c r="J359" s="564" t="s">
        <v>757</v>
      </c>
      <c r="K359" s="561">
        <v>0</v>
      </c>
      <c r="L359" s="338" t="s">
        <v>926</v>
      </c>
      <c r="M359" s="565">
        <v>8</v>
      </c>
      <c r="N359" s="565">
        <v>7</v>
      </c>
      <c r="O359" s="566">
        <f t="shared" si="16"/>
        <v>0.875</v>
      </c>
      <c r="P359" s="567">
        <f t="shared" si="17"/>
        <v>0</v>
      </c>
      <c r="Q359" s="568" t="e">
        <f t="shared" si="15"/>
        <v>#DIV/0!</v>
      </c>
      <c r="R359" s="676" t="s">
        <v>926</v>
      </c>
    </row>
    <row r="360" spans="1:18" x14ac:dyDescent="0.2">
      <c r="A360" s="558" t="s">
        <v>277</v>
      </c>
      <c r="B360" s="559" t="s">
        <v>914</v>
      </c>
      <c r="C360" s="573" t="s">
        <v>286</v>
      </c>
      <c r="D360" s="327" t="s">
        <v>300</v>
      </c>
      <c r="E360" s="575" t="s">
        <v>1715</v>
      </c>
      <c r="F360" s="561" t="s">
        <v>109</v>
      </c>
      <c r="G360" s="562" t="s">
        <v>937</v>
      </c>
      <c r="H360" s="563" t="s">
        <v>927</v>
      </c>
      <c r="I360" s="578" t="s">
        <v>925</v>
      </c>
      <c r="J360" s="564" t="s">
        <v>757</v>
      </c>
      <c r="K360" s="561">
        <v>0</v>
      </c>
      <c r="L360" s="338" t="s">
        <v>926</v>
      </c>
      <c r="M360" s="565">
        <v>39</v>
      </c>
      <c r="N360" s="565">
        <v>5</v>
      </c>
      <c r="O360" s="566">
        <f t="shared" si="16"/>
        <v>0.12820512820512819</v>
      </c>
      <c r="P360" s="567">
        <f t="shared" si="17"/>
        <v>0</v>
      </c>
      <c r="Q360" s="568" t="e">
        <f t="shared" si="15"/>
        <v>#DIV/0!</v>
      </c>
      <c r="R360" s="676" t="s">
        <v>926</v>
      </c>
    </row>
    <row r="361" spans="1:18" x14ac:dyDescent="0.2">
      <c r="A361" s="558" t="s">
        <v>277</v>
      </c>
      <c r="B361" s="559" t="s">
        <v>914</v>
      </c>
      <c r="C361" s="573" t="s">
        <v>286</v>
      </c>
      <c r="D361" s="327" t="s">
        <v>292</v>
      </c>
      <c r="E361" s="575" t="s">
        <v>1715</v>
      </c>
      <c r="F361" s="561" t="s">
        <v>109</v>
      </c>
      <c r="G361" s="562" t="s">
        <v>937</v>
      </c>
      <c r="H361" s="563" t="s">
        <v>924</v>
      </c>
      <c r="I361" s="578" t="s">
        <v>925</v>
      </c>
      <c r="J361" s="564" t="s">
        <v>757</v>
      </c>
      <c r="K361" s="561">
        <v>26</v>
      </c>
      <c r="L361" s="338"/>
      <c r="M361" s="565">
        <v>12</v>
      </c>
      <c r="N361" s="565">
        <v>4</v>
      </c>
      <c r="O361" s="566">
        <f t="shared" si="16"/>
        <v>0.33333333333333331</v>
      </c>
      <c r="P361" s="567">
        <f t="shared" si="17"/>
        <v>1.2820512820512819</v>
      </c>
      <c r="Q361" s="568">
        <f t="shared" si="15"/>
        <v>1.2820512820512819</v>
      </c>
      <c r="R361" s="675"/>
    </row>
    <row r="362" spans="1:18" x14ac:dyDescent="0.2">
      <c r="A362" s="558" t="s">
        <v>277</v>
      </c>
      <c r="B362" s="559" t="s">
        <v>914</v>
      </c>
      <c r="C362" s="573" t="s">
        <v>286</v>
      </c>
      <c r="D362" s="327" t="s">
        <v>294</v>
      </c>
      <c r="E362" s="575" t="s">
        <v>1715</v>
      </c>
      <c r="F362" s="561" t="s">
        <v>109</v>
      </c>
      <c r="G362" s="562" t="s">
        <v>937</v>
      </c>
      <c r="H362" s="563" t="s">
        <v>924</v>
      </c>
      <c r="I362" s="578" t="s">
        <v>925</v>
      </c>
      <c r="J362" s="564" t="s">
        <v>757</v>
      </c>
      <c r="K362" s="561">
        <v>16</v>
      </c>
      <c r="L362" s="338"/>
      <c r="M362" s="565">
        <v>40</v>
      </c>
      <c r="N362" s="565">
        <v>7</v>
      </c>
      <c r="O362" s="566">
        <f t="shared" si="16"/>
        <v>0.17499999999999999</v>
      </c>
      <c r="P362" s="567">
        <f t="shared" si="17"/>
        <v>1.09375</v>
      </c>
      <c r="Q362" s="568">
        <f t="shared" si="15"/>
        <v>1.09375</v>
      </c>
      <c r="R362" s="675"/>
    </row>
    <row r="363" spans="1:18" x14ac:dyDescent="0.2">
      <c r="A363" s="558" t="s">
        <v>277</v>
      </c>
      <c r="B363" s="559" t="s">
        <v>914</v>
      </c>
      <c r="C363" s="573" t="s">
        <v>286</v>
      </c>
      <c r="D363" s="327" t="s">
        <v>282</v>
      </c>
      <c r="E363" s="575" t="s">
        <v>1715</v>
      </c>
      <c r="F363" s="561" t="s">
        <v>109</v>
      </c>
      <c r="G363" s="562" t="s">
        <v>937</v>
      </c>
      <c r="H363" s="563" t="s">
        <v>924</v>
      </c>
      <c r="I363" s="578" t="s">
        <v>925</v>
      </c>
      <c r="J363" s="564" t="s">
        <v>757</v>
      </c>
      <c r="K363" s="561">
        <v>6</v>
      </c>
      <c r="L363" s="338"/>
      <c r="M363" s="565">
        <v>68</v>
      </c>
      <c r="N363" s="565">
        <v>9</v>
      </c>
      <c r="O363" s="566">
        <f t="shared" si="16"/>
        <v>0.13235294117647059</v>
      </c>
      <c r="P363" s="567">
        <f t="shared" si="17"/>
        <v>2.2058823529411766</v>
      </c>
      <c r="Q363" s="568">
        <f t="shared" si="15"/>
        <v>2.2058823529411766</v>
      </c>
      <c r="R363" s="675"/>
    </row>
    <row r="364" spans="1:18" x14ac:dyDescent="0.2">
      <c r="A364" s="558" t="s">
        <v>277</v>
      </c>
      <c r="B364" s="559" t="s">
        <v>914</v>
      </c>
      <c r="C364" s="573" t="s">
        <v>286</v>
      </c>
      <c r="D364" s="327" t="s">
        <v>285</v>
      </c>
      <c r="E364" s="575" t="s">
        <v>1715</v>
      </c>
      <c r="F364" s="561" t="s">
        <v>109</v>
      </c>
      <c r="G364" s="562" t="s">
        <v>937</v>
      </c>
      <c r="H364" s="563" t="s">
        <v>924</v>
      </c>
      <c r="I364" s="578" t="s">
        <v>925</v>
      </c>
      <c r="J364" s="564" t="s">
        <v>757</v>
      </c>
      <c r="K364" s="561">
        <v>8</v>
      </c>
      <c r="L364" s="338"/>
      <c r="M364" s="565">
        <v>47</v>
      </c>
      <c r="N364" s="565">
        <v>12</v>
      </c>
      <c r="O364" s="566">
        <f t="shared" si="16"/>
        <v>0.25531914893617019</v>
      </c>
      <c r="P364" s="567">
        <f t="shared" si="17"/>
        <v>3.1914893617021276</v>
      </c>
      <c r="Q364" s="568">
        <f t="shared" si="15"/>
        <v>3.191489361702128</v>
      </c>
      <c r="R364" s="675"/>
    </row>
    <row r="365" spans="1:18" x14ac:dyDescent="0.2">
      <c r="A365" s="558" t="s">
        <v>277</v>
      </c>
      <c r="B365" s="559" t="s">
        <v>914</v>
      </c>
      <c r="C365" s="573" t="s">
        <v>303</v>
      </c>
      <c r="D365" s="327" t="s">
        <v>300</v>
      </c>
      <c r="E365" s="575" t="s">
        <v>1715</v>
      </c>
      <c r="F365" s="561" t="s">
        <v>109</v>
      </c>
      <c r="G365" s="562" t="s">
        <v>937</v>
      </c>
      <c r="H365" s="563" t="s">
        <v>927</v>
      </c>
      <c r="I365" s="578" t="s">
        <v>925</v>
      </c>
      <c r="J365" s="564" t="s">
        <v>757</v>
      </c>
      <c r="K365" s="561">
        <v>28.999999999999996</v>
      </c>
      <c r="L365" s="338"/>
      <c r="M365" s="565">
        <v>144</v>
      </c>
      <c r="N365" s="565">
        <v>7</v>
      </c>
      <c r="O365" s="566">
        <f t="shared" si="16"/>
        <v>4.8611111111111112E-2</v>
      </c>
      <c r="P365" s="567">
        <f t="shared" si="17"/>
        <v>0.16762452107279693</v>
      </c>
      <c r="Q365" s="568">
        <f t="shared" si="15"/>
        <v>0.16762452107279696</v>
      </c>
      <c r="R365" s="675"/>
    </row>
    <row r="366" spans="1:18" x14ac:dyDescent="0.2">
      <c r="A366" s="558" t="s">
        <v>277</v>
      </c>
      <c r="B366" s="559" t="s">
        <v>914</v>
      </c>
      <c r="C366" s="573" t="s">
        <v>303</v>
      </c>
      <c r="D366" s="327" t="s">
        <v>292</v>
      </c>
      <c r="E366" s="575" t="s">
        <v>1844</v>
      </c>
      <c r="F366" s="561" t="s">
        <v>109</v>
      </c>
      <c r="G366" s="562" t="s">
        <v>937</v>
      </c>
      <c r="H366" s="563" t="s">
        <v>924</v>
      </c>
      <c r="I366" s="578" t="s">
        <v>925</v>
      </c>
      <c r="J366" s="564" t="s">
        <v>757</v>
      </c>
      <c r="K366" s="561">
        <v>8</v>
      </c>
      <c r="L366" s="338"/>
      <c r="M366" s="565">
        <v>42</v>
      </c>
      <c r="N366" s="565">
        <v>6</v>
      </c>
      <c r="O366" s="566">
        <f t="shared" si="16"/>
        <v>0.14285714285714285</v>
      </c>
      <c r="P366" s="567">
        <f t="shared" si="17"/>
        <v>1.7857142857142858</v>
      </c>
      <c r="Q366" s="568">
        <f t="shared" si="15"/>
        <v>1.7857142857142858</v>
      </c>
      <c r="R366" s="675"/>
    </row>
    <row r="367" spans="1:18" x14ac:dyDescent="0.2">
      <c r="A367" s="558" t="s">
        <v>277</v>
      </c>
      <c r="B367" s="559" t="s">
        <v>914</v>
      </c>
      <c r="C367" s="573" t="s">
        <v>303</v>
      </c>
      <c r="D367" s="327" t="s">
        <v>294</v>
      </c>
      <c r="E367" s="575" t="s">
        <v>1844</v>
      </c>
      <c r="F367" s="561" t="s">
        <v>109</v>
      </c>
      <c r="G367" s="562" t="s">
        <v>937</v>
      </c>
      <c r="H367" s="563" t="s">
        <v>924</v>
      </c>
      <c r="I367" s="578" t="s">
        <v>925</v>
      </c>
      <c r="J367" s="564" t="s">
        <v>757</v>
      </c>
      <c r="K367" s="561">
        <v>0</v>
      </c>
      <c r="L367" s="338" t="s">
        <v>926</v>
      </c>
      <c r="M367" s="565">
        <v>10</v>
      </c>
      <c r="N367" s="565">
        <v>0</v>
      </c>
      <c r="O367" s="566">
        <f t="shared" si="16"/>
        <v>0</v>
      </c>
      <c r="P367" s="567">
        <f t="shared" si="17"/>
        <v>0</v>
      </c>
      <c r="Q367" s="568" t="e">
        <f t="shared" si="15"/>
        <v>#DIV/0!</v>
      </c>
      <c r="R367" s="676" t="s">
        <v>926</v>
      </c>
    </row>
    <row r="368" spans="1:18" x14ac:dyDescent="0.2">
      <c r="A368" s="558" t="s">
        <v>277</v>
      </c>
      <c r="B368" s="559" t="s">
        <v>914</v>
      </c>
      <c r="C368" s="573" t="s">
        <v>303</v>
      </c>
      <c r="D368" s="327" t="s">
        <v>282</v>
      </c>
      <c r="E368" s="575" t="s">
        <v>1845</v>
      </c>
      <c r="F368" s="561" t="s">
        <v>109</v>
      </c>
      <c r="G368" s="562" t="s">
        <v>937</v>
      </c>
      <c r="H368" s="563" t="s">
        <v>924</v>
      </c>
      <c r="I368" s="578" t="s">
        <v>925</v>
      </c>
      <c r="J368" s="564" t="s">
        <v>757</v>
      </c>
      <c r="K368" s="561">
        <v>0</v>
      </c>
      <c r="L368" s="338" t="s">
        <v>926</v>
      </c>
      <c r="M368" s="565">
        <v>2</v>
      </c>
      <c r="N368" s="565">
        <v>0</v>
      </c>
      <c r="O368" s="566">
        <f t="shared" si="16"/>
        <v>0</v>
      </c>
      <c r="P368" s="567">
        <f t="shared" si="17"/>
        <v>0</v>
      </c>
      <c r="Q368" s="568" t="e">
        <f t="shared" si="15"/>
        <v>#DIV/0!</v>
      </c>
      <c r="R368" s="676" t="s">
        <v>926</v>
      </c>
    </row>
    <row r="369" spans="1:18" x14ac:dyDescent="0.2">
      <c r="A369" s="558" t="s">
        <v>277</v>
      </c>
      <c r="B369" s="559" t="s">
        <v>914</v>
      </c>
      <c r="C369" s="573" t="s">
        <v>303</v>
      </c>
      <c r="D369" s="327" t="s">
        <v>285</v>
      </c>
      <c r="E369" s="575" t="s">
        <v>1845</v>
      </c>
      <c r="F369" s="561" t="s">
        <v>109</v>
      </c>
      <c r="G369" s="562" t="s">
        <v>937</v>
      </c>
      <c r="H369" s="563" t="s">
        <v>924</v>
      </c>
      <c r="I369" s="578" t="s">
        <v>925</v>
      </c>
      <c r="J369" s="564" t="s">
        <v>757</v>
      </c>
      <c r="K369" s="561">
        <v>0</v>
      </c>
      <c r="L369" s="338" t="s">
        <v>926</v>
      </c>
      <c r="M369" s="565">
        <v>5</v>
      </c>
      <c r="N369" s="565">
        <v>1</v>
      </c>
      <c r="O369" s="566">
        <f t="shared" si="16"/>
        <v>0.2</v>
      </c>
      <c r="P369" s="567">
        <f t="shared" si="17"/>
        <v>0</v>
      </c>
      <c r="Q369" s="568" t="e">
        <f t="shared" si="15"/>
        <v>#DIV/0!</v>
      </c>
      <c r="R369" s="676" t="s">
        <v>926</v>
      </c>
    </row>
    <row r="370" spans="1:18" x14ac:dyDescent="0.2">
      <c r="A370" s="558" t="s">
        <v>277</v>
      </c>
      <c r="B370" s="559" t="s">
        <v>914</v>
      </c>
      <c r="C370" s="573" t="s">
        <v>99</v>
      </c>
      <c r="D370" s="327" t="s">
        <v>300</v>
      </c>
      <c r="E370" s="575" t="s">
        <v>1715</v>
      </c>
      <c r="F370" s="561" t="s">
        <v>109</v>
      </c>
      <c r="G370" s="562" t="s">
        <v>937</v>
      </c>
      <c r="H370" s="563" t="s">
        <v>927</v>
      </c>
      <c r="I370" s="578" t="s">
        <v>925</v>
      </c>
      <c r="J370" s="564" t="s">
        <v>757</v>
      </c>
      <c r="K370" s="561">
        <v>17</v>
      </c>
      <c r="L370" s="338"/>
      <c r="M370" s="565">
        <v>158</v>
      </c>
      <c r="N370" s="565">
        <v>15</v>
      </c>
      <c r="O370" s="566">
        <f t="shared" si="16"/>
        <v>9.49367088607595E-2</v>
      </c>
      <c r="P370" s="567">
        <f t="shared" si="17"/>
        <v>0.5584512285927028</v>
      </c>
      <c r="Q370" s="568">
        <f t="shared" si="15"/>
        <v>0.55845122859270291</v>
      </c>
      <c r="R370" s="675"/>
    </row>
    <row r="371" spans="1:18" x14ac:dyDescent="0.2">
      <c r="A371" s="558" t="s">
        <v>277</v>
      </c>
      <c r="B371" s="559" t="s">
        <v>914</v>
      </c>
      <c r="C371" s="573" t="s">
        <v>99</v>
      </c>
      <c r="D371" s="327" t="s">
        <v>292</v>
      </c>
      <c r="E371" s="575" t="s">
        <v>1715</v>
      </c>
      <c r="F371" s="561" t="s">
        <v>109</v>
      </c>
      <c r="G371" s="562" t="s">
        <v>937</v>
      </c>
      <c r="H371" s="563" t="s">
        <v>924</v>
      </c>
      <c r="I371" s="578" t="s">
        <v>925</v>
      </c>
      <c r="J371" s="564" t="s">
        <v>757</v>
      </c>
      <c r="K371" s="561">
        <v>36</v>
      </c>
      <c r="L371" s="338"/>
      <c r="M371" s="565">
        <v>7</v>
      </c>
      <c r="N371" s="565">
        <v>1</v>
      </c>
      <c r="O371" s="566">
        <f t="shared" si="16"/>
        <v>0.14285714285714285</v>
      </c>
      <c r="P371" s="567">
        <f t="shared" si="17"/>
        <v>0.3968253968253968</v>
      </c>
      <c r="Q371" s="568">
        <f t="shared" si="15"/>
        <v>0.3968253968253968</v>
      </c>
      <c r="R371" s="675"/>
    </row>
    <row r="372" spans="1:18" x14ac:dyDescent="0.2">
      <c r="A372" s="558" t="s">
        <v>277</v>
      </c>
      <c r="B372" s="559" t="s">
        <v>914</v>
      </c>
      <c r="C372" s="573" t="s">
        <v>99</v>
      </c>
      <c r="D372" s="327" t="s">
        <v>294</v>
      </c>
      <c r="E372" s="575" t="s">
        <v>1846</v>
      </c>
      <c r="F372" s="561" t="s">
        <v>109</v>
      </c>
      <c r="G372" s="562" t="s">
        <v>937</v>
      </c>
      <c r="H372" s="563" t="s">
        <v>924</v>
      </c>
      <c r="I372" s="578" t="s">
        <v>925</v>
      </c>
      <c r="J372" s="564" t="s">
        <v>757</v>
      </c>
      <c r="K372" s="561">
        <v>80</v>
      </c>
      <c r="L372" s="338"/>
      <c r="M372" s="565">
        <v>8</v>
      </c>
      <c r="N372" s="565">
        <v>3</v>
      </c>
      <c r="O372" s="566">
        <f t="shared" si="16"/>
        <v>0.375</v>
      </c>
      <c r="P372" s="567">
        <f t="shared" si="17"/>
        <v>0.46875</v>
      </c>
      <c r="Q372" s="568">
        <f t="shared" si="15"/>
        <v>0.46875</v>
      </c>
      <c r="R372" s="675"/>
    </row>
    <row r="373" spans="1:18" x14ac:dyDescent="0.2">
      <c r="A373" s="558" t="s">
        <v>277</v>
      </c>
      <c r="B373" s="559" t="s">
        <v>914</v>
      </c>
      <c r="C373" s="573" t="s">
        <v>99</v>
      </c>
      <c r="D373" s="327" t="s">
        <v>282</v>
      </c>
      <c r="E373" s="575" t="s">
        <v>1846</v>
      </c>
      <c r="F373" s="561" t="s">
        <v>109</v>
      </c>
      <c r="G373" s="562" t="s">
        <v>937</v>
      </c>
      <c r="H373" s="563" t="s">
        <v>924</v>
      </c>
      <c r="I373" s="578" t="s">
        <v>925</v>
      </c>
      <c r="J373" s="564" t="s">
        <v>757</v>
      </c>
      <c r="K373" s="561">
        <v>0</v>
      </c>
      <c r="L373" s="338" t="s">
        <v>926</v>
      </c>
      <c r="M373" s="565">
        <v>4</v>
      </c>
      <c r="N373" s="565">
        <v>1</v>
      </c>
      <c r="O373" s="566">
        <f t="shared" si="16"/>
        <v>0.25</v>
      </c>
      <c r="P373" s="567">
        <f t="shared" si="17"/>
        <v>0</v>
      </c>
      <c r="Q373" s="568" t="e">
        <f t="shared" si="15"/>
        <v>#DIV/0!</v>
      </c>
      <c r="R373" s="676" t="s">
        <v>926</v>
      </c>
    </row>
    <row r="374" spans="1:18" x14ac:dyDescent="0.2">
      <c r="A374" s="558" t="s">
        <v>277</v>
      </c>
      <c r="B374" s="559" t="s">
        <v>914</v>
      </c>
      <c r="C374" s="573" t="s">
        <v>99</v>
      </c>
      <c r="D374" s="327" t="s">
        <v>285</v>
      </c>
      <c r="E374" s="575" t="s">
        <v>1846</v>
      </c>
      <c r="F374" s="561" t="s">
        <v>109</v>
      </c>
      <c r="G374" s="562" t="s">
        <v>937</v>
      </c>
      <c r="H374" s="563" t="s">
        <v>924</v>
      </c>
      <c r="I374" s="578" t="s">
        <v>925</v>
      </c>
      <c r="J374" s="564" t="s">
        <v>757</v>
      </c>
      <c r="K374" s="561">
        <v>0</v>
      </c>
      <c r="L374" s="338" t="s">
        <v>926</v>
      </c>
      <c r="M374" s="565">
        <v>1</v>
      </c>
      <c r="N374" s="565">
        <v>0</v>
      </c>
      <c r="O374" s="566">
        <f t="shared" si="16"/>
        <v>0</v>
      </c>
      <c r="P374" s="567">
        <f t="shared" si="17"/>
        <v>0</v>
      </c>
      <c r="Q374" s="568" t="e">
        <f t="shared" si="15"/>
        <v>#DIV/0!</v>
      </c>
      <c r="R374" s="676" t="s">
        <v>926</v>
      </c>
    </row>
    <row r="375" spans="1:18" x14ac:dyDescent="0.2">
      <c r="A375" s="558" t="s">
        <v>277</v>
      </c>
      <c r="B375" s="559" t="s">
        <v>914</v>
      </c>
      <c r="C375" s="573" t="s">
        <v>296</v>
      </c>
      <c r="D375" s="327" t="s">
        <v>300</v>
      </c>
      <c r="E375" s="575" t="s">
        <v>1847</v>
      </c>
      <c r="F375" s="561" t="s">
        <v>109</v>
      </c>
      <c r="G375" s="562" t="s">
        <v>937</v>
      </c>
      <c r="H375" s="563" t="s">
        <v>927</v>
      </c>
      <c r="I375" s="578" t="s">
        <v>925</v>
      </c>
      <c r="J375" s="564" t="s">
        <v>757</v>
      </c>
      <c r="K375" s="561">
        <v>13</v>
      </c>
      <c r="L375" s="338"/>
      <c r="M375" s="565">
        <v>0</v>
      </c>
      <c r="N375" s="565">
        <v>0</v>
      </c>
      <c r="O375" s="566">
        <f t="shared" si="16"/>
        <v>0</v>
      </c>
      <c r="P375" s="567">
        <f t="shared" si="17"/>
        <v>0</v>
      </c>
      <c r="Q375" s="568" t="e">
        <f t="shared" si="15"/>
        <v>#DIV/0!</v>
      </c>
      <c r="R375" s="676" t="s">
        <v>1919</v>
      </c>
    </row>
    <row r="376" spans="1:18" x14ac:dyDescent="0.2">
      <c r="A376" s="558" t="s">
        <v>277</v>
      </c>
      <c r="B376" s="559" t="s">
        <v>914</v>
      </c>
      <c r="C376" s="573" t="s">
        <v>296</v>
      </c>
      <c r="D376" s="327" t="s">
        <v>292</v>
      </c>
      <c r="E376" s="575" t="s">
        <v>1847</v>
      </c>
      <c r="F376" s="561" t="s">
        <v>109</v>
      </c>
      <c r="G376" s="562" t="s">
        <v>937</v>
      </c>
      <c r="H376" s="563" t="s">
        <v>924</v>
      </c>
      <c r="I376" s="578" t="s">
        <v>925</v>
      </c>
      <c r="J376" s="564" t="s">
        <v>757</v>
      </c>
      <c r="K376" s="561">
        <v>0</v>
      </c>
      <c r="L376" s="338" t="s">
        <v>926</v>
      </c>
      <c r="M376" s="565">
        <v>3</v>
      </c>
      <c r="N376" s="565">
        <v>1</v>
      </c>
      <c r="O376" s="566">
        <f t="shared" si="16"/>
        <v>0.33333333333333331</v>
      </c>
      <c r="P376" s="567">
        <f t="shared" si="17"/>
        <v>0</v>
      </c>
      <c r="Q376" s="568" t="e">
        <f t="shared" si="15"/>
        <v>#DIV/0!</v>
      </c>
      <c r="R376" s="676" t="s">
        <v>926</v>
      </c>
    </row>
    <row r="377" spans="1:18" x14ac:dyDescent="0.2">
      <c r="A377" s="558" t="s">
        <v>277</v>
      </c>
      <c r="B377" s="559" t="s">
        <v>914</v>
      </c>
      <c r="C377" s="573" t="s">
        <v>296</v>
      </c>
      <c r="D377" s="327" t="s">
        <v>294</v>
      </c>
      <c r="E377" s="575" t="s">
        <v>1848</v>
      </c>
      <c r="F377" s="561" t="s">
        <v>109</v>
      </c>
      <c r="G377" s="562" t="s">
        <v>937</v>
      </c>
      <c r="H377" s="563" t="s">
        <v>924</v>
      </c>
      <c r="I377" s="578" t="s">
        <v>925</v>
      </c>
      <c r="J377" s="564" t="s">
        <v>757</v>
      </c>
      <c r="K377" s="561">
        <v>0</v>
      </c>
      <c r="L377" s="338" t="s">
        <v>926</v>
      </c>
      <c r="M377" s="565">
        <v>1</v>
      </c>
      <c r="N377" s="565">
        <v>0</v>
      </c>
      <c r="O377" s="566">
        <f t="shared" si="16"/>
        <v>0</v>
      </c>
      <c r="P377" s="567">
        <f t="shared" si="17"/>
        <v>0</v>
      </c>
      <c r="Q377" s="568" t="e">
        <f t="shared" si="15"/>
        <v>#DIV/0!</v>
      </c>
      <c r="R377" s="676" t="s">
        <v>926</v>
      </c>
    </row>
    <row r="378" spans="1:18" x14ac:dyDescent="0.2">
      <c r="A378" s="558" t="s">
        <v>277</v>
      </c>
      <c r="B378" s="559" t="s">
        <v>914</v>
      </c>
      <c r="C378" s="573" t="s">
        <v>296</v>
      </c>
      <c r="D378" s="327" t="s">
        <v>282</v>
      </c>
      <c r="E378" s="575" t="s">
        <v>1848</v>
      </c>
      <c r="F378" s="561" t="s">
        <v>109</v>
      </c>
      <c r="G378" s="562" t="s">
        <v>937</v>
      </c>
      <c r="H378" s="563" t="s">
        <v>924</v>
      </c>
      <c r="I378" s="578" t="s">
        <v>925</v>
      </c>
      <c r="J378" s="564" t="s">
        <v>757</v>
      </c>
      <c r="K378" s="561">
        <v>0</v>
      </c>
      <c r="L378" s="338" t="s">
        <v>926</v>
      </c>
      <c r="M378" s="565">
        <v>2</v>
      </c>
      <c r="N378" s="565">
        <v>1</v>
      </c>
      <c r="O378" s="566">
        <f t="shared" si="16"/>
        <v>0.5</v>
      </c>
      <c r="P378" s="567">
        <f t="shared" si="17"/>
        <v>0</v>
      </c>
      <c r="Q378" s="568" t="e">
        <f t="shared" si="15"/>
        <v>#DIV/0!</v>
      </c>
      <c r="R378" s="676" t="s">
        <v>926</v>
      </c>
    </row>
    <row r="379" spans="1:18" x14ac:dyDescent="0.2">
      <c r="A379" s="558" t="s">
        <v>277</v>
      </c>
      <c r="B379" s="559" t="s">
        <v>914</v>
      </c>
      <c r="C379" s="573" t="s">
        <v>296</v>
      </c>
      <c r="D379" s="327" t="s">
        <v>285</v>
      </c>
      <c r="E379" s="575" t="s">
        <v>1715</v>
      </c>
      <c r="F379" s="561" t="s">
        <v>109</v>
      </c>
      <c r="G379" s="562" t="s">
        <v>937</v>
      </c>
      <c r="H379" s="563" t="s">
        <v>924</v>
      </c>
      <c r="I379" s="578" t="s">
        <v>925</v>
      </c>
      <c r="J379" s="564" t="s">
        <v>757</v>
      </c>
      <c r="K379" s="561">
        <v>25</v>
      </c>
      <c r="L379" s="338"/>
      <c r="M379" s="565">
        <v>11</v>
      </c>
      <c r="N379" s="565">
        <v>3</v>
      </c>
      <c r="O379" s="566">
        <f t="shared" si="16"/>
        <v>0.27272727272727271</v>
      </c>
      <c r="P379" s="567">
        <f t="shared" si="17"/>
        <v>1.0909090909090908</v>
      </c>
      <c r="Q379" s="568">
        <f t="shared" si="15"/>
        <v>1.0909090909090908</v>
      </c>
      <c r="R379" s="675"/>
    </row>
    <row r="380" spans="1:18" x14ac:dyDescent="0.2">
      <c r="A380" s="558" t="s">
        <v>277</v>
      </c>
      <c r="B380" s="559" t="s">
        <v>914</v>
      </c>
      <c r="C380" s="573" t="s">
        <v>296</v>
      </c>
      <c r="D380" s="327" t="s">
        <v>298</v>
      </c>
      <c r="E380" s="575" t="s">
        <v>1715</v>
      </c>
      <c r="F380" s="561" t="s">
        <v>109</v>
      </c>
      <c r="G380" s="562" t="s">
        <v>937</v>
      </c>
      <c r="H380" s="563" t="s">
        <v>924</v>
      </c>
      <c r="I380" s="578" t="s">
        <v>925</v>
      </c>
      <c r="J380" s="564" t="s">
        <v>757</v>
      </c>
      <c r="K380" s="561">
        <v>10</v>
      </c>
      <c r="L380" s="338"/>
      <c r="M380" s="565">
        <v>20</v>
      </c>
      <c r="N380" s="565">
        <v>7</v>
      </c>
      <c r="O380" s="566">
        <f t="shared" si="16"/>
        <v>0.35</v>
      </c>
      <c r="P380" s="567">
        <f t="shared" si="17"/>
        <v>3.5</v>
      </c>
      <c r="Q380" s="568">
        <f t="shared" si="15"/>
        <v>3.5</v>
      </c>
      <c r="R380" s="675"/>
    </row>
    <row r="381" spans="1:18" x14ac:dyDescent="0.2">
      <c r="A381" s="558" t="s">
        <v>277</v>
      </c>
      <c r="B381" s="559" t="s">
        <v>914</v>
      </c>
      <c r="C381" s="573" t="s">
        <v>316</v>
      </c>
      <c r="D381" s="327" t="s">
        <v>292</v>
      </c>
      <c r="E381" s="575" t="s">
        <v>1849</v>
      </c>
      <c r="F381" s="561" t="s">
        <v>109</v>
      </c>
      <c r="G381" s="562" t="s">
        <v>937</v>
      </c>
      <c r="H381" s="563" t="s">
        <v>924</v>
      </c>
      <c r="I381" s="578" t="s">
        <v>925</v>
      </c>
      <c r="J381" s="564" t="s">
        <v>757</v>
      </c>
      <c r="K381" s="561">
        <v>0</v>
      </c>
      <c r="L381" s="338" t="s">
        <v>926</v>
      </c>
      <c r="M381" s="565">
        <v>0</v>
      </c>
      <c r="N381" s="565">
        <v>0</v>
      </c>
      <c r="O381" s="566">
        <f t="shared" si="16"/>
        <v>0</v>
      </c>
      <c r="P381" s="567">
        <f t="shared" si="17"/>
        <v>0</v>
      </c>
      <c r="Q381" s="568" t="e">
        <f t="shared" si="15"/>
        <v>#DIV/0!</v>
      </c>
      <c r="R381" s="676" t="s">
        <v>1919</v>
      </c>
    </row>
    <row r="382" spans="1:18" x14ac:dyDescent="0.2">
      <c r="A382" s="558" t="s">
        <v>277</v>
      </c>
      <c r="B382" s="559" t="s">
        <v>914</v>
      </c>
      <c r="C382" s="573" t="s">
        <v>316</v>
      </c>
      <c r="D382" s="327" t="s">
        <v>294</v>
      </c>
      <c r="E382" s="575" t="s">
        <v>1849</v>
      </c>
      <c r="F382" s="561" t="s">
        <v>109</v>
      </c>
      <c r="G382" s="562" t="s">
        <v>937</v>
      </c>
      <c r="H382" s="563" t="s">
        <v>924</v>
      </c>
      <c r="I382" s="578" t="s">
        <v>925</v>
      </c>
      <c r="J382" s="564" t="s">
        <v>757</v>
      </c>
      <c r="K382" s="561">
        <v>0</v>
      </c>
      <c r="L382" s="338" t="s">
        <v>926</v>
      </c>
      <c r="M382" s="565">
        <v>0</v>
      </c>
      <c r="N382" s="565">
        <v>0</v>
      </c>
      <c r="O382" s="566">
        <f t="shared" si="16"/>
        <v>0</v>
      </c>
      <c r="P382" s="567">
        <f t="shared" si="17"/>
        <v>0</v>
      </c>
      <c r="Q382" s="568" t="e">
        <f t="shared" si="15"/>
        <v>#DIV/0!</v>
      </c>
      <c r="R382" s="676" t="s">
        <v>1919</v>
      </c>
    </row>
    <row r="383" spans="1:18" x14ac:dyDescent="0.2">
      <c r="A383" s="558" t="s">
        <v>277</v>
      </c>
      <c r="B383" s="559" t="s">
        <v>914</v>
      </c>
      <c r="C383" s="573" t="s">
        <v>308</v>
      </c>
      <c r="D383" s="327" t="s">
        <v>300</v>
      </c>
      <c r="E383" s="575" t="s">
        <v>1715</v>
      </c>
      <c r="F383" s="561" t="s">
        <v>109</v>
      </c>
      <c r="G383" s="562" t="s">
        <v>937</v>
      </c>
      <c r="H383" s="563" t="s">
        <v>927</v>
      </c>
      <c r="I383" s="578" t="s">
        <v>925</v>
      </c>
      <c r="J383" s="564" t="s">
        <v>757</v>
      </c>
      <c r="K383" s="561">
        <v>38</v>
      </c>
      <c r="L383" s="338"/>
      <c r="M383" s="565">
        <v>51</v>
      </c>
      <c r="N383" s="565">
        <v>3</v>
      </c>
      <c r="O383" s="566">
        <f t="shared" si="16"/>
        <v>5.8823529411764705E-2</v>
      </c>
      <c r="P383" s="567">
        <f t="shared" si="17"/>
        <v>0.15479876160990713</v>
      </c>
      <c r="Q383" s="568">
        <f t="shared" si="15"/>
        <v>0.15479876160990713</v>
      </c>
      <c r="R383" s="675"/>
    </row>
    <row r="384" spans="1:18" x14ac:dyDescent="0.2">
      <c r="A384" s="558" t="s">
        <v>277</v>
      </c>
      <c r="B384" s="559" t="s">
        <v>914</v>
      </c>
      <c r="C384" s="573" t="s">
        <v>308</v>
      </c>
      <c r="D384" s="327" t="s">
        <v>292</v>
      </c>
      <c r="E384" s="575" t="s">
        <v>1850</v>
      </c>
      <c r="F384" s="561" t="s">
        <v>109</v>
      </c>
      <c r="G384" s="562" t="s">
        <v>937</v>
      </c>
      <c r="H384" s="563" t="s">
        <v>924</v>
      </c>
      <c r="I384" s="578" t="s">
        <v>925</v>
      </c>
      <c r="J384" s="564" t="s">
        <v>757</v>
      </c>
      <c r="K384" s="561">
        <v>0</v>
      </c>
      <c r="L384" s="338" t="s">
        <v>926</v>
      </c>
      <c r="M384" s="565">
        <v>7</v>
      </c>
      <c r="N384" s="565">
        <v>2</v>
      </c>
      <c r="O384" s="566">
        <f t="shared" si="16"/>
        <v>0.2857142857142857</v>
      </c>
      <c r="P384" s="567">
        <f t="shared" si="17"/>
        <v>0</v>
      </c>
      <c r="Q384" s="568" t="e">
        <f t="shared" si="15"/>
        <v>#DIV/0!</v>
      </c>
      <c r="R384" s="676" t="s">
        <v>926</v>
      </c>
    </row>
    <row r="385" spans="1:18" x14ac:dyDescent="0.2">
      <c r="A385" s="558" t="s">
        <v>277</v>
      </c>
      <c r="B385" s="559" t="s">
        <v>914</v>
      </c>
      <c r="C385" s="573" t="s">
        <v>308</v>
      </c>
      <c r="D385" s="327" t="s">
        <v>294</v>
      </c>
      <c r="E385" s="575" t="s">
        <v>1850</v>
      </c>
      <c r="F385" s="561" t="s">
        <v>109</v>
      </c>
      <c r="G385" s="562" t="s">
        <v>937</v>
      </c>
      <c r="H385" s="563" t="s">
        <v>924</v>
      </c>
      <c r="I385" s="578" t="s">
        <v>925</v>
      </c>
      <c r="J385" s="564" t="s">
        <v>757</v>
      </c>
      <c r="K385" s="561">
        <v>0</v>
      </c>
      <c r="L385" s="338" t="s">
        <v>926</v>
      </c>
      <c r="M385" s="565">
        <v>1</v>
      </c>
      <c r="N385" s="565">
        <v>0</v>
      </c>
      <c r="O385" s="566">
        <f t="shared" si="16"/>
        <v>0</v>
      </c>
      <c r="P385" s="567">
        <f t="shared" si="17"/>
        <v>0</v>
      </c>
      <c r="Q385" s="568" t="e">
        <f t="shared" si="15"/>
        <v>#DIV/0!</v>
      </c>
      <c r="R385" s="676" t="s">
        <v>926</v>
      </c>
    </row>
    <row r="386" spans="1:18" x14ac:dyDescent="0.2">
      <c r="A386" s="558" t="s">
        <v>277</v>
      </c>
      <c r="B386" s="559" t="s">
        <v>914</v>
      </c>
      <c r="C386" s="573" t="s">
        <v>305</v>
      </c>
      <c r="D386" s="327" t="s">
        <v>300</v>
      </c>
      <c r="E386" s="575" t="s">
        <v>1715</v>
      </c>
      <c r="F386" s="561" t="s">
        <v>109</v>
      </c>
      <c r="G386" s="562" t="s">
        <v>937</v>
      </c>
      <c r="H386" s="563" t="s">
        <v>927</v>
      </c>
      <c r="I386" s="578" t="s">
        <v>925</v>
      </c>
      <c r="J386" s="564" t="s">
        <v>757</v>
      </c>
      <c r="K386" s="561">
        <v>5</v>
      </c>
      <c r="L386" s="338"/>
      <c r="M386" s="565">
        <v>568</v>
      </c>
      <c r="N386" s="565">
        <v>24</v>
      </c>
      <c r="O386" s="566">
        <f t="shared" si="16"/>
        <v>4.2253521126760563E-2</v>
      </c>
      <c r="P386" s="567">
        <f t="shared" si="17"/>
        <v>0.84507042253521125</v>
      </c>
      <c r="Q386" s="568">
        <f t="shared" si="15"/>
        <v>0.84507042253521136</v>
      </c>
      <c r="R386" s="675"/>
    </row>
    <row r="387" spans="1:18" x14ac:dyDescent="0.2">
      <c r="A387" s="558" t="s">
        <v>277</v>
      </c>
      <c r="B387" s="559" t="s">
        <v>914</v>
      </c>
      <c r="C387" s="573" t="s">
        <v>305</v>
      </c>
      <c r="D387" s="327" t="s">
        <v>292</v>
      </c>
      <c r="E387" s="575" t="s">
        <v>1715</v>
      </c>
      <c r="F387" s="561" t="s">
        <v>109</v>
      </c>
      <c r="G387" s="562" t="s">
        <v>937</v>
      </c>
      <c r="H387" s="563" t="s">
        <v>924</v>
      </c>
      <c r="I387" s="578" t="s">
        <v>925</v>
      </c>
      <c r="J387" s="564" t="s">
        <v>757</v>
      </c>
      <c r="K387" s="561">
        <v>32</v>
      </c>
      <c r="L387" s="338"/>
      <c r="M387" s="565">
        <v>85</v>
      </c>
      <c r="N387" s="565">
        <v>22</v>
      </c>
      <c r="O387" s="566">
        <f t="shared" si="16"/>
        <v>0.25882352941176473</v>
      </c>
      <c r="P387" s="567">
        <f t="shared" si="17"/>
        <v>0.80882352941176472</v>
      </c>
      <c r="Q387" s="568">
        <f t="shared" si="15"/>
        <v>0.80882352941176472</v>
      </c>
      <c r="R387" s="675"/>
    </row>
    <row r="388" spans="1:18" x14ac:dyDescent="0.2">
      <c r="A388" s="558" t="s">
        <v>277</v>
      </c>
      <c r="B388" s="559" t="s">
        <v>914</v>
      </c>
      <c r="C388" s="573" t="s">
        <v>305</v>
      </c>
      <c r="D388" s="327" t="s">
        <v>294</v>
      </c>
      <c r="E388" s="575" t="s">
        <v>1851</v>
      </c>
      <c r="F388" s="561" t="s">
        <v>109</v>
      </c>
      <c r="G388" s="562" t="s">
        <v>937</v>
      </c>
      <c r="H388" s="563" t="s">
        <v>924</v>
      </c>
      <c r="I388" s="578" t="s">
        <v>925</v>
      </c>
      <c r="J388" s="564" t="s">
        <v>757</v>
      </c>
      <c r="K388" s="561">
        <v>33</v>
      </c>
      <c r="L388" s="338"/>
      <c r="M388" s="565">
        <v>24</v>
      </c>
      <c r="N388" s="565">
        <v>8</v>
      </c>
      <c r="O388" s="566">
        <f t="shared" si="16"/>
        <v>0.33333333333333331</v>
      </c>
      <c r="P388" s="567">
        <f t="shared" si="17"/>
        <v>1.0101010101010102</v>
      </c>
      <c r="Q388" s="568">
        <f t="shared" si="15"/>
        <v>1.0101010101010102</v>
      </c>
      <c r="R388" s="675"/>
    </row>
    <row r="389" spans="1:18" x14ac:dyDescent="0.2">
      <c r="A389" s="558" t="s">
        <v>277</v>
      </c>
      <c r="B389" s="559" t="s">
        <v>914</v>
      </c>
      <c r="C389" s="573" t="s">
        <v>305</v>
      </c>
      <c r="D389" s="327" t="s">
        <v>285</v>
      </c>
      <c r="E389" s="575" t="s">
        <v>1851</v>
      </c>
      <c r="F389" s="561" t="s">
        <v>109</v>
      </c>
      <c r="G389" s="562" t="s">
        <v>937</v>
      </c>
      <c r="H389" s="563" t="s">
        <v>924</v>
      </c>
      <c r="I389" s="578" t="s">
        <v>925</v>
      </c>
      <c r="J389" s="564" t="s">
        <v>757</v>
      </c>
      <c r="K389" s="561">
        <v>0</v>
      </c>
      <c r="L389" s="338" t="s">
        <v>926</v>
      </c>
      <c r="M389" s="565">
        <v>2</v>
      </c>
      <c r="N389" s="565">
        <v>1</v>
      </c>
      <c r="O389" s="566">
        <f t="shared" si="16"/>
        <v>0.5</v>
      </c>
      <c r="P389" s="567">
        <f t="shared" si="17"/>
        <v>0</v>
      </c>
      <c r="Q389" s="568" t="e">
        <f t="shared" ref="Q389:Q452" si="18">N389/(M389*K389/100)</f>
        <v>#DIV/0!</v>
      </c>
      <c r="R389" s="676" t="s">
        <v>926</v>
      </c>
    </row>
    <row r="390" spans="1:18" x14ac:dyDescent="0.2">
      <c r="A390" s="558" t="s">
        <v>277</v>
      </c>
      <c r="B390" s="559" t="s">
        <v>914</v>
      </c>
      <c r="C390" s="573" t="s">
        <v>97</v>
      </c>
      <c r="D390" s="327" t="s">
        <v>282</v>
      </c>
      <c r="E390" s="575" t="s">
        <v>1843</v>
      </c>
      <c r="F390" s="561" t="s">
        <v>109</v>
      </c>
      <c r="G390" s="562" t="s">
        <v>938</v>
      </c>
      <c r="H390" s="563" t="s">
        <v>924</v>
      </c>
      <c r="I390" s="578" t="s">
        <v>925</v>
      </c>
      <c r="J390" s="564" t="s">
        <v>757</v>
      </c>
      <c r="K390" s="561">
        <v>33</v>
      </c>
      <c r="L390" s="327" t="s">
        <v>922</v>
      </c>
      <c r="M390" s="565">
        <v>6</v>
      </c>
      <c r="N390" s="579">
        <v>0</v>
      </c>
      <c r="O390" s="566">
        <f t="shared" ref="O390:O453" si="19">IFERROR(N390/M390,0)</f>
        <v>0</v>
      </c>
      <c r="P390" s="567">
        <f t="shared" ref="P390:P453" si="20">IFERROR(N390/(M390*(K390/100)),0)</f>
        <v>0</v>
      </c>
      <c r="Q390" s="568">
        <f t="shared" si="18"/>
        <v>0</v>
      </c>
      <c r="R390" s="675"/>
    </row>
    <row r="391" spans="1:18" x14ac:dyDescent="0.2">
      <c r="A391" s="558" t="s">
        <v>277</v>
      </c>
      <c r="B391" s="559" t="s">
        <v>914</v>
      </c>
      <c r="C391" s="573" t="s">
        <v>97</v>
      </c>
      <c r="D391" s="327" t="s">
        <v>285</v>
      </c>
      <c r="E391" s="575" t="s">
        <v>1843</v>
      </c>
      <c r="F391" s="561" t="s">
        <v>109</v>
      </c>
      <c r="G391" s="562" t="s">
        <v>938</v>
      </c>
      <c r="H391" s="563" t="s">
        <v>924</v>
      </c>
      <c r="I391" s="578" t="s">
        <v>925</v>
      </c>
      <c r="J391" s="564" t="s">
        <v>757</v>
      </c>
      <c r="K391" s="561">
        <v>0</v>
      </c>
      <c r="L391" s="338" t="s">
        <v>926</v>
      </c>
      <c r="M391" s="565">
        <v>8</v>
      </c>
      <c r="N391" s="579">
        <v>0</v>
      </c>
      <c r="O391" s="566">
        <f t="shared" si="19"/>
        <v>0</v>
      </c>
      <c r="P391" s="567">
        <f t="shared" si="20"/>
        <v>0</v>
      </c>
      <c r="Q391" s="568" t="e">
        <f t="shared" si="18"/>
        <v>#DIV/0!</v>
      </c>
      <c r="R391" s="676" t="s">
        <v>926</v>
      </c>
    </row>
    <row r="392" spans="1:18" x14ac:dyDescent="0.2">
      <c r="A392" s="558" t="s">
        <v>277</v>
      </c>
      <c r="B392" s="559" t="s">
        <v>914</v>
      </c>
      <c r="C392" s="573" t="s">
        <v>286</v>
      </c>
      <c r="D392" s="327" t="s">
        <v>300</v>
      </c>
      <c r="E392" s="575" t="s">
        <v>1715</v>
      </c>
      <c r="F392" s="561" t="s">
        <v>109</v>
      </c>
      <c r="G392" s="562" t="s">
        <v>938</v>
      </c>
      <c r="H392" s="563" t="s">
        <v>927</v>
      </c>
      <c r="I392" s="578" t="s">
        <v>925</v>
      </c>
      <c r="J392" s="564" t="s">
        <v>757</v>
      </c>
      <c r="K392" s="561">
        <v>0</v>
      </c>
      <c r="L392" s="338" t="s">
        <v>926</v>
      </c>
      <c r="M392" s="565">
        <v>39</v>
      </c>
      <c r="N392" s="579">
        <v>0</v>
      </c>
      <c r="O392" s="566">
        <f t="shared" si="19"/>
        <v>0</v>
      </c>
      <c r="P392" s="567">
        <f t="shared" si="20"/>
        <v>0</v>
      </c>
      <c r="Q392" s="568" t="e">
        <f t="shared" si="18"/>
        <v>#DIV/0!</v>
      </c>
      <c r="R392" s="676" t="s">
        <v>926</v>
      </c>
    </row>
    <row r="393" spans="1:18" x14ac:dyDescent="0.2">
      <c r="A393" s="558" t="s">
        <v>277</v>
      </c>
      <c r="B393" s="559" t="s">
        <v>914</v>
      </c>
      <c r="C393" s="573" t="s">
        <v>286</v>
      </c>
      <c r="D393" s="327" t="s">
        <v>292</v>
      </c>
      <c r="E393" s="575" t="s">
        <v>1715</v>
      </c>
      <c r="F393" s="561" t="s">
        <v>109</v>
      </c>
      <c r="G393" s="562" t="s">
        <v>938</v>
      </c>
      <c r="H393" s="563" t="s">
        <v>924</v>
      </c>
      <c r="I393" s="578" t="s">
        <v>925</v>
      </c>
      <c r="J393" s="564" t="s">
        <v>757</v>
      </c>
      <c r="K393" s="561">
        <v>26</v>
      </c>
      <c r="L393" s="327" t="s">
        <v>922</v>
      </c>
      <c r="M393" s="565">
        <v>12</v>
      </c>
      <c r="N393" s="579">
        <v>0</v>
      </c>
      <c r="O393" s="566">
        <f t="shared" si="19"/>
        <v>0</v>
      </c>
      <c r="P393" s="567">
        <f t="shared" si="20"/>
        <v>0</v>
      </c>
      <c r="Q393" s="568">
        <f t="shared" si="18"/>
        <v>0</v>
      </c>
      <c r="R393" s="675"/>
    </row>
    <row r="394" spans="1:18" x14ac:dyDescent="0.2">
      <c r="A394" s="558" t="s">
        <v>277</v>
      </c>
      <c r="B394" s="559" t="s">
        <v>914</v>
      </c>
      <c r="C394" s="573" t="s">
        <v>286</v>
      </c>
      <c r="D394" s="327" t="s">
        <v>294</v>
      </c>
      <c r="E394" s="575" t="s">
        <v>1715</v>
      </c>
      <c r="F394" s="561" t="s">
        <v>109</v>
      </c>
      <c r="G394" s="562" t="s">
        <v>938</v>
      </c>
      <c r="H394" s="563" t="s">
        <v>924</v>
      </c>
      <c r="I394" s="578" t="s">
        <v>925</v>
      </c>
      <c r="J394" s="564" t="s">
        <v>757</v>
      </c>
      <c r="K394" s="561">
        <v>16</v>
      </c>
      <c r="L394" s="327" t="s">
        <v>922</v>
      </c>
      <c r="M394" s="565">
        <v>40</v>
      </c>
      <c r="N394" s="579">
        <v>0</v>
      </c>
      <c r="O394" s="566">
        <f t="shared" si="19"/>
        <v>0</v>
      </c>
      <c r="P394" s="567">
        <f t="shared" si="20"/>
        <v>0</v>
      </c>
      <c r="Q394" s="568">
        <f t="shared" si="18"/>
        <v>0</v>
      </c>
      <c r="R394" s="675"/>
    </row>
    <row r="395" spans="1:18" x14ac:dyDescent="0.2">
      <c r="A395" s="558" t="s">
        <v>277</v>
      </c>
      <c r="B395" s="559" t="s">
        <v>914</v>
      </c>
      <c r="C395" s="573" t="s">
        <v>286</v>
      </c>
      <c r="D395" s="327" t="s">
        <v>282</v>
      </c>
      <c r="E395" s="575" t="s">
        <v>1715</v>
      </c>
      <c r="F395" s="561" t="s">
        <v>109</v>
      </c>
      <c r="G395" s="562" t="s">
        <v>938</v>
      </c>
      <c r="H395" s="563" t="s">
        <v>924</v>
      </c>
      <c r="I395" s="578" t="s">
        <v>925</v>
      </c>
      <c r="J395" s="564" t="s">
        <v>757</v>
      </c>
      <c r="K395" s="561">
        <v>6</v>
      </c>
      <c r="L395" s="327" t="s">
        <v>922</v>
      </c>
      <c r="M395" s="565">
        <v>68</v>
      </c>
      <c r="N395" s="579">
        <v>0</v>
      </c>
      <c r="O395" s="566">
        <f t="shared" si="19"/>
        <v>0</v>
      </c>
      <c r="P395" s="567">
        <f t="shared" si="20"/>
        <v>0</v>
      </c>
      <c r="Q395" s="568">
        <f t="shared" si="18"/>
        <v>0</v>
      </c>
      <c r="R395" s="675"/>
    </row>
    <row r="396" spans="1:18" x14ac:dyDescent="0.2">
      <c r="A396" s="558" t="s">
        <v>277</v>
      </c>
      <c r="B396" s="559" t="s">
        <v>914</v>
      </c>
      <c r="C396" s="573" t="s">
        <v>286</v>
      </c>
      <c r="D396" s="327" t="s">
        <v>285</v>
      </c>
      <c r="E396" s="575" t="s">
        <v>1715</v>
      </c>
      <c r="F396" s="561" t="s">
        <v>109</v>
      </c>
      <c r="G396" s="562" t="s">
        <v>938</v>
      </c>
      <c r="H396" s="563" t="s">
        <v>924</v>
      </c>
      <c r="I396" s="578" t="s">
        <v>925</v>
      </c>
      <c r="J396" s="564" t="s">
        <v>757</v>
      </c>
      <c r="K396" s="561">
        <v>8</v>
      </c>
      <c r="L396" s="327" t="s">
        <v>922</v>
      </c>
      <c r="M396" s="565">
        <v>47</v>
      </c>
      <c r="N396" s="579">
        <v>0</v>
      </c>
      <c r="O396" s="566">
        <f t="shared" si="19"/>
        <v>0</v>
      </c>
      <c r="P396" s="567">
        <f t="shared" si="20"/>
        <v>0</v>
      </c>
      <c r="Q396" s="568">
        <f t="shared" si="18"/>
        <v>0</v>
      </c>
      <c r="R396" s="675"/>
    </row>
    <row r="397" spans="1:18" x14ac:dyDescent="0.2">
      <c r="A397" s="558" t="s">
        <v>277</v>
      </c>
      <c r="B397" s="559" t="s">
        <v>914</v>
      </c>
      <c r="C397" s="573" t="s">
        <v>303</v>
      </c>
      <c r="D397" s="327" t="s">
        <v>300</v>
      </c>
      <c r="E397" s="575" t="s">
        <v>1715</v>
      </c>
      <c r="F397" s="561" t="s">
        <v>109</v>
      </c>
      <c r="G397" s="562" t="s">
        <v>938</v>
      </c>
      <c r="H397" s="563" t="s">
        <v>927</v>
      </c>
      <c r="I397" s="578" t="s">
        <v>925</v>
      </c>
      <c r="J397" s="564" t="s">
        <v>757</v>
      </c>
      <c r="K397" s="561">
        <v>28.999999999999996</v>
      </c>
      <c r="L397" s="327" t="s">
        <v>922</v>
      </c>
      <c r="M397" s="565">
        <v>144</v>
      </c>
      <c r="N397" s="579">
        <v>0</v>
      </c>
      <c r="O397" s="566">
        <f t="shared" si="19"/>
        <v>0</v>
      </c>
      <c r="P397" s="567">
        <f t="shared" si="20"/>
        <v>0</v>
      </c>
      <c r="Q397" s="568">
        <f t="shared" si="18"/>
        <v>0</v>
      </c>
      <c r="R397" s="675"/>
    </row>
    <row r="398" spans="1:18" x14ac:dyDescent="0.2">
      <c r="A398" s="558" t="s">
        <v>277</v>
      </c>
      <c r="B398" s="559" t="s">
        <v>914</v>
      </c>
      <c r="C398" s="573" t="s">
        <v>303</v>
      </c>
      <c r="D398" s="327" t="s">
        <v>292</v>
      </c>
      <c r="E398" s="575" t="s">
        <v>1844</v>
      </c>
      <c r="F398" s="561" t="s">
        <v>109</v>
      </c>
      <c r="G398" s="562" t="s">
        <v>938</v>
      </c>
      <c r="H398" s="563" t="s">
        <v>924</v>
      </c>
      <c r="I398" s="578" t="s">
        <v>925</v>
      </c>
      <c r="J398" s="564" t="s">
        <v>757</v>
      </c>
      <c r="K398" s="561">
        <v>8</v>
      </c>
      <c r="L398" s="327" t="s">
        <v>922</v>
      </c>
      <c r="M398" s="565">
        <v>42</v>
      </c>
      <c r="N398" s="579">
        <v>0</v>
      </c>
      <c r="O398" s="566">
        <f t="shared" si="19"/>
        <v>0</v>
      </c>
      <c r="P398" s="567">
        <f t="shared" si="20"/>
        <v>0</v>
      </c>
      <c r="Q398" s="568">
        <f t="shared" si="18"/>
        <v>0</v>
      </c>
      <c r="R398" s="675"/>
    </row>
    <row r="399" spans="1:18" x14ac:dyDescent="0.2">
      <c r="A399" s="558" t="s">
        <v>277</v>
      </c>
      <c r="B399" s="559" t="s">
        <v>914</v>
      </c>
      <c r="C399" s="573" t="s">
        <v>303</v>
      </c>
      <c r="D399" s="327" t="s">
        <v>294</v>
      </c>
      <c r="E399" s="575" t="s">
        <v>1844</v>
      </c>
      <c r="F399" s="561" t="s">
        <v>109</v>
      </c>
      <c r="G399" s="562" t="s">
        <v>938</v>
      </c>
      <c r="H399" s="563" t="s">
        <v>924</v>
      </c>
      <c r="I399" s="578" t="s">
        <v>925</v>
      </c>
      <c r="J399" s="564" t="s">
        <v>757</v>
      </c>
      <c r="K399" s="561">
        <v>0</v>
      </c>
      <c r="L399" s="338" t="s">
        <v>926</v>
      </c>
      <c r="M399" s="565">
        <v>10</v>
      </c>
      <c r="N399" s="579">
        <v>0</v>
      </c>
      <c r="O399" s="566">
        <f t="shared" si="19"/>
        <v>0</v>
      </c>
      <c r="P399" s="567">
        <f t="shared" si="20"/>
        <v>0</v>
      </c>
      <c r="Q399" s="568" t="e">
        <f t="shared" si="18"/>
        <v>#DIV/0!</v>
      </c>
      <c r="R399" s="676" t="s">
        <v>926</v>
      </c>
    </row>
    <row r="400" spans="1:18" x14ac:dyDescent="0.2">
      <c r="A400" s="558" t="s">
        <v>277</v>
      </c>
      <c r="B400" s="559" t="s">
        <v>914</v>
      </c>
      <c r="C400" s="573" t="s">
        <v>303</v>
      </c>
      <c r="D400" s="327" t="s">
        <v>282</v>
      </c>
      <c r="E400" s="575" t="s">
        <v>1845</v>
      </c>
      <c r="F400" s="561" t="s">
        <v>109</v>
      </c>
      <c r="G400" s="562" t="s">
        <v>938</v>
      </c>
      <c r="H400" s="563" t="s">
        <v>924</v>
      </c>
      <c r="I400" s="578" t="s">
        <v>925</v>
      </c>
      <c r="J400" s="564" t="s">
        <v>757</v>
      </c>
      <c r="K400" s="561">
        <v>0</v>
      </c>
      <c r="L400" s="338" t="s">
        <v>926</v>
      </c>
      <c r="M400" s="565">
        <v>2</v>
      </c>
      <c r="N400" s="579">
        <v>0</v>
      </c>
      <c r="O400" s="566">
        <f t="shared" si="19"/>
        <v>0</v>
      </c>
      <c r="P400" s="567">
        <f t="shared" si="20"/>
        <v>0</v>
      </c>
      <c r="Q400" s="568" t="e">
        <f t="shared" si="18"/>
        <v>#DIV/0!</v>
      </c>
      <c r="R400" s="676" t="s">
        <v>926</v>
      </c>
    </row>
    <row r="401" spans="1:18" x14ac:dyDescent="0.2">
      <c r="A401" s="558" t="s">
        <v>277</v>
      </c>
      <c r="B401" s="559" t="s">
        <v>914</v>
      </c>
      <c r="C401" s="573" t="s">
        <v>303</v>
      </c>
      <c r="D401" s="327" t="s">
        <v>285</v>
      </c>
      <c r="E401" s="575" t="s">
        <v>1845</v>
      </c>
      <c r="F401" s="561" t="s">
        <v>109</v>
      </c>
      <c r="G401" s="562" t="s">
        <v>938</v>
      </c>
      <c r="H401" s="563" t="s">
        <v>924</v>
      </c>
      <c r="I401" s="578" t="s">
        <v>925</v>
      </c>
      <c r="J401" s="564" t="s">
        <v>757</v>
      </c>
      <c r="K401" s="561">
        <v>0</v>
      </c>
      <c r="L401" s="338" t="s">
        <v>926</v>
      </c>
      <c r="M401" s="565">
        <v>5</v>
      </c>
      <c r="N401" s="579">
        <v>0</v>
      </c>
      <c r="O401" s="566">
        <f t="shared" si="19"/>
        <v>0</v>
      </c>
      <c r="P401" s="567">
        <f t="shared" si="20"/>
        <v>0</v>
      </c>
      <c r="Q401" s="568" t="e">
        <f t="shared" si="18"/>
        <v>#DIV/0!</v>
      </c>
      <c r="R401" s="676" t="s">
        <v>926</v>
      </c>
    </row>
    <row r="402" spans="1:18" x14ac:dyDescent="0.2">
      <c r="A402" s="558" t="s">
        <v>277</v>
      </c>
      <c r="B402" s="559" t="s">
        <v>914</v>
      </c>
      <c r="C402" s="573" t="s">
        <v>99</v>
      </c>
      <c r="D402" s="327" t="s">
        <v>300</v>
      </c>
      <c r="E402" s="575" t="s">
        <v>1715</v>
      </c>
      <c r="F402" s="561" t="s">
        <v>109</v>
      </c>
      <c r="G402" s="562" t="s">
        <v>938</v>
      </c>
      <c r="H402" s="563" t="s">
        <v>927</v>
      </c>
      <c r="I402" s="578" t="s">
        <v>925</v>
      </c>
      <c r="J402" s="564" t="s">
        <v>757</v>
      </c>
      <c r="K402" s="561">
        <v>17</v>
      </c>
      <c r="L402" s="327" t="s">
        <v>922</v>
      </c>
      <c r="M402" s="565">
        <v>158</v>
      </c>
      <c r="N402" s="579">
        <v>0</v>
      </c>
      <c r="O402" s="566">
        <f t="shared" si="19"/>
        <v>0</v>
      </c>
      <c r="P402" s="567">
        <f t="shared" si="20"/>
        <v>0</v>
      </c>
      <c r="Q402" s="568">
        <f t="shared" si="18"/>
        <v>0</v>
      </c>
      <c r="R402" s="675"/>
    </row>
    <row r="403" spans="1:18" x14ac:dyDescent="0.2">
      <c r="A403" s="558" t="s">
        <v>277</v>
      </c>
      <c r="B403" s="559" t="s">
        <v>914</v>
      </c>
      <c r="C403" s="573" t="s">
        <v>99</v>
      </c>
      <c r="D403" s="327" t="s">
        <v>292</v>
      </c>
      <c r="E403" s="575" t="s">
        <v>1715</v>
      </c>
      <c r="F403" s="561" t="s">
        <v>109</v>
      </c>
      <c r="G403" s="562" t="s">
        <v>938</v>
      </c>
      <c r="H403" s="563" t="s">
        <v>924</v>
      </c>
      <c r="I403" s="578" t="s">
        <v>925</v>
      </c>
      <c r="J403" s="564" t="s">
        <v>757</v>
      </c>
      <c r="K403" s="561">
        <v>36</v>
      </c>
      <c r="L403" s="327" t="s">
        <v>922</v>
      </c>
      <c r="M403" s="565">
        <v>7</v>
      </c>
      <c r="N403" s="579">
        <v>0</v>
      </c>
      <c r="O403" s="566">
        <f t="shared" si="19"/>
        <v>0</v>
      </c>
      <c r="P403" s="567">
        <f t="shared" si="20"/>
        <v>0</v>
      </c>
      <c r="Q403" s="568">
        <f t="shared" si="18"/>
        <v>0</v>
      </c>
      <c r="R403" s="675"/>
    </row>
    <row r="404" spans="1:18" x14ac:dyDescent="0.2">
      <c r="A404" s="558" t="s">
        <v>277</v>
      </c>
      <c r="B404" s="559" t="s">
        <v>914</v>
      </c>
      <c r="C404" s="573" t="s">
        <v>99</v>
      </c>
      <c r="D404" s="327" t="s">
        <v>294</v>
      </c>
      <c r="E404" s="575" t="s">
        <v>1846</v>
      </c>
      <c r="F404" s="561" t="s">
        <v>109</v>
      </c>
      <c r="G404" s="562" t="s">
        <v>938</v>
      </c>
      <c r="H404" s="563" t="s">
        <v>924</v>
      </c>
      <c r="I404" s="578" t="s">
        <v>925</v>
      </c>
      <c r="J404" s="564" t="s">
        <v>757</v>
      </c>
      <c r="K404" s="561">
        <v>80</v>
      </c>
      <c r="L404" s="327" t="s">
        <v>922</v>
      </c>
      <c r="M404" s="565">
        <v>8</v>
      </c>
      <c r="N404" s="579">
        <v>0</v>
      </c>
      <c r="O404" s="566">
        <f t="shared" si="19"/>
        <v>0</v>
      </c>
      <c r="P404" s="567">
        <f t="shared" si="20"/>
        <v>0</v>
      </c>
      <c r="Q404" s="568">
        <f t="shared" si="18"/>
        <v>0</v>
      </c>
      <c r="R404" s="675"/>
    </row>
    <row r="405" spans="1:18" x14ac:dyDescent="0.2">
      <c r="A405" s="558" t="s">
        <v>277</v>
      </c>
      <c r="B405" s="559" t="s">
        <v>914</v>
      </c>
      <c r="C405" s="573" t="s">
        <v>99</v>
      </c>
      <c r="D405" s="327" t="s">
        <v>282</v>
      </c>
      <c r="E405" s="575" t="s">
        <v>1846</v>
      </c>
      <c r="F405" s="561" t="s">
        <v>109</v>
      </c>
      <c r="G405" s="562" t="s">
        <v>938</v>
      </c>
      <c r="H405" s="563" t="s">
        <v>924</v>
      </c>
      <c r="I405" s="578" t="s">
        <v>925</v>
      </c>
      <c r="J405" s="564" t="s">
        <v>757</v>
      </c>
      <c r="K405" s="561">
        <v>0</v>
      </c>
      <c r="L405" s="338" t="s">
        <v>926</v>
      </c>
      <c r="M405" s="565">
        <v>4</v>
      </c>
      <c r="N405" s="579">
        <v>1</v>
      </c>
      <c r="O405" s="566">
        <f t="shared" si="19"/>
        <v>0.25</v>
      </c>
      <c r="P405" s="567">
        <f t="shared" si="20"/>
        <v>0</v>
      </c>
      <c r="Q405" s="568" t="e">
        <f t="shared" si="18"/>
        <v>#DIV/0!</v>
      </c>
      <c r="R405" s="676" t="s">
        <v>926</v>
      </c>
    </row>
    <row r="406" spans="1:18" x14ac:dyDescent="0.2">
      <c r="A406" s="558" t="s">
        <v>277</v>
      </c>
      <c r="B406" s="559" t="s">
        <v>914</v>
      </c>
      <c r="C406" s="573" t="s">
        <v>99</v>
      </c>
      <c r="D406" s="327" t="s">
        <v>285</v>
      </c>
      <c r="E406" s="575" t="s">
        <v>1846</v>
      </c>
      <c r="F406" s="561" t="s">
        <v>109</v>
      </c>
      <c r="G406" s="562" t="s">
        <v>938</v>
      </c>
      <c r="H406" s="563" t="s">
        <v>924</v>
      </c>
      <c r="I406" s="578" t="s">
        <v>925</v>
      </c>
      <c r="J406" s="564" t="s">
        <v>757</v>
      </c>
      <c r="K406" s="561">
        <v>0</v>
      </c>
      <c r="L406" s="338" t="s">
        <v>926</v>
      </c>
      <c r="M406" s="565">
        <v>1</v>
      </c>
      <c r="N406" s="579">
        <v>0</v>
      </c>
      <c r="O406" s="566">
        <f t="shared" si="19"/>
        <v>0</v>
      </c>
      <c r="P406" s="567">
        <f t="shared" si="20"/>
        <v>0</v>
      </c>
      <c r="Q406" s="568" t="e">
        <f t="shared" si="18"/>
        <v>#DIV/0!</v>
      </c>
      <c r="R406" s="676" t="s">
        <v>926</v>
      </c>
    </row>
    <row r="407" spans="1:18" x14ac:dyDescent="0.2">
      <c r="A407" s="558" t="s">
        <v>277</v>
      </c>
      <c r="B407" s="559" t="s">
        <v>914</v>
      </c>
      <c r="C407" s="573" t="s">
        <v>296</v>
      </c>
      <c r="D407" s="327" t="s">
        <v>300</v>
      </c>
      <c r="E407" s="575" t="s">
        <v>1847</v>
      </c>
      <c r="F407" s="561" t="s">
        <v>109</v>
      </c>
      <c r="G407" s="562" t="s">
        <v>938</v>
      </c>
      <c r="H407" s="563" t="s">
        <v>927</v>
      </c>
      <c r="I407" s="578" t="s">
        <v>925</v>
      </c>
      <c r="J407" s="564" t="s">
        <v>757</v>
      </c>
      <c r="K407" s="561">
        <v>13</v>
      </c>
      <c r="L407" s="327" t="s">
        <v>922</v>
      </c>
      <c r="M407" s="565">
        <v>0</v>
      </c>
      <c r="N407" s="579">
        <v>0</v>
      </c>
      <c r="O407" s="566">
        <f t="shared" si="19"/>
        <v>0</v>
      </c>
      <c r="P407" s="567">
        <f t="shared" si="20"/>
        <v>0</v>
      </c>
      <c r="Q407" s="568" t="e">
        <f t="shared" si="18"/>
        <v>#DIV/0!</v>
      </c>
      <c r="R407" s="676" t="s">
        <v>1919</v>
      </c>
    </row>
    <row r="408" spans="1:18" x14ac:dyDescent="0.2">
      <c r="A408" s="558" t="s">
        <v>277</v>
      </c>
      <c r="B408" s="559" t="s">
        <v>914</v>
      </c>
      <c r="C408" s="573" t="s">
        <v>296</v>
      </c>
      <c r="D408" s="327" t="s">
        <v>292</v>
      </c>
      <c r="E408" s="575" t="s">
        <v>1847</v>
      </c>
      <c r="F408" s="561" t="s">
        <v>109</v>
      </c>
      <c r="G408" s="562" t="s">
        <v>938</v>
      </c>
      <c r="H408" s="563" t="s">
        <v>924</v>
      </c>
      <c r="I408" s="578" t="s">
        <v>925</v>
      </c>
      <c r="J408" s="564" t="s">
        <v>757</v>
      </c>
      <c r="K408" s="561">
        <v>0</v>
      </c>
      <c r="L408" s="338" t="s">
        <v>926</v>
      </c>
      <c r="M408" s="565">
        <v>3</v>
      </c>
      <c r="N408" s="579">
        <v>1</v>
      </c>
      <c r="O408" s="566">
        <f t="shared" si="19"/>
        <v>0.33333333333333331</v>
      </c>
      <c r="P408" s="567">
        <f t="shared" si="20"/>
        <v>0</v>
      </c>
      <c r="Q408" s="568" t="e">
        <f t="shared" si="18"/>
        <v>#DIV/0!</v>
      </c>
      <c r="R408" s="676" t="s">
        <v>926</v>
      </c>
    </row>
    <row r="409" spans="1:18" x14ac:dyDescent="0.2">
      <c r="A409" s="558" t="s">
        <v>277</v>
      </c>
      <c r="B409" s="559" t="s">
        <v>914</v>
      </c>
      <c r="C409" s="573" t="s">
        <v>296</v>
      </c>
      <c r="D409" s="327" t="s">
        <v>294</v>
      </c>
      <c r="E409" s="575" t="s">
        <v>1848</v>
      </c>
      <c r="F409" s="561" t="s">
        <v>109</v>
      </c>
      <c r="G409" s="562" t="s">
        <v>938</v>
      </c>
      <c r="H409" s="563" t="s">
        <v>924</v>
      </c>
      <c r="I409" s="578" t="s">
        <v>925</v>
      </c>
      <c r="J409" s="564" t="s">
        <v>757</v>
      </c>
      <c r="K409" s="561">
        <v>0</v>
      </c>
      <c r="L409" s="338" t="s">
        <v>926</v>
      </c>
      <c r="M409" s="565">
        <v>1</v>
      </c>
      <c r="N409" s="579">
        <v>0</v>
      </c>
      <c r="O409" s="566">
        <f t="shared" si="19"/>
        <v>0</v>
      </c>
      <c r="P409" s="567">
        <f t="shared" si="20"/>
        <v>0</v>
      </c>
      <c r="Q409" s="568" t="e">
        <f t="shared" si="18"/>
        <v>#DIV/0!</v>
      </c>
      <c r="R409" s="676" t="s">
        <v>926</v>
      </c>
    </row>
    <row r="410" spans="1:18" x14ac:dyDescent="0.2">
      <c r="A410" s="558" t="s">
        <v>277</v>
      </c>
      <c r="B410" s="559" t="s">
        <v>914</v>
      </c>
      <c r="C410" s="573" t="s">
        <v>296</v>
      </c>
      <c r="D410" s="327" t="s">
        <v>282</v>
      </c>
      <c r="E410" s="575" t="s">
        <v>1848</v>
      </c>
      <c r="F410" s="561" t="s">
        <v>109</v>
      </c>
      <c r="G410" s="562" t="s">
        <v>938</v>
      </c>
      <c r="H410" s="563" t="s">
        <v>924</v>
      </c>
      <c r="I410" s="578" t="s">
        <v>925</v>
      </c>
      <c r="J410" s="564" t="s">
        <v>757</v>
      </c>
      <c r="K410" s="561">
        <v>0</v>
      </c>
      <c r="L410" s="338" t="s">
        <v>926</v>
      </c>
      <c r="M410" s="565">
        <v>2</v>
      </c>
      <c r="N410" s="579">
        <v>1</v>
      </c>
      <c r="O410" s="566">
        <f t="shared" si="19"/>
        <v>0.5</v>
      </c>
      <c r="P410" s="567">
        <f t="shared" si="20"/>
        <v>0</v>
      </c>
      <c r="Q410" s="568" t="e">
        <f t="shared" si="18"/>
        <v>#DIV/0!</v>
      </c>
      <c r="R410" s="676" t="s">
        <v>926</v>
      </c>
    </row>
    <row r="411" spans="1:18" x14ac:dyDescent="0.2">
      <c r="A411" s="558" t="s">
        <v>277</v>
      </c>
      <c r="B411" s="559" t="s">
        <v>914</v>
      </c>
      <c r="C411" s="573" t="s">
        <v>296</v>
      </c>
      <c r="D411" s="327" t="s">
        <v>285</v>
      </c>
      <c r="E411" s="575" t="s">
        <v>1715</v>
      </c>
      <c r="F411" s="561" t="s">
        <v>109</v>
      </c>
      <c r="G411" s="562" t="s">
        <v>938</v>
      </c>
      <c r="H411" s="563" t="s">
        <v>924</v>
      </c>
      <c r="I411" s="578" t="s">
        <v>925</v>
      </c>
      <c r="J411" s="564" t="s">
        <v>757</v>
      </c>
      <c r="K411" s="561">
        <v>25</v>
      </c>
      <c r="L411" s="327" t="s">
        <v>922</v>
      </c>
      <c r="M411" s="565">
        <v>11</v>
      </c>
      <c r="N411" s="579">
        <v>0</v>
      </c>
      <c r="O411" s="566">
        <f t="shared" si="19"/>
        <v>0</v>
      </c>
      <c r="P411" s="567">
        <f t="shared" si="20"/>
        <v>0</v>
      </c>
      <c r="Q411" s="568">
        <f t="shared" si="18"/>
        <v>0</v>
      </c>
      <c r="R411" s="675"/>
    </row>
    <row r="412" spans="1:18" x14ac:dyDescent="0.2">
      <c r="A412" s="558" t="s">
        <v>277</v>
      </c>
      <c r="B412" s="559" t="s">
        <v>914</v>
      </c>
      <c r="C412" s="573" t="s">
        <v>296</v>
      </c>
      <c r="D412" s="327" t="s">
        <v>298</v>
      </c>
      <c r="E412" s="575" t="s">
        <v>1715</v>
      </c>
      <c r="F412" s="561" t="s">
        <v>109</v>
      </c>
      <c r="G412" s="562" t="s">
        <v>938</v>
      </c>
      <c r="H412" s="563" t="s">
        <v>924</v>
      </c>
      <c r="I412" s="578" t="s">
        <v>925</v>
      </c>
      <c r="J412" s="564" t="s">
        <v>757</v>
      </c>
      <c r="K412" s="561">
        <v>10</v>
      </c>
      <c r="L412" s="327" t="s">
        <v>922</v>
      </c>
      <c r="M412" s="565">
        <v>20</v>
      </c>
      <c r="N412" s="579">
        <v>0</v>
      </c>
      <c r="O412" s="566">
        <f t="shared" si="19"/>
        <v>0</v>
      </c>
      <c r="P412" s="567">
        <f t="shared" si="20"/>
        <v>0</v>
      </c>
      <c r="Q412" s="568">
        <f t="shared" si="18"/>
        <v>0</v>
      </c>
      <c r="R412" s="675"/>
    </row>
    <row r="413" spans="1:18" x14ac:dyDescent="0.2">
      <c r="A413" s="558" t="s">
        <v>277</v>
      </c>
      <c r="B413" s="559" t="s">
        <v>914</v>
      </c>
      <c r="C413" s="573" t="s">
        <v>316</v>
      </c>
      <c r="D413" s="327" t="s">
        <v>292</v>
      </c>
      <c r="E413" s="575" t="s">
        <v>1849</v>
      </c>
      <c r="F413" s="561" t="s">
        <v>109</v>
      </c>
      <c r="G413" s="562" t="s">
        <v>938</v>
      </c>
      <c r="H413" s="563" t="s">
        <v>924</v>
      </c>
      <c r="I413" s="578" t="s">
        <v>925</v>
      </c>
      <c r="J413" s="564" t="s">
        <v>757</v>
      </c>
      <c r="K413" s="561">
        <v>0</v>
      </c>
      <c r="L413" s="338" t="s">
        <v>926</v>
      </c>
      <c r="M413" s="565">
        <v>0</v>
      </c>
      <c r="N413" s="579">
        <v>0</v>
      </c>
      <c r="O413" s="566">
        <f t="shared" si="19"/>
        <v>0</v>
      </c>
      <c r="P413" s="567">
        <f t="shared" si="20"/>
        <v>0</v>
      </c>
      <c r="Q413" s="568" t="e">
        <f t="shared" si="18"/>
        <v>#DIV/0!</v>
      </c>
      <c r="R413" s="676" t="s">
        <v>1919</v>
      </c>
    </row>
    <row r="414" spans="1:18" x14ac:dyDescent="0.2">
      <c r="A414" s="558" t="s">
        <v>277</v>
      </c>
      <c r="B414" s="559" t="s">
        <v>914</v>
      </c>
      <c r="C414" s="573" t="s">
        <v>316</v>
      </c>
      <c r="D414" s="327" t="s">
        <v>294</v>
      </c>
      <c r="E414" s="575" t="s">
        <v>1849</v>
      </c>
      <c r="F414" s="561" t="s">
        <v>109</v>
      </c>
      <c r="G414" s="562" t="s">
        <v>938</v>
      </c>
      <c r="H414" s="563" t="s">
        <v>924</v>
      </c>
      <c r="I414" s="578" t="s">
        <v>925</v>
      </c>
      <c r="J414" s="564" t="s">
        <v>757</v>
      </c>
      <c r="K414" s="561">
        <v>0</v>
      </c>
      <c r="L414" s="338" t="s">
        <v>926</v>
      </c>
      <c r="M414" s="565">
        <v>0</v>
      </c>
      <c r="N414" s="579">
        <v>0</v>
      </c>
      <c r="O414" s="566">
        <f t="shared" si="19"/>
        <v>0</v>
      </c>
      <c r="P414" s="567">
        <f t="shared" si="20"/>
        <v>0</v>
      </c>
      <c r="Q414" s="568" t="e">
        <f t="shared" si="18"/>
        <v>#DIV/0!</v>
      </c>
      <c r="R414" s="676" t="s">
        <v>1919</v>
      </c>
    </row>
    <row r="415" spans="1:18" x14ac:dyDescent="0.2">
      <c r="A415" s="558" t="s">
        <v>277</v>
      </c>
      <c r="B415" s="559" t="s">
        <v>914</v>
      </c>
      <c r="C415" s="573" t="s">
        <v>308</v>
      </c>
      <c r="D415" s="327" t="s">
        <v>300</v>
      </c>
      <c r="E415" s="575" t="s">
        <v>1715</v>
      </c>
      <c r="F415" s="561" t="s">
        <v>109</v>
      </c>
      <c r="G415" s="562" t="s">
        <v>938</v>
      </c>
      <c r="H415" s="563" t="s">
        <v>927</v>
      </c>
      <c r="I415" s="578" t="s">
        <v>925</v>
      </c>
      <c r="J415" s="564" t="s">
        <v>757</v>
      </c>
      <c r="K415" s="561">
        <v>38</v>
      </c>
      <c r="L415" s="327" t="s">
        <v>922</v>
      </c>
      <c r="M415" s="565">
        <v>51</v>
      </c>
      <c r="N415" s="579">
        <v>0</v>
      </c>
      <c r="O415" s="566">
        <f t="shared" si="19"/>
        <v>0</v>
      </c>
      <c r="P415" s="567">
        <f t="shared" si="20"/>
        <v>0</v>
      </c>
      <c r="Q415" s="568">
        <f t="shared" si="18"/>
        <v>0</v>
      </c>
      <c r="R415" s="675"/>
    </row>
    <row r="416" spans="1:18" x14ac:dyDescent="0.2">
      <c r="A416" s="558" t="s">
        <v>277</v>
      </c>
      <c r="B416" s="559" t="s">
        <v>914</v>
      </c>
      <c r="C416" s="573" t="s">
        <v>308</v>
      </c>
      <c r="D416" s="327" t="s">
        <v>292</v>
      </c>
      <c r="E416" s="575" t="s">
        <v>1850</v>
      </c>
      <c r="F416" s="561" t="s">
        <v>109</v>
      </c>
      <c r="G416" s="562" t="s">
        <v>938</v>
      </c>
      <c r="H416" s="563" t="s">
        <v>924</v>
      </c>
      <c r="I416" s="578" t="s">
        <v>925</v>
      </c>
      <c r="J416" s="564" t="s">
        <v>757</v>
      </c>
      <c r="K416" s="561">
        <v>0</v>
      </c>
      <c r="L416" s="338" t="s">
        <v>926</v>
      </c>
      <c r="M416" s="565">
        <v>7</v>
      </c>
      <c r="N416" s="579">
        <v>0</v>
      </c>
      <c r="O416" s="566">
        <f t="shared" si="19"/>
        <v>0</v>
      </c>
      <c r="P416" s="567">
        <f t="shared" si="20"/>
        <v>0</v>
      </c>
      <c r="Q416" s="568" t="e">
        <f t="shared" si="18"/>
        <v>#DIV/0!</v>
      </c>
      <c r="R416" s="676" t="s">
        <v>926</v>
      </c>
    </row>
    <row r="417" spans="1:18" x14ac:dyDescent="0.2">
      <c r="A417" s="558" t="s">
        <v>277</v>
      </c>
      <c r="B417" s="559" t="s">
        <v>914</v>
      </c>
      <c r="C417" s="573" t="s">
        <v>308</v>
      </c>
      <c r="D417" s="327" t="s">
        <v>294</v>
      </c>
      <c r="E417" s="575" t="s">
        <v>1850</v>
      </c>
      <c r="F417" s="561" t="s">
        <v>109</v>
      </c>
      <c r="G417" s="562" t="s">
        <v>938</v>
      </c>
      <c r="H417" s="563" t="s">
        <v>924</v>
      </c>
      <c r="I417" s="578" t="s">
        <v>925</v>
      </c>
      <c r="J417" s="564" t="s">
        <v>757</v>
      </c>
      <c r="K417" s="561">
        <v>0</v>
      </c>
      <c r="L417" s="338" t="s">
        <v>926</v>
      </c>
      <c r="M417" s="565">
        <v>1</v>
      </c>
      <c r="N417" s="579">
        <v>0</v>
      </c>
      <c r="O417" s="566">
        <f t="shared" si="19"/>
        <v>0</v>
      </c>
      <c r="P417" s="567">
        <f t="shared" si="20"/>
        <v>0</v>
      </c>
      <c r="Q417" s="568" t="e">
        <f t="shared" si="18"/>
        <v>#DIV/0!</v>
      </c>
      <c r="R417" s="676" t="s">
        <v>926</v>
      </c>
    </row>
    <row r="418" spans="1:18" x14ac:dyDescent="0.2">
      <c r="A418" s="558" t="s">
        <v>277</v>
      </c>
      <c r="B418" s="559" t="s">
        <v>914</v>
      </c>
      <c r="C418" s="573" t="s">
        <v>305</v>
      </c>
      <c r="D418" s="327" t="s">
        <v>300</v>
      </c>
      <c r="E418" s="575" t="s">
        <v>1715</v>
      </c>
      <c r="F418" s="561" t="s">
        <v>109</v>
      </c>
      <c r="G418" s="562" t="s">
        <v>938</v>
      </c>
      <c r="H418" s="563" t="s">
        <v>927</v>
      </c>
      <c r="I418" s="578" t="s">
        <v>925</v>
      </c>
      <c r="J418" s="564" t="s">
        <v>757</v>
      </c>
      <c r="K418" s="561">
        <v>5</v>
      </c>
      <c r="L418" s="327" t="s">
        <v>922</v>
      </c>
      <c r="M418" s="565">
        <v>568</v>
      </c>
      <c r="N418" s="579">
        <v>0</v>
      </c>
      <c r="O418" s="566">
        <f t="shared" si="19"/>
        <v>0</v>
      </c>
      <c r="P418" s="567">
        <f t="shared" si="20"/>
        <v>0</v>
      </c>
      <c r="Q418" s="568">
        <f t="shared" si="18"/>
        <v>0</v>
      </c>
      <c r="R418" s="675"/>
    </row>
    <row r="419" spans="1:18" x14ac:dyDescent="0.2">
      <c r="A419" s="558" t="s">
        <v>277</v>
      </c>
      <c r="B419" s="559" t="s">
        <v>914</v>
      </c>
      <c r="C419" s="573" t="s">
        <v>305</v>
      </c>
      <c r="D419" s="327" t="s">
        <v>292</v>
      </c>
      <c r="E419" s="575" t="s">
        <v>1715</v>
      </c>
      <c r="F419" s="561" t="s">
        <v>109</v>
      </c>
      <c r="G419" s="562" t="s">
        <v>938</v>
      </c>
      <c r="H419" s="563" t="s">
        <v>924</v>
      </c>
      <c r="I419" s="578" t="s">
        <v>925</v>
      </c>
      <c r="J419" s="564" t="s">
        <v>757</v>
      </c>
      <c r="K419" s="561">
        <v>32</v>
      </c>
      <c r="L419" s="327" t="s">
        <v>922</v>
      </c>
      <c r="M419" s="565">
        <v>85</v>
      </c>
      <c r="N419" s="579">
        <v>0</v>
      </c>
      <c r="O419" s="566">
        <f t="shared" si="19"/>
        <v>0</v>
      </c>
      <c r="P419" s="567">
        <f t="shared" si="20"/>
        <v>0</v>
      </c>
      <c r="Q419" s="568">
        <f t="shared" si="18"/>
        <v>0</v>
      </c>
      <c r="R419" s="675"/>
    </row>
    <row r="420" spans="1:18" x14ac:dyDescent="0.2">
      <c r="A420" s="558" t="s">
        <v>277</v>
      </c>
      <c r="B420" s="559" t="s">
        <v>914</v>
      </c>
      <c r="C420" s="573" t="s">
        <v>305</v>
      </c>
      <c r="D420" s="327" t="s">
        <v>294</v>
      </c>
      <c r="E420" s="575" t="s">
        <v>1851</v>
      </c>
      <c r="F420" s="561" t="s">
        <v>109</v>
      </c>
      <c r="G420" s="562" t="s">
        <v>938</v>
      </c>
      <c r="H420" s="563" t="s">
        <v>924</v>
      </c>
      <c r="I420" s="578" t="s">
        <v>925</v>
      </c>
      <c r="J420" s="564" t="s">
        <v>757</v>
      </c>
      <c r="K420" s="561">
        <v>33</v>
      </c>
      <c r="L420" s="327" t="s">
        <v>922</v>
      </c>
      <c r="M420" s="565">
        <v>24</v>
      </c>
      <c r="N420" s="579">
        <v>0</v>
      </c>
      <c r="O420" s="566">
        <f t="shared" si="19"/>
        <v>0</v>
      </c>
      <c r="P420" s="567">
        <f t="shared" si="20"/>
        <v>0</v>
      </c>
      <c r="Q420" s="568">
        <f t="shared" si="18"/>
        <v>0</v>
      </c>
      <c r="R420" s="675"/>
    </row>
    <row r="421" spans="1:18" x14ac:dyDescent="0.2">
      <c r="A421" s="558" t="s">
        <v>277</v>
      </c>
      <c r="B421" s="559" t="s">
        <v>914</v>
      </c>
      <c r="C421" s="573" t="s">
        <v>305</v>
      </c>
      <c r="D421" s="327" t="s">
        <v>285</v>
      </c>
      <c r="E421" s="575" t="s">
        <v>1851</v>
      </c>
      <c r="F421" s="561" t="s">
        <v>109</v>
      </c>
      <c r="G421" s="562" t="s">
        <v>938</v>
      </c>
      <c r="H421" s="563" t="s">
        <v>924</v>
      </c>
      <c r="I421" s="578" t="s">
        <v>925</v>
      </c>
      <c r="J421" s="564" t="s">
        <v>757</v>
      </c>
      <c r="K421" s="561">
        <v>0</v>
      </c>
      <c r="L421" s="338" t="s">
        <v>926</v>
      </c>
      <c r="M421" s="565">
        <v>2</v>
      </c>
      <c r="N421" s="579">
        <v>1</v>
      </c>
      <c r="O421" s="566">
        <f t="shared" si="19"/>
        <v>0.5</v>
      </c>
      <c r="P421" s="567">
        <f t="shared" si="20"/>
        <v>0</v>
      </c>
      <c r="Q421" s="568" t="e">
        <f t="shared" si="18"/>
        <v>#DIV/0!</v>
      </c>
      <c r="R421" s="676" t="s">
        <v>926</v>
      </c>
    </row>
    <row r="422" spans="1:18" x14ac:dyDescent="0.2">
      <c r="A422" s="558" t="s">
        <v>277</v>
      </c>
      <c r="B422" s="559" t="s">
        <v>914</v>
      </c>
      <c r="C422" s="573" t="s">
        <v>97</v>
      </c>
      <c r="D422" s="327" t="s">
        <v>282</v>
      </c>
      <c r="E422" s="575" t="s">
        <v>1843</v>
      </c>
      <c r="F422" s="561" t="s">
        <v>109</v>
      </c>
      <c r="G422" s="562" t="s">
        <v>939</v>
      </c>
      <c r="H422" s="563" t="s">
        <v>924</v>
      </c>
      <c r="I422" s="578" t="s">
        <v>925</v>
      </c>
      <c r="J422" s="564" t="s">
        <v>757</v>
      </c>
      <c r="K422" s="561">
        <v>33</v>
      </c>
      <c r="L422" s="338"/>
      <c r="M422" s="565">
        <v>6</v>
      </c>
      <c r="N422" s="565">
        <v>3</v>
      </c>
      <c r="O422" s="566">
        <f t="shared" si="19"/>
        <v>0.5</v>
      </c>
      <c r="P422" s="567">
        <f t="shared" si="20"/>
        <v>1.5151515151515151</v>
      </c>
      <c r="Q422" s="568">
        <f t="shared" si="18"/>
        <v>1.5151515151515151</v>
      </c>
      <c r="R422" s="675"/>
    </row>
    <row r="423" spans="1:18" x14ac:dyDescent="0.2">
      <c r="A423" s="558" t="s">
        <v>277</v>
      </c>
      <c r="B423" s="559" t="s">
        <v>914</v>
      </c>
      <c r="C423" s="573" t="s">
        <v>97</v>
      </c>
      <c r="D423" s="327" t="s">
        <v>285</v>
      </c>
      <c r="E423" s="575" t="s">
        <v>1843</v>
      </c>
      <c r="F423" s="561" t="s">
        <v>109</v>
      </c>
      <c r="G423" s="562" t="s">
        <v>939</v>
      </c>
      <c r="H423" s="563" t="s">
        <v>924</v>
      </c>
      <c r="I423" s="578" t="s">
        <v>925</v>
      </c>
      <c r="J423" s="564" t="s">
        <v>757</v>
      </c>
      <c r="K423" s="561">
        <v>0</v>
      </c>
      <c r="L423" s="338" t="s">
        <v>926</v>
      </c>
      <c r="M423" s="565">
        <v>8</v>
      </c>
      <c r="N423" s="565">
        <v>7</v>
      </c>
      <c r="O423" s="566">
        <f t="shared" si="19"/>
        <v>0.875</v>
      </c>
      <c r="P423" s="567">
        <f t="shared" si="20"/>
        <v>0</v>
      </c>
      <c r="Q423" s="568" t="e">
        <f t="shared" si="18"/>
        <v>#DIV/0!</v>
      </c>
      <c r="R423" s="676" t="s">
        <v>926</v>
      </c>
    </row>
    <row r="424" spans="1:18" x14ac:dyDescent="0.2">
      <c r="A424" s="558" t="s">
        <v>277</v>
      </c>
      <c r="B424" s="559" t="s">
        <v>914</v>
      </c>
      <c r="C424" s="573" t="s">
        <v>286</v>
      </c>
      <c r="D424" s="327" t="s">
        <v>300</v>
      </c>
      <c r="E424" s="575" t="s">
        <v>1715</v>
      </c>
      <c r="F424" s="561" t="s">
        <v>109</v>
      </c>
      <c r="G424" s="562" t="s">
        <v>939</v>
      </c>
      <c r="H424" s="563" t="s">
        <v>927</v>
      </c>
      <c r="I424" s="578" t="s">
        <v>925</v>
      </c>
      <c r="J424" s="564" t="s">
        <v>757</v>
      </c>
      <c r="K424" s="561">
        <v>0</v>
      </c>
      <c r="L424" s="338" t="s">
        <v>926</v>
      </c>
      <c r="M424" s="565">
        <v>39</v>
      </c>
      <c r="N424" s="565">
        <v>5</v>
      </c>
      <c r="O424" s="566">
        <f t="shared" si="19"/>
        <v>0.12820512820512819</v>
      </c>
      <c r="P424" s="567">
        <f t="shared" si="20"/>
        <v>0</v>
      </c>
      <c r="Q424" s="568" t="e">
        <f t="shared" si="18"/>
        <v>#DIV/0!</v>
      </c>
      <c r="R424" s="676" t="s">
        <v>926</v>
      </c>
    </row>
    <row r="425" spans="1:18" x14ac:dyDescent="0.2">
      <c r="A425" s="558" t="s">
        <v>277</v>
      </c>
      <c r="B425" s="559" t="s">
        <v>914</v>
      </c>
      <c r="C425" s="573" t="s">
        <v>286</v>
      </c>
      <c r="D425" s="327" t="s">
        <v>292</v>
      </c>
      <c r="E425" s="575" t="s">
        <v>1715</v>
      </c>
      <c r="F425" s="561" t="s">
        <v>109</v>
      </c>
      <c r="G425" s="562" t="s">
        <v>939</v>
      </c>
      <c r="H425" s="563" t="s">
        <v>924</v>
      </c>
      <c r="I425" s="578" t="s">
        <v>925</v>
      </c>
      <c r="J425" s="564" t="s">
        <v>757</v>
      </c>
      <c r="K425" s="561">
        <v>26</v>
      </c>
      <c r="L425" s="338"/>
      <c r="M425" s="565">
        <v>12</v>
      </c>
      <c r="N425" s="565">
        <v>4</v>
      </c>
      <c r="O425" s="566">
        <f t="shared" si="19"/>
        <v>0.33333333333333331</v>
      </c>
      <c r="P425" s="567">
        <f t="shared" si="20"/>
        <v>1.2820512820512819</v>
      </c>
      <c r="Q425" s="568">
        <f t="shared" si="18"/>
        <v>1.2820512820512819</v>
      </c>
      <c r="R425" s="675"/>
    </row>
    <row r="426" spans="1:18" x14ac:dyDescent="0.2">
      <c r="A426" s="558" t="s">
        <v>277</v>
      </c>
      <c r="B426" s="559" t="s">
        <v>914</v>
      </c>
      <c r="C426" s="573" t="s">
        <v>286</v>
      </c>
      <c r="D426" s="327" t="s">
        <v>294</v>
      </c>
      <c r="E426" s="575" t="s">
        <v>1715</v>
      </c>
      <c r="F426" s="561" t="s">
        <v>109</v>
      </c>
      <c r="G426" s="562" t="s">
        <v>939</v>
      </c>
      <c r="H426" s="563" t="s">
        <v>924</v>
      </c>
      <c r="I426" s="578" t="s">
        <v>925</v>
      </c>
      <c r="J426" s="564" t="s">
        <v>757</v>
      </c>
      <c r="K426" s="561">
        <v>16</v>
      </c>
      <c r="L426" s="338"/>
      <c r="M426" s="565">
        <v>40</v>
      </c>
      <c r="N426" s="565">
        <v>7</v>
      </c>
      <c r="O426" s="566">
        <f t="shared" si="19"/>
        <v>0.17499999999999999</v>
      </c>
      <c r="P426" s="567">
        <f t="shared" si="20"/>
        <v>1.09375</v>
      </c>
      <c r="Q426" s="568">
        <f t="shared" si="18"/>
        <v>1.09375</v>
      </c>
      <c r="R426" s="675"/>
    </row>
    <row r="427" spans="1:18" x14ac:dyDescent="0.2">
      <c r="A427" s="558" t="s">
        <v>277</v>
      </c>
      <c r="B427" s="559" t="s">
        <v>914</v>
      </c>
      <c r="C427" s="573" t="s">
        <v>286</v>
      </c>
      <c r="D427" s="327" t="s">
        <v>282</v>
      </c>
      <c r="E427" s="575" t="s">
        <v>1715</v>
      </c>
      <c r="F427" s="561" t="s">
        <v>109</v>
      </c>
      <c r="G427" s="562" t="s">
        <v>939</v>
      </c>
      <c r="H427" s="563" t="s">
        <v>924</v>
      </c>
      <c r="I427" s="578" t="s">
        <v>925</v>
      </c>
      <c r="J427" s="564" t="s">
        <v>757</v>
      </c>
      <c r="K427" s="561">
        <v>6</v>
      </c>
      <c r="L427" s="338"/>
      <c r="M427" s="565">
        <v>68</v>
      </c>
      <c r="N427" s="565">
        <v>9</v>
      </c>
      <c r="O427" s="566">
        <f t="shared" si="19"/>
        <v>0.13235294117647059</v>
      </c>
      <c r="P427" s="567">
        <f t="shared" si="20"/>
        <v>2.2058823529411766</v>
      </c>
      <c r="Q427" s="568">
        <f t="shared" si="18"/>
        <v>2.2058823529411766</v>
      </c>
      <c r="R427" s="675"/>
    </row>
    <row r="428" spans="1:18" x14ac:dyDescent="0.2">
      <c r="A428" s="558" t="s">
        <v>277</v>
      </c>
      <c r="B428" s="559" t="s">
        <v>914</v>
      </c>
      <c r="C428" s="573" t="s">
        <v>286</v>
      </c>
      <c r="D428" s="327" t="s">
        <v>285</v>
      </c>
      <c r="E428" s="575" t="s">
        <v>1715</v>
      </c>
      <c r="F428" s="561" t="s">
        <v>109</v>
      </c>
      <c r="G428" s="562" t="s">
        <v>939</v>
      </c>
      <c r="H428" s="563" t="s">
        <v>924</v>
      </c>
      <c r="I428" s="578" t="s">
        <v>925</v>
      </c>
      <c r="J428" s="564" t="s">
        <v>757</v>
      </c>
      <c r="K428" s="561">
        <v>8</v>
      </c>
      <c r="L428" s="338"/>
      <c r="M428" s="565">
        <v>47</v>
      </c>
      <c r="N428" s="565">
        <v>12</v>
      </c>
      <c r="O428" s="566">
        <f t="shared" si="19"/>
        <v>0.25531914893617019</v>
      </c>
      <c r="P428" s="567">
        <f t="shared" si="20"/>
        <v>3.1914893617021276</v>
      </c>
      <c r="Q428" s="568">
        <f t="shared" si="18"/>
        <v>3.191489361702128</v>
      </c>
      <c r="R428" s="675"/>
    </row>
    <row r="429" spans="1:18" x14ac:dyDescent="0.2">
      <c r="A429" s="558" t="s">
        <v>277</v>
      </c>
      <c r="B429" s="559" t="s">
        <v>914</v>
      </c>
      <c r="C429" s="573" t="s">
        <v>303</v>
      </c>
      <c r="D429" s="327" t="s">
        <v>300</v>
      </c>
      <c r="E429" s="575" t="s">
        <v>1715</v>
      </c>
      <c r="F429" s="561" t="s">
        <v>109</v>
      </c>
      <c r="G429" s="562" t="s">
        <v>939</v>
      </c>
      <c r="H429" s="563" t="s">
        <v>927</v>
      </c>
      <c r="I429" s="578" t="s">
        <v>925</v>
      </c>
      <c r="J429" s="564" t="s">
        <v>757</v>
      </c>
      <c r="K429" s="561">
        <v>28.999999999999996</v>
      </c>
      <c r="L429" s="338"/>
      <c r="M429" s="565">
        <v>144</v>
      </c>
      <c r="N429" s="565">
        <v>7</v>
      </c>
      <c r="O429" s="566">
        <f t="shared" si="19"/>
        <v>4.8611111111111112E-2</v>
      </c>
      <c r="P429" s="567">
        <f t="shared" si="20"/>
        <v>0.16762452107279693</v>
      </c>
      <c r="Q429" s="568">
        <f t="shared" si="18"/>
        <v>0.16762452107279696</v>
      </c>
      <c r="R429" s="675"/>
    </row>
    <row r="430" spans="1:18" x14ac:dyDescent="0.2">
      <c r="A430" s="558" t="s">
        <v>277</v>
      </c>
      <c r="B430" s="559" t="s">
        <v>914</v>
      </c>
      <c r="C430" s="573" t="s">
        <v>303</v>
      </c>
      <c r="D430" s="327" t="s">
        <v>292</v>
      </c>
      <c r="E430" s="575" t="s">
        <v>1844</v>
      </c>
      <c r="F430" s="561" t="s">
        <v>109</v>
      </c>
      <c r="G430" s="562" t="s">
        <v>939</v>
      </c>
      <c r="H430" s="563" t="s">
        <v>924</v>
      </c>
      <c r="I430" s="578" t="s">
        <v>925</v>
      </c>
      <c r="J430" s="564" t="s">
        <v>757</v>
      </c>
      <c r="K430" s="561">
        <v>8</v>
      </c>
      <c r="L430" s="338"/>
      <c r="M430" s="565">
        <v>42</v>
      </c>
      <c r="N430" s="565">
        <v>6</v>
      </c>
      <c r="O430" s="566">
        <f t="shared" si="19"/>
        <v>0.14285714285714285</v>
      </c>
      <c r="P430" s="567">
        <f t="shared" si="20"/>
        <v>1.7857142857142858</v>
      </c>
      <c r="Q430" s="568">
        <f t="shared" si="18"/>
        <v>1.7857142857142858</v>
      </c>
      <c r="R430" s="675"/>
    </row>
    <row r="431" spans="1:18" x14ac:dyDescent="0.2">
      <c r="A431" s="558" t="s">
        <v>277</v>
      </c>
      <c r="B431" s="559" t="s">
        <v>914</v>
      </c>
      <c r="C431" s="573" t="s">
        <v>303</v>
      </c>
      <c r="D431" s="327" t="s">
        <v>294</v>
      </c>
      <c r="E431" s="575" t="s">
        <v>1844</v>
      </c>
      <c r="F431" s="561" t="s">
        <v>109</v>
      </c>
      <c r="G431" s="562" t="s">
        <v>939</v>
      </c>
      <c r="H431" s="563" t="s">
        <v>924</v>
      </c>
      <c r="I431" s="578" t="s">
        <v>925</v>
      </c>
      <c r="J431" s="564" t="s">
        <v>757</v>
      </c>
      <c r="K431" s="561">
        <v>0</v>
      </c>
      <c r="L431" s="338" t="s">
        <v>926</v>
      </c>
      <c r="M431" s="565">
        <v>10</v>
      </c>
      <c r="N431" s="565">
        <v>0</v>
      </c>
      <c r="O431" s="566">
        <f t="shared" si="19"/>
        <v>0</v>
      </c>
      <c r="P431" s="567">
        <f t="shared" si="20"/>
        <v>0</v>
      </c>
      <c r="Q431" s="568" t="e">
        <f t="shared" si="18"/>
        <v>#DIV/0!</v>
      </c>
      <c r="R431" s="676" t="s">
        <v>926</v>
      </c>
    </row>
    <row r="432" spans="1:18" x14ac:dyDescent="0.2">
      <c r="A432" s="558" t="s">
        <v>277</v>
      </c>
      <c r="B432" s="559" t="s">
        <v>914</v>
      </c>
      <c r="C432" s="573" t="s">
        <v>303</v>
      </c>
      <c r="D432" s="327" t="s">
        <v>282</v>
      </c>
      <c r="E432" s="575" t="s">
        <v>1845</v>
      </c>
      <c r="F432" s="561" t="s">
        <v>109</v>
      </c>
      <c r="G432" s="562" t="s">
        <v>939</v>
      </c>
      <c r="H432" s="563" t="s">
        <v>924</v>
      </c>
      <c r="I432" s="578" t="s">
        <v>925</v>
      </c>
      <c r="J432" s="564" t="s">
        <v>757</v>
      </c>
      <c r="K432" s="561">
        <v>0</v>
      </c>
      <c r="L432" s="338" t="s">
        <v>926</v>
      </c>
      <c r="M432" s="565">
        <v>2</v>
      </c>
      <c r="N432" s="565">
        <v>0</v>
      </c>
      <c r="O432" s="566">
        <f t="shared" si="19"/>
        <v>0</v>
      </c>
      <c r="P432" s="567">
        <f t="shared" si="20"/>
        <v>0</v>
      </c>
      <c r="Q432" s="568" t="e">
        <f t="shared" si="18"/>
        <v>#DIV/0!</v>
      </c>
      <c r="R432" s="676" t="s">
        <v>926</v>
      </c>
    </row>
    <row r="433" spans="1:18" x14ac:dyDescent="0.2">
      <c r="A433" s="558" t="s">
        <v>277</v>
      </c>
      <c r="B433" s="559" t="s">
        <v>914</v>
      </c>
      <c r="C433" s="573" t="s">
        <v>303</v>
      </c>
      <c r="D433" s="327" t="s">
        <v>285</v>
      </c>
      <c r="E433" s="575" t="s">
        <v>1845</v>
      </c>
      <c r="F433" s="561" t="s">
        <v>109</v>
      </c>
      <c r="G433" s="562" t="s">
        <v>939</v>
      </c>
      <c r="H433" s="563" t="s">
        <v>924</v>
      </c>
      <c r="I433" s="578" t="s">
        <v>925</v>
      </c>
      <c r="J433" s="564" t="s">
        <v>757</v>
      </c>
      <c r="K433" s="561">
        <v>0</v>
      </c>
      <c r="L433" s="338" t="s">
        <v>926</v>
      </c>
      <c r="M433" s="565">
        <v>5</v>
      </c>
      <c r="N433" s="565">
        <v>1</v>
      </c>
      <c r="O433" s="566">
        <f t="shared" si="19"/>
        <v>0.2</v>
      </c>
      <c r="P433" s="567">
        <f t="shared" si="20"/>
        <v>0</v>
      </c>
      <c r="Q433" s="568" t="e">
        <f t="shared" si="18"/>
        <v>#DIV/0!</v>
      </c>
      <c r="R433" s="676" t="s">
        <v>926</v>
      </c>
    </row>
    <row r="434" spans="1:18" x14ac:dyDescent="0.2">
      <c r="A434" s="558" t="s">
        <v>277</v>
      </c>
      <c r="B434" s="559" t="s">
        <v>914</v>
      </c>
      <c r="C434" s="573" t="s">
        <v>99</v>
      </c>
      <c r="D434" s="327" t="s">
        <v>300</v>
      </c>
      <c r="E434" s="575" t="s">
        <v>1715</v>
      </c>
      <c r="F434" s="561" t="s">
        <v>109</v>
      </c>
      <c r="G434" s="562" t="s">
        <v>939</v>
      </c>
      <c r="H434" s="563" t="s">
        <v>927</v>
      </c>
      <c r="I434" s="578" t="s">
        <v>925</v>
      </c>
      <c r="J434" s="564" t="s">
        <v>757</v>
      </c>
      <c r="K434" s="561">
        <v>17</v>
      </c>
      <c r="L434" s="338"/>
      <c r="M434" s="565">
        <v>158</v>
      </c>
      <c r="N434" s="565">
        <v>15</v>
      </c>
      <c r="O434" s="566">
        <f t="shared" si="19"/>
        <v>9.49367088607595E-2</v>
      </c>
      <c r="P434" s="567">
        <f t="shared" si="20"/>
        <v>0.5584512285927028</v>
      </c>
      <c r="Q434" s="568">
        <f t="shared" si="18"/>
        <v>0.55845122859270291</v>
      </c>
      <c r="R434" s="675"/>
    </row>
    <row r="435" spans="1:18" x14ac:dyDescent="0.2">
      <c r="A435" s="558" t="s">
        <v>277</v>
      </c>
      <c r="B435" s="559" t="s">
        <v>914</v>
      </c>
      <c r="C435" s="573" t="s">
        <v>99</v>
      </c>
      <c r="D435" s="327" t="s">
        <v>292</v>
      </c>
      <c r="E435" s="575" t="s">
        <v>1715</v>
      </c>
      <c r="F435" s="561" t="s">
        <v>109</v>
      </c>
      <c r="G435" s="562" t="s">
        <v>939</v>
      </c>
      <c r="H435" s="563" t="s">
        <v>924</v>
      </c>
      <c r="I435" s="578" t="s">
        <v>925</v>
      </c>
      <c r="J435" s="564" t="s">
        <v>757</v>
      </c>
      <c r="K435" s="561">
        <v>36</v>
      </c>
      <c r="L435" s="338"/>
      <c r="M435" s="565">
        <v>7</v>
      </c>
      <c r="N435" s="565">
        <v>1</v>
      </c>
      <c r="O435" s="566">
        <f t="shared" si="19"/>
        <v>0.14285714285714285</v>
      </c>
      <c r="P435" s="567">
        <f t="shared" si="20"/>
        <v>0.3968253968253968</v>
      </c>
      <c r="Q435" s="568">
        <f t="shared" si="18"/>
        <v>0.3968253968253968</v>
      </c>
      <c r="R435" s="675"/>
    </row>
    <row r="436" spans="1:18" x14ac:dyDescent="0.2">
      <c r="A436" s="558" t="s">
        <v>277</v>
      </c>
      <c r="B436" s="559" t="s">
        <v>914</v>
      </c>
      <c r="C436" s="573" t="s">
        <v>99</v>
      </c>
      <c r="D436" s="327" t="s">
        <v>294</v>
      </c>
      <c r="E436" s="575" t="s">
        <v>1846</v>
      </c>
      <c r="F436" s="561" t="s">
        <v>109</v>
      </c>
      <c r="G436" s="562" t="s">
        <v>939</v>
      </c>
      <c r="H436" s="563" t="s">
        <v>924</v>
      </c>
      <c r="I436" s="578" t="s">
        <v>925</v>
      </c>
      <c r="J436" s="564" t="s">
        <v>757</v>
      </c>
      <c r="K436" s="561">
        <v>80</v>
      </c>
      <c r="L436" s="338"/>
      <c r="M436" s="565">
        <v>8</v>
      </c>
      <c r="N436" s="565">
        <v>3</v>
      </c>
      <c r="O436" s="566">
        <f t="shared" si="19"/>
        <v>0.375</v>
      </c>
      <c r="P436" s="567">
        <f t="shared" si="20"/>
        <v>0.46875</v>
      </c>
      <c r="Q436" s="568">
        <f t="shared" si="18"/>
        <v>0.46875</v>
      </c>
      <c r="R436" s="675"/>
    </row>
    <row r="437" spans="1:18" x14ac:dyDescent="0.2">
      <c r="A437" s="558" t="s">
        <v>277</v>
      </c>
      <c r="B437" s="559" t="s">
        <v>914</v>
      </c>
      <c r="C437" s="573" t="s">
        <v>99</v>
      </c>
      <c r="D437" s="327" t="s">
        <v>282</v>
      </c>
      <c r="E437" s="575" t="s">
        <v>1846</v>
      </c>
      <c r="F437" s="561" t="s">
        <v>109</v>
      </c>
      <c r="G437" s="562" t="s">
        <v>939</v>
      </c>
      <c r="H437" s="563" t="s">
        <v>924</v>
      </c>
      <c r="I437" s="578" t="s">
        <v>925</v>
      </c>
      <c r="J437" s="564" t="s">
        <v>757</v>
      </c>
      <c r="K437" s="561">
        <v>0</v>
      </c>
      <c r="L437" s="338" t="s">
        <v>926</v>
      </c>
      <c r="M437" s="565">
        <v>4</v>
      </c>
      <c r="N437" s="565">
        <v>1</v>
      </c>
      <c r="O437" s="566">
        <f t="shared" si="19"/>
        <v>0.25</v>
      </c>
      <c r="P437" s="567">
        <f t="shared" si="20"/>
        <v>0</v>
      </c>
      <c r="Q437" s="568" t="e">
        <f t="shared" si="18"/>
        <v>#DIV/0!</v>
      </c>
      <c r="R437" s="676" t="s">
        <v>926</v>
      </c>
    </row>
    <row r="438" spans="1:18" x14ac:dyDescent="0.2">
      <c r="A438" s="558" t="s">
        <v>277</v>
      </c>
      <c r="B438" s="559" t="s">
        <v>914</v>
      </c>
      <c r="C438" s="573" t="s">
        <v>99</v>
      </c>
      <c r="D438" s="327" t="s">
        <v>285</v>
      </c>
      <c r="E438" s="575" t="s">
        <v>1846</v>
      </c>
      <c r="F438" s="561" t="s">
        <v>109</v>
      </c>
      <c r="G438" s="562" t="s">
        <v>939</v>
      </c>
      <c r="H438" s="563" t="s">
        <v>924</v>
      </c>
      <c r="I438" s="578" t="s">
        <v>925</v>
      </c>
      <c r="J438" s="564" t="s">
        <v>757</v>
      </c>
      <c r="K438" s="561">
        <v>0</v>
      </c>
      <c r="L438" s="338" t="s">
        <v>926</v>
      </c>
      <c r="M438" s="565">
        <v>1</v>
      </c>
      <c r="N438" s="565">
        <v>0</v>
      </c>
      <c r="O438" s="566">
        <f t="shared" si="19"/>
        <v>0</v>
      </c>
      <c r="P438" s="567">
        <f t="shared" si="20"/>
        <v>0</v>
      </c>
      <c r="Q438" s="568" t="e">
        <f t="shared" si="18"/>
        <v>#DIV/0!</v>
      </c>
      <c r="R438" s="676" t="s">
        <v>926</v>
      </c>
    </row>
    <row r="439" spans="1:18" x14ac:dyDescent="0.2">
      <c r="A439" s="558" t="s">
        <v>277</v>
      </c>
      <c r="B439" s="559" t="s">
        <v>914</v>
      </c>
      <c r="C439" s="573" t="s">
        <v>296</v>
      </c>
      <c r="D439" s="327" t="s">
        <v>300</v>
      </c>
      <c r="E439" s="575" t="s">
        <v>1847</v>
      </c>
      <c r="F439" s="561" t="s">
        <v>109</v>
      </c>
      <c r="G439" s="562" t="s">
        <v>939</v>
      </c>
      <c r="H439" s="563" t="s">
        <v>927</v>
      </c>
      <c r="I439" s="578" t="s">
        <v>925</v>
      </c>
      <c r="J439" s="564" t="s">
        <v>757</v>
      </c>
      <c r="K439" s="561">
        <v>13</v>
      </c>
      <c r="L439" s="338"/>
      <c r="M439" s="565">
        <v>0</v>
      </c>
      <c r="N439" s="565">
        <v>0</v>
      </c>
      <c r="O439" s="566">
        <f t="shared" si="19"/>
        <v>0</v>
      </c>
      <c r="P439" s="567">
        <f t="shared" si="20"/>
        <v>0</v>
      </c>
      <c r="Q439" s="568" t="e">
        <f t="shared" si="18"/>
        <v>#DIV/0!</v>
      </c>
      <c r="R439" s="676" t="s">
        <v>1919</v>
      </c>
    </row>
    <row r="440" spans="1:18" x14ac:dyDescent="0.2">
      <c r="A440" s="558" t="s">
        <v>277</v>
      </c>
      <c r="B440" s="559" t="s">
        <v>914</v>
      </c>
      <c r="C440" s="573" t="s">
        <v>296</v>
      </c>
      <c r="D440" s="327" t="s">
        <v>292</v>
      </c>
      <c r="E440" s="575" t="s">
        <v>1847</v>
      </c>
      <c r="F440" s="561" t="s">
        <v>109</v>
      </c>
      <c r="G440" s="562" t="s">
        <v>939</v>
      </c>
      <c r="H440" s="563" t="s">
        <v>924</v>
      </c>
      <c r="I440" s="578" t="s">
        <v>925</v>
      </c>
      <c r="J440" s="564" t="s">
        <v>757</v>
      </c>
      <c r="K440" s="561">
        <v>0</v>
      </c>
      <c r="L440" s="338" t="s">
        <v>926</v>
      </c>
      <c r="M440" s="565">
        <v>3</v>
      </c>
      <c r="N440" s="565">
        <v>1</v>
      </c>
      <c r="O440" s="566">
        <f t="shared" si="19"/>
        <v>0.33333333333333331</v>
      </c>
      <c r="P440" s="567">
        <f t="shared" si="20"/>
        <v>0</v>
      </c>
      <c r="Q440" s="568" t="e">
        <f t="shared" si="18"/>
        <v>#DIV/0!</v>
      </c>
      <c r="R440" s="676" t="s">
        <v>926</v>
      </c>
    </row>
    <row r="441" spans="1:18" x14ac:dyDescent="0.2">
      <c r="A441" s="558" t="s">
        <v>277</v>
      </c>
      <c r="B441" s="559" t="s">
        <v>914</v>
      </c>
      <c r="C441" s="573" t="s">
        <v>296</v>
      </c>
      <c r="D441" s="327" t="s">
        <v>294</v>
      </c>
      <c r="E441" s="575" t="s">
        <v>1848</v>
      </c>
      <c r="F441" s="561" t="s">
        <v>109</v>
      </c>
      <c r="G441" s="562" t="s">
        <v>939</v>
      </c>
      <c r="H441" s="563" t="s">
        <v>924</v>
      </c>
      <c r="I441" s="578" t="s">
        <v>925</v>
      </c>
      <c r="J441" s="564" t="s">
        <v>757</v>
      </c>
      <c r="K441" s="561">
        <v>0</v>
      </c>
      <c r="L441" s="338" t="s">
        <v>926</v>
      </c>
      <c r="M441" s="565">
        <v>1</v>
      </c>
      <c r="N441" s="565">
        <v>0</v>
      </c>
      <c r="O441" s="566">
        <f t="shared" si="19"/>
        <v>0</v>
      </c>
      <c r="P441" s="567">
        <f t="shared" si="20"/>
        <v>0</v>
      </c>
      <c r="Q441" s="568" t="e">
        <f t="shared" si="18"/>
        <v>#DIV/0!</v>
      </c>
      <c r="R441" s="676" t="s">
        <v>926</v>
      </c>
    </row>
    <row r="442" spans="1:18" x14ac:dyDescent="0.2">
      <c r="A442" s="558" t="s">
        <v>277</v>
      </c>
      <c r="B442" s="559" t="s">
        <v>914</v>
      </c>
      <c r="C442" s="573" t="s">
        <v>296</v>
      </c>
      <c r="D442" s="327" t="s">
        <v>282</v>
      </c>
      <c r="E442" s="575" t="s">
        <v>1848</v>
      </c>
      <c r="F442" s="561" t="s">
        <v>109</v>
      </c>
      <c r="G442" s="562" t="s">
        <v>939</v>
      </c>
      <c r="H442" s="563" t="s">
        <v>924</v>
      </c>
      <c r="I442" s="578" t="s">
        <v>925</v>
      </c>
      <c r="J442" s="564" t="s">
        <v>757</v>
      </c>
      <c r="K442" s="561">
        <v>0</v>
      </c>
      <c r="L442" s="338" t="s">
        <v>926</v>
      </c>
      <c r="M442" s="565">
        <v>2</v>
      </c>
      <c r="N442" s="565">
        <v>1</v>
      </c>
      <c r="O442" s="566">
        <f t="shared" si="19"/>
        <v>0.5</v>
      </c>
      <c r="P442" s="567">
        <f t="shared" si="20"/>
        <v>0</v>
      </c>
      <c r="Q442" s="568" t="e">
        <f t="shared" si="18"/>
        <v>#DIV/0!</v>
      </c>
      <c r="R442" s="676" t="s">
        <v>926</v>
      </c>
    </row>
    <row r="443" spans="1:18" x14ac:dyDescent="0.2">
      <c r="A443" s="558" t="s">
        <v>277</v>
      </c>
      <c r="B443" s="559" t="s">
        <v>914</v>
      </c>
      <c r="C443" s="573" t="s">
        <v>296</v>
      </c>
      <c r="D443" s="327" t="s">
        <v>285</v>
      </c>
      <c r="E443" s="575" t="s">
        <v>1715</v>
      </c>
      <c r="F443" s="561" t="s">
        <v>109</v>
      </c>
      <c r="G443" s="562" t="s">
        <v>939</v>
      </c>
      <c r="H443" s="563" t="s">
        <v>924</v>
      </c>
      <c r="I443" s="578" t="s">
        <v>925</v>
      </c>
      <c r="J443" s="564" t="s">
        <v>757</v>
      </c>
      <c r="K443" s="561">
        <v>25</v>
      </c>
      <c r="L443" s="338"/>
      <c r="M443" s="565">
        <v>11</v>
      </c>
      <c r="N443" s="565">
        <v>3</v>
      </c>
      <c r="O443" s="566">
        <f t="shared" si="19"/>
        <v>0.27272727272727271</v>
      </c>
      <c r="P443" s="567">
        <f t="shared" si="20"/>
        <v>1.0909090909090908</v>
      </c>
      <c r="Q443" s="568">
        <f t="shared" si="18"/>
        <v>1.0909090909090908</v>
      </c>
      <c r="R443" s="675"/>
    </row>
    <row r="444" spans="1:18" x14ac:dyDescent="0.2">
      <c r="A444" s="558" t="s">
        <v>277</v>
      </c>
      <c r="B444" s="559" t="s">
        <v>914</v>
      </c>
      <c r="C444" s="573" t="s">
        <v>296</v>
      </c>
      <c r="D444" s="327" t="s">
        <v>298</v>
      </c>
      <c r="E444" s="575" t="s">
        <v>1715</v>
      </c>
      <c r="F444" s="561" t="s">
        <v>109</v>
      </c>
      <c r="G444" s="562" t="s">
        <v>939</v>
      </c>
      <c r="H444" s="563" t="s">
        <v>924</v>
      </c>
      <c r="I444" s="578" t="s">
        <v>925</v>
      </c>
      <c r="J444" s="564" t="s">
        <v>757</v>
      </c>
      <c r="K444" s="561">
        <v>10</v>
      </c>
      <c r="L444" s="338"/>
      <c r="M444" s="565">
        <v>20</v>
      </c>
      <c r="N444" s="565">
        <v>7</v>
      </c>
      <c r="O444" s="566">
        <f t="shared" si="19"/>
        <v>0.35</v>
      </c>
      <c r="P444" s="567">
        <f t="shared" si="20"/>
        <v>3.5</v>
      </c>
      <c r="Q444" s="568">
        <f t="shared" si="18"/>
        <v>3.5</v>
      </c>
      <c r="R444" s="675"/>
    </row>
    <row r="445" spans="1:18" x14ac:dyDescent="0.2">
      <c r="A445" s="558" t="s">
        <v>277</v>
      </c>
      <c r="B445" s="559" t="s">
        <v>914</v>
      </c>
      <c r="C445" s="573" t="s">
        <v>316</v>
      </c>
      <c r="D445" s="327" t="s">
        <v>292</v>
      </c>
      <c r="E445" s="575" t="s">
        <v>1849</v>
      </c>
      <c r="F445" s="561" t="s">
        <v>109</v>
      </c>
      <c r="G445" s="562" t="s">
        <v>939</v>
      </c>
      <c r="H445" s="563" t="s">
        <v>924</v>
      </c>
      <c r="I445" s="578" t="s">
        <v>925</v>
      </c>
      <c r="J445" s="564" t="s">
        <v>757</v>
      </c>
      <c r="K445" s="561">
        <v>0</v>
      </c>
      <c r="L445" s="338" t="s">
        <v>926</v>
      </c>
      <c r="M445" s="565">
        <v>0</v>
      </c>
      <c r="N445" s="565">
        <v>0</v>
      </c>
      <c r="O445" s="566">
        <f t="shared" si="19"/>
        <v>0</v>
      </c>
      <c r="P445" s="567">
        <f t="shared" si="20"/>
        <v>0</v>
      </c>
      <c r="Q445" s="568" t="e">
        <f t="shared" si="18"/>
        <v>#DIV/0!</v>
      </c>
      <c r="R445" s="676" t="s">
        <v>1919</v>
      </c>
    </row>
    <row r="446" spans="1:18" x14ac:dyDescent="0.2">
      <c r="A446" s="558" t="s">
        <v>277</v>
      </c>
      <c r="B446" s="559" t="s">
        <v>914</v>
      </c>
      <c r="C446" s="573" t="s">
        <v>316</v>
      </c>
      <c r="D446" s="327" t="s">
        <v>294</v>
      </c>
      <c r="E446" s="575" t="s">
        <v>1849</v>
      </c>
      <c r="F446" s="561" t="s">
        <v>109</v>
      </c>
      <c r="G446" s="562" t="s">
        <v>939</v>
      </c>
      <c r="H446" s="563" t="s">
        <v>924</v>
      </c>
      <c r="I446" s="578" t="s">
        <v>925</v>
      </c>
      <c r="J446" s="564" t="s">
        <v>757</v>
      </c>
      <c r="K446" s="561">
        <v>0</v>
      </c>
      <c r="L446" s="338" t="s">
        <v>926</v>
      </c>
      <c r="M446" s="565">
        <v>0</v>
      </c>
      <c r="N446" s="565">
        <v>0</v>
      </c>
      <c r="O446" s="566">
        <f t="shared" si="19"/>
        <v>0</v>
      </c>
      <c r="P446" s="567">
        <f t="shared" si="20"/>
        <v>0</v>
      </c>
      <c r="Q446" s="568" t="e">
        <f t="shared" si="18"/>
        <v>#DIV/0!</v>
      </c>
      <c r="R446" s="676" t="s">
        <v>1919</v>
      </c>
    </row>
    <row r="447" spans="1:18" x14ac:dyDescent="0.2">
      <c r="A447" s="558" t="s">
        <v>277</v>
      </c>
      <c r="B447" s="559" t="s">
        <v>914</v>
      </c>
      <c r="C447" s="573" t="s">
        <v>308</v>
      </c>
      <c r="D447" s="327" t="s">
        <v>300</v>
      </c>
      <c r="E447" s="575" t="s">
        <v>1715</v>
      </c>
      <c r="F447" s="561" t="s">
        <v>109</v>
      </c>
      <c r="G447" s="562" t="s">
        <v>939</v>
      </c>
      <c r="H447" s="563" t="s">
        <v>927</v>
      </c>
      <c r="I447" s="578" t="s">
        <v>925</v>
      </c>
      <c r="J447" s="564" t="s">
        <v>757</v>
      </c>
      <c r="K447" s="561">
        <v>38</v>
      </c>
      <c r="L447" s="338"/>
      <c r="M447" s="565">
        <v>51</v>
      </c>
      <c r="N447" s="565">
        <v>3</v>
      </c>
      <c r="O447" s="566">
        <f t="shared" si="19"/>
        <v>5.8823529411764705E-2</v>
      </c>
      <c r="P447" s="567">
        <f t="shared" si="20"/>
        <v>0.15479876160990713</v>
      </c>
      <c r="Q447" s="568">
        <f t="shared" si="18"/>
        <v>0.15479876160990713</v>
      </c>
      <c r="R447" s="675"/>
    </row>
    <row r="448" spans="1:18" x14ac:dyDescent="0.2">
      <c r="A448" s="558" t="s">
        <v>277</v>
      </c>
      <c r="B448" s="559" t="s">
        <v>914</v>
      </c>
      <c r="C448" s="573" t="s">
        <v>308</v>
      </c>
      <c r="D448" s="327" t="s">
        <v>292</v>
      </c>
      <c r="E448" s="575" t="s">
        <v>1850</v>
      </c>
      <c r="F448" s="561" t="s">
        <v>109</v>
      </c>
      <c r="G448" s="562" t="s">
        <v>939</v>
      </c>
      <c r="H448" s="563" t="s">
        <v>924</v>
      </c>
      <c r="I448" s="578" t="s">
        <v>925</v>
      </c>
      <c r="J448" s="564" t="s">
        <v>757</v>
      </c>
      <c r="K448" s="561">
        <v>0</v>
      </c>
      <c r="L448" s="338" t="s">
        <v>926</v>
      </c>
      <c r="M448" s="565">
        <v>7</v>
      </c>
      <c r="N448" s="565">
        <v>2</v>
      </c>
      <c r="O448" s="566">
        <f t="shared" si="19"/>
        <v>0.2857142857142857</v>
      </c>
      <c r="P448" s="567">
        <f t="shared" si="20"/>
        <v>0</v>
      </c>
      <c r="Q448" s="568" t="e">
        <f t="shared" si="18"/>
        <v>#DIV/0!</v>
      </c>
      <c r="R448" s="676" t="s">
        <v>926</v>
      </c>
    </row>
    <row r="449" spans="1:18" x14ac:dyDescent="0.2">
      <c r="A449" s="558" t="s">
        <v>277</v>
      </c>
      <c r="B449" s="559" t="s">
        <v>914</v>
      </c>
      <c r="C449" s="573" t="s">
        <v>308</v>
      </c>
      <c r="D449" s="327" t="s">
        <v>294</v>
      </c>
      <c r="E449" s="575" t="s">
        <v>1850</v>
      </c>
      <c r="F449" s="561" t="s">
        <v>109</v>
      </c>
      <c r="G449" s="562" t="s">
        <v>939</v>
      </c>
      <c r="H449" s="563" t="s">
        <v>924</v>
      </c>
      <c r="I449" s="578" t="s">
        <v>925</v>
      </c>
      <c r="J449" s="564" t="s">
        <v>757</v>
      </c>
      <c r="K449" s="561">
        <v>0</v>
      </c>
      <c r="L449" s="338" t="s">
        <v>926</v>
      </c>
      <c r="M449" s="565">
        <v>1</v>
      </c>
      <c r="N449" s="565">
        <v>0</v>
      </c>
      <c r="O449" s="566">
        <f t="shared" si="19"/>
        <v>0</v>
      </c>
      <c r="P449" s="567">
        <f t="shared" si="20"/>
        <v>0</v>
      </c>
      <c r="Q449" s="568" t="e">
        <f t="shared" si="18"/>
        <v>#DIV/0!</v>
      </c>
      <c r="R449" s="676" t="s">
        <v>926</v>
      </c>
    </row>
    <row r="450" spans="1:18" x14ac:dyDescent="0.2">
      <c r="A450" s="558" t="s">
        <v>277</v>
      </c>
      <c r="B450" s="559" t="s">
        <v>914</v>
      </c>
      <c r="C450" s="573" t="s">
        <v>305</v>
      </c>
      <c r="D450" s="327" t="s">
        <v>300</v>
      </c>
      <c r="E450" s="575" t="s">
        <v>1715</v>
      </c>
      <c r="F450" s="561" t="s">
        <v>109</v>
      </c>
      <c r="G450" s="562" t="s">
        <v>939</v>
      </c>
      <c r="H450" s="563" t="s">
        <v>927</v>
      </c>
      <c r="I450" s="578" t="s">
        <v>925</v>
      </c>
      <c r="J450" s="564" t="s">
        <v>757</v>
      </c>
      <c r="K450" s="561">
        <v>5</v>
      </c>
      <c r="L450" s="338"/>
      <c r="M450" s="565">
        <v>568</v>
      </c>
      <c r="N450" s="565">
        <v>24</v>
      </c>
      <c r="O450" s="566">
        <f t="shared" si="19"/>
        <v>4.2253521126760563E-2</v>
      </c>
      <c r="P450" s="567">
        <f t="shared" si="20"/>
        <v>0.84507042253521125</v>
      </c>
      <c r="Q450" s="568">
        <f t="shared" si="18"/>
        <v>0.84507042253521136</v>
      </c>
      <c r="R450" s="675"/>
    </row>
    <row r="451" spans="1:18" x14ac:dyDescent="0.2">
      <c r="A451" s="558" t="s">
        <v>277</v>
      </c>
      <c r="B451" s="559" t="s">
        <v>914</v>
      </c>
      <c r="C451" s="573" t="s">
        <v>305</v>
      </c>
      <c r="D451" s="327" t="s">
        <v>292</v>
      </c>
      <c r="E451" s="575" t="s">
        <v>1715</v>
      </c>
      <c r="F451" s="561" t="s">
        <v>109</v>
      </c>
      <c r="G451" s="562" t="s">
        <v>939</v>
      </c>
      <c r="H451" s="563" t="s">
        <v>924</v>
      </c>
      <c r="I451" s="578" t="s">
        <v>925</v>
      </c>
      <c r="J451" s="564" t="s">
        <v>757</v>
      </c>
      <c r="K451" s="561">
        <v>32</v>
      </c>
      <c r="L451" s="338"/>
      <c r="M451" s="565">
        <v>85</v>
      </c>
      <c r="N451" s="565">
        <v>22</v>
      </c>
      <c r="O451" s="566">
        <f t="shared" si="19"/>
        <v>0.25882352941176473</v>
      </c>
      <c r="P451" s="567">
        <f t="shared" si="20"/>
        <v>0.80882352941176472</v>
      </c>
      <c r="Q451" s="568">
        <f t="shared" si="18"/>
        <v>0.80882352941176472</v>
      </c>
      <c r="R451" s="675"/>
    </row>
    <row r="452" spans="1:18" x14ac:dyDescent="0.2">
      <c r="A452" s="558" t="s">
        <v>277</v>
      </c>
      <c r="B452" s="559" t="s">
        <v>914</v>
      </c>
      <c r="C452" s="573" t="s">
        <v>305</v>
      </c>
      <c r="D452" s="327" t="s">
        <v>294</v>
      </c>
      <c r="E452" s="575" t="s">
        <v>1851</v>
      </c>
      <c r="F452" s="561" t="s">
        <v>109</v>
      </c>
      <c r="G452" s="562" t="s">
        <v>939</v>
      </c>
      <c r="H452" s="563" t="s">
        <v>924</v>
      </c>
      <c r="I452" s="578" t="s">
        <v>925</v>
      </c>
      <c r="J452" s="564" t="s">
        <v>757</v>
      </c>
      <c r="K452" s="561">
        <v>33</v>
      </c>
      <c r="L452" s="338"/>
      <c r="M452" s="565">
        <v>24</v>
      </c>
      <c r="N452" s="565">
        <v>8</v>
      </c>
      <c r="O452" s="566">
        <f t="shared" si="19"/>
        <v>0.33333333333333331</v>
      </c>
      <c r="P452" s="567">
        <f t="shared" si="20"/>
        <v>1.0101010101010102</v>
      </c>
      <c r="Q452" s="568">
        <f t="shared" si="18"/>
        <v>1.0101010101010102</v>
      </c>
      <c r="R452" s="675"/>
    </row>
    <row r="453" spans="1:18" x14ac:dyDescent="0.2">
      <c r="A453" s="558" t="s">
        <v>277</v>
      </c>
      <c r="B453" s="559" t="s">
        <v>914</v>
      </c>
      <c r="C453" s="573" t="s">
        <v>305</v>
      </c>
      <c r="D453" s="327" t="s">
        <v>285</v>
      </c>
      <c r="E453" s="575" t="s">
        <v>1851</v>
      </c>
      <c r="F453" s="561" t="s">
        <v>109</v>
      </c>
      <c r="G453" s="562" t="s">
        <v>939</v>
      </c>
      <c r="H453" s="563" t="s">
        <v>924</v>
      </c>
      <c r="I453" s="578" t="s">
        <v>925</v>
      </c>
      <c r="J453" s="564" t="s">
        <v>757</v>
      </c>
      <c r="K453" s="561">
        <v>0</v>
      </c>
      <c r="L453" s="338" t="s">
        <v>926</v>
      </c>
      <c r="M453" s="565">
        <v>2</v>
      </c>
      <c r="N453" s="565">
        <v>1</v>
      </c>
      <c r="O453" s="566">
        <f t="shared" si="19"/>
        <v>0.5</v>
      </c>
      <c r="P453" s="567">
        <f t="shared" si="20"/>
        <v>0</v>
      </c>
      <c r="Q453" s="568" t="e">
        <f t="shared" ref="Q453:Q516" si="21">N453/(M453*K453/100)</f>
        <v>#DIV/0!</v>
      </c>
      <c r="R453" s="676" t="s">
        <v>926</v>
      </c>
    </row>
    <row r="454" spans="1:18" x14ac:dyDescent="0.2">
      <c r="A454" s="558" t="s">
        <v>277</v>
      </c>
      <c r="B454" s="559" t="s">
        <v>914</v>
      </c>
      <c r="C454" s="573" t="s">
        <v>97</v>
      </c>
      <c r="D454" s="327" t="s">
        <v>282</v>
      </c>
      <c r="E454" s="575" t="s">
        <v>1843</v>
      </c>
      <c r="F454" s="561" t="s">
        <v>109</v>
      </c>
      <c r="G454" s="562" t="s">
        <v>940</v>
      </c>
      <c r="H454" s="563" t="s">
        <v>924</v>
      </c>
      <c r="I454" s="578" t="s">
        <v>925</v>
      </c>
      <c r="J454" s="564" t="s">
        <v>757</v>
      </c>
      <c r="K454" s="561">
        <v>33</v>
      </c>
      <c r="L454" s="338"/>
      <c r="M454" s="565">
        <v>6</v>
      </c>
      <c r="N454" s="579">
        <v>3</v>
      </c>
      <c r="O454" s="566">
        <f t="shared" ref="O454:O517" si="22">IFERROR(N454/M454,0)</f>
        <v>0.5</v>
      </c>
      <c r="P454" s="567">
        <f t="shared" ref="P454:P517" si="23">IFERROR(N454/(M454*(K454/100)),0)</f>
        <v>1.5151515151515151</v>
      </c>
      <c r="Q454" s="568">
        <f t="shared" si="21"/>
        <v>1.5151515151515151</v>
      </c>
      <c r="R454" s="676"/>
    </row>
    <row r="455" spans="1:18" x14ac:dyDescent="0.2">
      <c r="A455" s="558" t="s">
        <v>277</v>
      </c>
      <c r="B455" s="559" t="s">
        <v>914</v>
      </c>
      <c r="C455" s="573" t="s">
        <v>97</v>
      </c>
      <c r="D455" s="327" t="s">
        <v>285</v>
      </c>
      <c r="E455" s="575" t="s">
        <v>1843</v>
      </c>
      <c r="F455" s="561" t="s">
        <v>109</v>
      </c>
      <c r="G455" s="562" t="s">
        <v>940</v>
      </c>
      <c r="H455" s="563" t="s">
        <v>924</v>
      </c>
      <c r="I455" s="578" t="s">
        <v>925</v>
      </c>
      <c r="J455" s="564" t="s">
        <v>757</v>
      </c>
      <c r="K455" s="561">
        <v>0</v>
      </c>
      <c r="L455" s="338" t="s">
        <v>926</v>
      </c>
      <c r="M455" s="565">
        <v>8</v>
      </c>
      <c r="N455" s="579">
        <v>0</v>
      </c>
      <c r="O455" s="566">
        <f t="shared" si="22"/>
        <v>0</v>
      </c>
      <c r="P455" s="567">
        <f t="shared" si="23"/>
        <v>0</v>
      </c>
      <c r="Q455" s="568" t="e">
        <f t="shared" si="21"/>
        <v>#DIV/0!</v>
      </c>
      <c r="R455" s="676" t="s">
        <v>926</v>
      </c>
    </row>
    <row r="456" spans="1:18" x14ac:dyDescent="0.2">
      <c r="A456" s="558" t="s">
        <v>277</v>
      </c>
      <c r="B456" s="559" t="s">
        <v>914</v>
      </c>
      <c r="C456" s="573" t="s">
        <v>286</v>
      </c>
      <c r="D456" s="327" t="s">
        <v>300</v>
      </c>
      <c r="E456" s="575" t="s">
        <v>1715</v>
      </c>
      <c r="F456" s="561" t="s">
        <v>109</v>
      </c>
      <c r="G456" s="562" t="s">
        <v>940</v>
      </c>
      <c r="H456" s="563" t="s">
        <v>927</v>
      </c>
      <c r="I456" s="578" t="s">
        <v>925</v>
      </c>
      <c r="J456" s="564" t="s">
        <v>757</v>
      </c>
      <c r="K456" s="561">
        <v>0</v>
      </c>
      <c r="L456" s="338" t="s">
        <v>926</v>
      </c>
      <c r="M456" s="565">
        <v>39</v>
      </c>
      <c r="N456" s="579">
        <v>4</v>
      </c>
      <c r="O456" s="566">
        <f t="shared" si="22"/>
        <v>0.10256410256410256</v>
      </c>
      <c r="P456" s="567">
        <f t="shared" si="23"/>
        <v>0</v>
      </c>
      <c r="Q456" s="568" t="e">
        <f t="shared" si="21"/>
        <v>#DIV/0!</v>
      </c>
      <c r="R456" s="676" t="s">
        <v>926</v>
      </c>
    </row>
    <row r="457" spans="1:18" x14ac:dyDescent="0.2">
      <c r="A457" s="558" t="s">
        <v>277</v>
      </c>
      <c r="B457" s="559" t="s">
        <v>914</v>
      </c>
      <c r="C457" s="573" t="s">
        <v>286</v>
      </c>
      <c r="D457" s="327" t="s">
        <v>292</v>
      </c>
      <c r="E457" s="575" t="s">
        <v>1715</v>
      </c>
      <c r="F457" s="561" t="s">
        <v>109</v>
      </c>
      <c r="G457" s="562" t="s">
        <v>940</v>
      </c>
      <c r="H457" s="563" t="s">
        <v>924</v>
      </c>
      <c r="I457" s="578" t="s">
        <v>925</v>
      </c>
      <c r="J457" s="564" t="s">
        <v>757</v>
      </c>
      <c r="K457" s="561">
        <v>26</v>
      </c>
      <c r="L457" s="338"/>
      <c r="M457" s="565">
        <v>12</v>
      </c>
      <c r="N457" s="579">
        <v>3</v>
      </c>
      <c r="O457" s="566">
        <f t="shared" si="22"/>
        <v>0.25</v>
      </c>
      <c r="P457" s="567">
        <f t="shared" si="23"/>
        <v>0.96153846153846145</v>
      </c>
      <c r="Q457" s="568">
        <f t="shared" si="21"/>
        <v>0.96153846153846145</v>
      </c>
      <c r="R457" s="675"/>
    </row>
    <row r="458" spans="1:18" x14ac:dyDescent="0.2">
      <c r="A458" s="558" t="s">
        <v>277</v>
      </c>
      <c r="B458" s="559" t="s">
        <v>914</v>
      </c>
      <c r="C458" s="573" t="s">
        <v>286</v>
      </c>
      <c r="D458" s="327" t="s">
        <v>294</v>
      </c>
      <c r="E458" s="575" t="s">
        <v>1715</v>
      </c>
      <c r="F458" s="561" t="s">
        <v>109</v>
      </c>
      <c r="G458" s="562" t="s">
        <v>940</v>
      </c>
      <c r="H458" s="563" t="s">
        <v>924</v>
      </c>
      <c r="I458" s="578" t="s">
        <v>925</v>
      </c>
      <c r="J458" s="564" t="s">
        <v>757</v>
      </c>
      <c r="K458" s="561">
        <v>16</v>
      </c>
      <c r="L458" s="338"/>
      <c r="M458" s="565">
        <v>40</v>
      </c>
      <c r="N458" s="579">
        <v>7</v>
      </c>
      <c r="O458" s="566">
        <f t="shared" si="22"/>
        <v>0.17499999999999999</v>
      </c>
      <c r="P458" s="567">
        <f t="shared" si="23"/>
        <v>1.09375</v>
      </c>
      <c r="Q458" s="568">
        <f t="shared" si="21"/>
        <v>1.09375</v>
      </c>
      <c r="R458" s="675"/>
    </row>
    <row r="459" spans="1:18" x14ac:dyDescent="0.2">
      <c r="A459" s="558" t="s">
        <v>277</v>
      </c>
      <c r="B459" s="559" t="s">
        <v>914</v>
      </c>
      <c r="C459" s="573" t="s">
        <v>286</v>
      </c>
      <c r="D459" s="327" t="s">
        <v>282</v>
      </c>
      <c r="E459" s="575" t="s">
        <v>1715</v>
      </c>
      <c r="F459" s="561" t="s">
        <v>109</v>
      </c>
      <c r="G459" s="562" t="s">
        <v>940</v>
      </c>
      <c r="H459" s="563" t="s">
        <v>924</v>
      </c>
      <c r="I459" s="578" t="s">
        <v>925</v>
      </c>
      <c r="J459" s="564" t="s">
        <v>757</v>
      </c>
      <c r="K459" s="561">
        <v>6</v>
      </c>
      <c r="L459" s="338"/>
      <c r="M459" s="565">
        <v>68</v>
      </c>
      <c r="N459" s="579">
        <v>11</v>
      </c>
      <c r="O459" s="566">
        <f t="shared" si="22"/>
        <v>0.16176470588235295</v>
      </c>
      <c r="P459" s="567">
        <f t="shared" si="23"/>
        <v>2.6960784313725488</v>
      </c>
      <c r="Q459" s="568">
        <f t="shared" si="21"/>
        <v>2.6960784313725488</v>
      </c>
      <c r="R459" s="675"/>
    </row>
    <row r="460" spans="1:18" x14ac:dyDescent="0.2">
      <c r="A460" s="558" t="s">
        <v>277</v>
      </c>
      <c r="B460" s="559" t="s">
        <v>914</v>
      </c>
      <c r="C460" s="573" t="s">
        <v>286</v>
      </c>
      <c r="D460" s="327" t="s">
        <v>285</v>
      </c>
      <c r="E460" s="575" t="s">
        <v>1715</v>
      </c>
      <c r="F460" s="561" t="s">
        <v>109</v>
      </c>
      <c r="G460" s="562" t="s">
        <v>940</v>
      </c>
      <c r="H460" s="563" t="s">
        <v>924</v>
      </c>
      <c r="I460" s="578" t="s">
        <v>925</v>
      </c>
      <c r="J460" s="564" t="s">
        <v>757</v>
      </c>
      <c r="K460" s="561">
        <v>8</v>
      </c>
      <c r="L460" s="338"/>
      <c r="M460" s="565">
        <v>47</v>
      </c>
      <c r="N460" s="579">
        <v>8</v>
      </c>
      <c r="O460" s="566">
        <f t="shared" si="22"/>
        <v>0.1702127659574468</v>
      </c>
      <c r="P460" s="567">
        <f t="shared" si="23"/>
        <v>2.1276595744680851</v>
      </c>
      <c r="Q460" s="568">
        <f t="shared" si="21"/>
        <v>2.1276595744680851</v>
      </c>
      <c r="R460" s="675"/>
    </row>
    <row r="461" spans="1:18" x14ac:dyDescent="0.2">
      <c r="A461" s="558" t="s">
        <v>277</v>
      </c>
      <c r="B461" s="559" t="s">
        <v>914</v>
      </c>
      <c r="C461" s="573" t="s">
        <v>303</v>
      </c>
      <c r="D461" s="327" t="s">
        <v>300</v>
      </c>
      <c r="E461" s="575" t="s">
        <v>1715</v>
      </c>
      <c r="F461" s="561" t="s">
        <v>109</v>
      </c>
      <c r="G461" s="562" t="s">
        <v>940</v>
      </c>
      <c r="H461" s="563" t="s">
        <v>927</v>
      </c>
      <c r="I461" s="578" t="s">
        <v>925</v>
      </c>
      <c r="J461" s="564" t="s">
        <v>757</v>
      </c>
      <c r="K461" s="561">
        <v>28.999999999999996</v>
      </c>
      <c r="L461" s="338"/>
      <c r="M461" s="565">
        <v>144</v>
      </c>
      <c r="N461" s="579">
        <v>4</v>
      </c>
      <c r="O461" s="566">
        <f t="shared" si="22"/>
        <v>2.7777777777777776E-2</v>
      </c>
      <c r="P461" s="567">
        <f t="shared" si="23"/>
        <v>9.5785440613026823E-2</v>
      </c>
      <c r="Q461" s="568">
        <f t="shared" si="21"/>
        <v>9.5785440613026837E-2</v>
      </c>
      <c r="R461" s="675"/>
    </row>
    <row r="462" spans="1:18" x14ac:dyDescent="0.2">
      <c r="A462" s="558" t="s">
        <v>277</v>
      </c>
      <c r="B462" s="559" t="s">
        <v>914</v>
      </c>
      <c r="C462" s="573" t="s">
        <v>303</v>
      </c>
      <c r="D462" s="327" t="s">
        <v>292</v>
      </c>
      <c r="E462" s="575" t="s">
        <v>1844</v>
      </c>
      <c r="F462" s="561" t="s">
        <v>109</v>
      </c>
      <c r="G462" s="562" t="s">
        <v>940</v>
      </c>
      <c r="H462" s="563" t="s">
        <v>924</v>
      </c>
      <c r="I462" s="578" t="s">
        <v>925</v>
      </c>
      <c r="J462" s="564" t="s">
        <v>757</v>
      </c>
      <c r="K462" s="561">
        <v>8</v>
      </c>
      <c r="L462" s="338"/>
      <c r="M462" s="565">
        <v>42</v>
      </c>
      <c r="N462" s="579">
        <v>1</v>
      </c>
      <c r="O462" s="566">
        <f t="shared" si="22"/>
        <v>2.3809523809523808E-2</v>
      </c>
      <c r="P462" s="567">
        <f t="shared" si="23"/>
        <v>0.29761904761904762</v>
      </c>
      <c r="Q462" s="568">
        <f t="shared" si="21"/>
        <v>0.29761904761904762</v>
      </c>
      <c r="R462" s="675"/>
    </row>
    <row r="463" spans="1:18" x14ac:dyDescent="0.2">
      <c r="A463" s="558" t="s">
        <v>277</v>
      </c>
      <c r="B463" s="559" t="s">
        <v>914</v>
      </c>
      <c r="C463" s="573" t="s">
        <v>303</v>
      </c>
      <c r="D463" s="327" t="s">
        <v>294</v>
      </c>
      <c r="E463" s="575" t="s">
        <v>1844</v>
      </c>
      <c r="F463" s="561" t="s">
        <v>109</v>
      </c>
      <c r="G463" s="562" t="s">
        <v>940</v>
      </c>
      <c r="H463" s="563" t="s">
        <v>924</v>
      </c>
      <c r="I463" s="578" t="s">
        <v>925</v>
      </c>
      <c r="J463" s="564" t="s">
        <v>757</v>
      </c>
      <c r="K463" s="561">
        <v>0</v>
      </c>
      <c r="L463" s="338" t="s">
        <v>926</v>
      </c>
      <c r="M463" s="565">
        <v>10</v>
      </c>
      <c r="N463" s="579">
        <v>1</v>
      </c>
      <c r="O463" s="566">
        <f t="shared" si="22"/>
        <v>0.1</v>
      </c>
      <c r="P463" s="567">
        <f t="shared" si="23"/>
        <v>0</v>
      </c>
      <c r="Q463" s="568" t="e">
        <f t="shared" si="21"/>
        <v>#DIV/0!</v>
      </c>
      <c r="R463" s="676" t="s">
        <v>926</v>
      </c>
    </row>
    <row r="464" spans="1:18" x14ac:dyDescent="0.2">
      <c r="A464" s="558" t="s">
        <v>277</v>
      </c>
      <c r="B464" s="559" t="s">
        <v>914</v>
      </c>
      <c r="C464" s="573" t="s">
        <v>303</v>
      </c>
      <c r="D464" s="327" t="s">
        <v>282</v>
      </c>
      <c r="E464" s="575" t="s">
        <v>1845</v>
      </c>
      <c r="F464" s="561" t="s">
        <v>109</v>
      </c>
      <c r="G464" s="562" t="s">
        <v>940</v>
      </c>
      <c r="H464" s="563" t="s">
        <v>924</v>
      </c>
      <c r="I464" s="578" t="s">
        <v>925</v>
      </c>
      <c r="J464" s="564" t="s">
        <v>757</v>
      </c>
      <c r="K464" s="561">
        <v>0</v>
      </c>
      <c r="L464" s="338" t="s">
        <v>926</v>
      </c>
      <c r="M464" s="565">
        <v>2</v>
      </c>
      <c r="N464" s="579">
        <v>0</v>
      </c>
      <c r="O464" s="566">
        <f t="shared" si="22"/>
        <v>0</v>
      </c>
      <c r="P464" s="567">
        <f t="shared" si="23"/>
        <v>0</v>
      </c>
      <c r="Q464" s="568" t="e">
        <f t="shared" si="21"/>
        <v>#DIV/0!</v>
      </c>
      <c r="R464" s="676" t="s">
        <v>926</v>
      </c>
    </row>
    <row r="465" spans="1:18" x14ac:dyDescent="0.2">
      <c r="A465" s="558" t="s">
        <v>277</v>
      </c>
      <c r="B465" s="559" t="s">
        <v>914</v>
      </c>
      <c r="C465" s="573" t="s">
        <v>303</v>
      </c>
      <c r="D465" s="327" t="s">
        <v>285</v>
      </c>
      <c r="E465" s="575" t="s">
        <v>1845</v>
      </c>
      <c r="F465" s="561" t="s">
        <v>109</v>
      </c>
      <c r="G465" s="562" t="s">
        <v>940</v>
      </c>
      <c r="H465" s="563" t="s">
        <v>924</v>
      </c>
      <c r="I465" s="578" t="s">
        <v>925</v>
      </c>
      <c r="J465" s="564" t="s">
        <v>757</v>
      </c>
      <c r="K465" s="561">
        <v>0</v>
      </c>
      <c r="L465" s="338" t="s">
        <v>926</v>
      </c>
      <c r="M465" s="565">
        <v>5</v>
      </c>
      <c r="N465" s="579">
        <v>1</v>
      </c>
      <c r="O465" s="566">
        <f t="shared" si="22"/>
        <v>0.2</v>
      </c>
      <c r="P465" s="567">
        <f t="shared" si="23"/>
        <v>0</v>
      </c>
      <c r="Q465" s="568" t="e">
        <f t="shared" si="21"/>
        <v>#DIV/0!</v>
      </c>
      <c r="R465" s="676" t="s">
        <v>926</v>
      </c>
    </row>
    <row r="466" spans="1:18" x14ac:dyDescent="0.2">
      <c r="A466" s="558" t="s">
        <v>277</v>
      </c>
      <c r="B466" s="559" t="s">
        <v>914</v>
      </c>
      <c r="C466" s="573" t="s">
        <v>99</v>
      </c>
      <c r="D466" s="327" t="s">
        <v>300</v>
      </c>
      <c r="E466" s="575" t="s">
        <v>1715</v>
      </c>
      <c r="F466" s="561" t="s">
        <v>109</v>
      </c>
      <c r="G466" s="562" t="s">
        <v>940</v>
      </c>
      <c r="H466" s="563" t="s">
        <v>927</v>
      </c>
      <c r="I466" s="578" t="s">
        <v>925</v>
      </c>
      <c r="J466" s="564" t="s">
        <v>757</v>
      </c>
      <c r="K466" s="561">
        <v>17</v>
      </c>
      <c r="L466" s="338"/>
      <c r="M466" s="565">
        <v>158</v>
      </c>
      <c r="N466" s="579">
        <v>5</v>
      </c>
      <c r="O466" s="566">
        <f t="shared" si="22"/>
        <v>3.1645569620253167E-2</v>
      </c>
      <c r="P466" s="567">
        <f t="shared" si="23"/>
        <v>0.18615040953090095</v>
      </c>
      <c r="Q466" s="568">
        <f t="shared" si="21"/>
        <v>0.18615040953090098</v>
      </c>
      <c r="R466" s="675"/>
    </row>
    <row r="467" spans="1:18" x14ac:dyDescent="0.2">
      <c r="A467" s="558" t="s">
        <v>277</v>
      </c>
      <c r="B467" s="559" t="s">
        <v>914</v>
      </c>
      <c r="C467" s="573" t="s">
        <v>99</v>
      </c>
      <c r="D467" s="327" t="s">
        <v>292</v>
      </c>
      <c r="E467" s="575" t="s">
        <v>1715</v>
      </c>
      <c r="F467" s="561" t="s">
        <v>109</v>
      </c>
      <c r="G467" s="562" t="s">
        <v>940</v>
      </c>
      <c r="H467" s="563" t="s">
        <v>924</v>
      </c>
      <c r="I467" s="578" t="s">
        <v>925</v>
      </c>
      <c r="J467" s="564" t="s">
        <v>757</v>
      </c>
      <c r="K467" s="561">
        <v>36</v>
      </c>
      <c r="L467" s="338"/>
      <c r="M467" s="565">
        <v>7</v>
      </c>
      <c r="N467" s="579">
        <v>1</v>
      </c>
      <c r="O467" s="566">
        <f t="shared" si="22"/>
        <v>0.14285714285714285</v>
      </c>
      <c r="P467" s="567">
        <f t="shared" si="23"/>
        <v>0.3968253968253968</v>
      </c>
      <c r="Q467" s="568">
        <f t="shared" si="21"/>
        <v>0.3968253968253968</v>
      </c>
      <c r="R467" s="675"/>
    </row>
    <row r="468" spans="1:18" x14ac:dyDescent="0.2">
      <c r="A468" s="558" t="s">
        <v>277</v>
      </c>
      <c r="B468" s="559" t="s">
        <v>914</v>
      </c>
      <c r="C468" s="573" t="s">
        <v>99</v>
      </c>
      <c r="D468" s="327" t="s">
        <v>294</v>
      </c>
      <c r="E468" s="575" t="s">
        <v>1846</v>
      </c>
      <c r="F468" s="561" t="s">
        <v>109</v>
      </c>
      <c r="G468" s="562" t="s">
        <v>940</v>
      </c>
      <c r="H468" s="563" t="s">
        <v>924</v>
      </c>
      <c r="I468" s="578" t="s">
        <v>925</v>
      </c>
      <c r="J468" s="564" t="s">
        <v>757</v>
      </c>
      <c r="K468" s="561">
        <v>80</v>
      </c>
      <c r="L468" s="338"/>
      <c r="M468" s="565">
        <v>8</v>
      </c>
      <c r="N468" s="579">
        <v>3</v>
      </c>
      <c r="O468" s="566">
        <f t="shared" si="22"/>
        <v>0.375</v>
      </c>
      <c r="P468" s="567">
        <f t="shared" si="23"/>
        <v>0.46875</v>
      </c>
      <c r="Q468" s="568">
        <f t="shared" si="21"/>
        <v>0.46875</v>
      </c>
      <c r="R468" s="675"/>
    </row>
    <row r="469" spans="1:18" x14ac:dyDescent="0.2">
      <c r="A469" s="558" t="s">
        <v>277</v>
      </c>
      <c r="B469" s="559" t="s">
        <v>914</v>
      </c>
      <c r="C469" s="573" t="s">
        <v>99</v>
      </c>
      <c r="D469" s="327" t="s">
        <v>282</v>
      </c>
      <c r="E469" s="575" t="s">
        <v>1846</v>
      </c>
      <c r="F469" s="561" t="s">
        <v>109</v>
      </c>
      <c r="G469" s="562" t="s">
        <v>940</v>
      </c>
      <c r="H469" s="563" t="s">
        <v>924</v>
      </c>
      <c r="I469" s="578" t="s">
        <v>925</v>
      </c>
      <c r="J469" s="564" t="s">
        <v>757</v>
      </c>
      <c r="K469" s="561">
        <v>0</v>
      </c>
      <c r="L469" s="338" t="s">
        <v>926</v>
      </c>
      <c r="M469" s="565">
        <v>4</v>
      </c>
      <c r="N469" s="579">
        <v>1</v>
      </c>
      <c r="O469" s="566">
        <f t="shared" si="22"/>
        <v>0.25</v>
      </c>
      <c r="P469" s="567">
        <f t="shared" si="23"/>
        <v>0</v>
      </c>
      <c r="Q469" s="568" t="e">
        <f t="shared" si="21"/>
        <v>#DIV/0!</v>
      </c>
      <c r="R469" s="676" t="s">
        <v>926</v>
      </c>
    </row>
    <row r="470" spans="1:18" x14ac:dyDescent="0.2">
      <c r="A470" s="558" t="s">
        <v>277</v>
      </c>
      <c r="B470" s="559" t="s">
        <v>914</v>
      </c>
      <c r="C470" s="573" t="s">
        <v>99</v>
      </c>
      <c r="D470" s="327" t="s">
        <v>285</v>
      </c>
      <c r="E470" s="575" t="s">
        <v>1846</v>
      </c>
      <c r="F470" s="561" t="s">
        <v>109</v>
      </c>
      <c r="G470" s="562" t="s">
        <v>940</v>
      </c>
      <c r="H470" s="563" t="s">
        <v>924</v>
      </c>
      <c r="I470" s="578" t="s">
        <v>925</v>
      </c>
      <c r="J470" s="564" t="s">
        <v>757</v>
      </c>
      <c r="K470" s="561">
        <v>0</v>
      </c>
      <c r="L470" s="338" t="s">
        <v>926</v>
      </c>
      <c r="M470" s="565">
        <v>1</v>
      </c>
      <c r="N470" s="579">
        <v>0</v>
      </c>
      <c r="O470" s="566">
        <f t="shared" si="22"/>
        <v>0</v>
      </c>
      <c r="P470" s="567">
        <f t="shared" si="23"/>
        <v>0</v>
      </c>
      <c r="Q470" s="568" t="e">
        <f t="shared" si="21"/>
        <v>#DIV/0!</v>
      </c>
      <c r="R470" s="676" t="s">
        <v>926</v>
      </c>
    </row>
    <row r="471" spans="1:18" x14ac:dyDescent="0.2">
      <c r="A471" s="558" t="s">
        <v>277</v>
      </c>
      <c r="B471" s="559" t="s">
        <v>914</v>
      </c>
      <c r="C471" s="573" t="s">
        <v>296</v>
      </c>
      <c r="D471" s="327" t="s">
        <v>300</v>
      </c>
      <c r="E471" s="575" t="s">
        <v>1847</v>
      </c>
      <c r="F471" s="561" t="s">
        <v>109</v>
      </c>
      <c r="G471" s="562" t="s">
        <v>940</v>
      </c>
      <c r="H471" s="563" t="s">
        <v>927</v>
      </c>
      <c r="I471" s="578" t="s">
        <v>925</v>
      </c>
      <c r="J471" s="564" t="s">
        <v>757</v>
      </c>
      <c r="K471" s="561">
        <v>13</v>
      </c>
      <c r="L471" s="338"/>
      <c r="M471" s="565">
        <v>0</v>
      </c>
      <c r="N471" s="579">
        <v>0</v>
      </c>
      <c r="O471" s="566">
        <f t="shared" si="22"/>
        <v>0</v>
      </c>
      <c r="P471" s="567">
        <f t="shared" si="23"/>
        <v>0</v>
      </c>
      <c r="Q471" s="568" t="e">
        <f t="shared" si="21"/>
        <v>#DIV/0!</v>
      </c>
      <c r="R471" s="676" t="s">
        <v>1919</v>
      </c>
    </row>
    <row r="472" spans="1:18" x14ac:dyDescent="0.2">
      <c r="A472" s="558" t="s">
        <v>277</v>
      </c>
      <c r="B472" s="559" t="s">
        <v>914</v>
      </c>
      <c r="C472" s="573" t="s">
        <v>296</v>
      </c>
      <c r="D472" s="327" t="s">
        <v>292</v>
      </c>
      <c r="E472" s="575" t="s">
        <v>1847</v>
      </c>
      <c r="F472" s="561" t="s">
        <v>109</v>
      </c>
      <c r="G472" s="562" t="s">
        <v>940</v>
      </c>
      <c r="H472" s="563" t="s">
        <v>924</v>
      </c>
      <c r="I472" s="578" t="s">
        <v>925</v>
      </c>
      <c r="J472" s="564" t="s">
        <v>757</v>
      </c>
      <c r="K472" s="561">
        <v>0</v>
      </c>
      <c r="L472" s="338" t="s">
        <v>926</v>
      </c>
      <c r="M472" s="565">
        <v>3</v>
      </c>
      <c r="N472" s="579">
        <v>1</v>
      </c>
      <c r="O472" s="566">
        <f t="shared" si="22"/>
        <v>0.33333333333333331</v>
      </c>
      <c r="P472" s="567">
        <f t="shared" si="23"/>
        <v>0</v>
      </c>
      <c r="Q472" s="568" t="e">
        <f t="shared" si="21"/>
        <v>#DIV/0!</v>
      </c>
      <c r="R472" s="676" t="s">
        <v>926</v>
      </c>
    </row>
    <row r="473" spans="1:18" x14ac:dyDescent="0.2">
      <c r="A473" s="558" t="s">
        <v>277</v>
      </c>
      <c r="B473" s="559" t="s">
        <v>914</v>
      </c>
      <c r="C473" s="573" t="s">
        <v>296</v>
      </c>
      <c r="D473" s="327" t="s">
        <v>294</v>
      </c>
      <c r="E473" s="575" t="s">
        <v>1848</v>
      </c>
      <c r="F473" s="561" t="s">
        <v>109</v>
      </c>
      <c r="G473" s="562" t="s">
        <v>940</v>
      </c>
      <c r="H473" s="563" t="s">
        <v>924</v>
      </c>
      <c r="I473" s="578" t="s">
        <v>925</v>
      </c>
      <c r="J473" s="564" t="s">
        <v>757</v>
      </c>
      <c r="K473" s="561">
        <v>0</v>
      </c>
      <c r="L473" s="338" t="s">
        <v>926</v>
      </c>
      <c r="M473" s="565">
        <v>1</v>
      </c>
      <c r="N473" s="579">
        <v>0</v>
      </c>
      <c r="O473" s="566">
        <f t="shared" si="22"/>
        <v>0</v>
      </c>
      <c r="P473" s="567">
        <f t="shared" si="23"/>
        <v>0</v>
      </c>
      <c r="Q473" s="568" t="e">
        <f t="shared" si="21"/>
        <v>#DIV/0!</v>
      </c>
      <c r="R473" s="676" t="s">
        <v>926</v>
      </c>
    </row>
    <row r="474" spans="1:18" x14ac:dyDescent="0.2">
      <c r="A474" s="558" t="s">
        <v>277</v>
      </c>
      <c r="B474" s="559" t="s">
        <v>914</v>
      </c>
      <c r="C474" s="573" t="s">
        <v>296</v>
      </c>
      <c r="D474" s="327" t="s">
        <v>282</v>
      </c>
      <c r="E474" s="575" t="s">
        <v>1848</v>
      </c>
      <c r="F474" s="561" t="s">
        <v>109</v>
      </c>
      <c r="G474" s="562" t="s">
        <v>940</v>
      </c>
      <c r="H474" s="563" t="s">
        <v>924</v>
      </c>
      <c r="I474" s="578" t="s">
        <v>925</v>
      </c>
      <c r="J474" s="564" t="s">
        <v>757</v>
      </c>
      <c r="K474" s="561">
        <v>0</v>
      </c>
      <c r="L474" s="338" t="s">
        <v>926</v>
      </c>
      <c r="M474" s="565">
        <v>2</v>
      </c>
      <c r="N474" s="579">
        <v>1</v>
      </c>
      <c r="O474" s="566">
        <f t="shared" si="22"/>
        <v>0.5</v>
      </c>
      <c r="P474" s="567">
        <f t="shared" si="23"/>
        <v>0</v>
      </c>
      <c r="Q474" s="568" t="e">
        <f t="shared" si="21"/>
        <v>#DIV/0!</v>
      </c>
      <c r="R474" s="676" t="s">
        <v>926</v>
      </c>
    </row>
    <row r="475" spans="1:18" x14ac:dyDescent="0.2">
      <c r="A475" s="558" t="s">
        <v>277</v>
      </c>
      <c r="B475" s="559" t="s">
        <v>914</v>
      </c>
      <c r="C475" s="573" t="s">
        <v>296</v>
      </c>
      <c r="D475" s="327" t="s">
        <v>285</v>
      </c>
      <c r="E475" s="575" t="s">
        <v>1715</v>
      </c>
      <c r="F475" s="561" t="s">
        <v>109</v>
      </c>
      <c r="G475" s="562" t="s">
        <v>940</v>
      </c>
      <c r="H475" s="563" t="s">
        <v>924</v>
      </c>
      <c r="I475" s="578" t="s">
        <v>925</v>
      </c>
      <c r="J475" s="564" t="s">
        <v>757</v>
      </c>
      <c r="K475" s="561">
        <v>25</v>
      </c>
      <c r="L475" s="338"/>
      <c r="M475" s="565">
        <v>11</v>
      </c>
      <c r="N475" s="579">
        <v>4</v>
      </c>
      <c r="O475" s="566">
        <f t="shared" si="22"/>
        <v>0.36363636363636365</v>
      </c>
      <c r="P475" s="567">
        <f t="shared" si="23"/>
        <v>1.4545454545454546</v>
      </c>
      <c r="Q475" s="568">
        <f t="shared" si="21"/>
        <v>1.4545454545454546</v>
      </c>
      <c r="R475" s="675"/>
    </row>
    <row r="476" spans="1:18" x14ac:dyDescent="0.2">
      <c r="A476" s="558" t="s">
        <v>277</v>
      </c>
      <c r="B476" s="559" t="s">
        <v>914</v>
      </c>
      <c r="C476" s="573" t="s">
        <v>296</v>
      </c>
      <c r="D476" s="327" t="s">
        <v>298</v>
      </c>
      <c r="E476" s="575" t="s">
        <v>1715</v>
      </c>
      <c r="F476" s="561" t="s">
        <v>109</v>
      </c>
      <c r="G476" s="562" t="s">
        <v>940</v>
      </c>
      <c r="H476" s="563" t="s">
        <v>924</v>
      </c>
      <c r="I476" s="578" t="s">
        <v>925</v>
      </c>
      <c r="J476" s="564" t="s">
        <v>757</v>
      </c>
      <c r="K476" s="561">
        <v>10</v>
      </c>
      <c r="L476" s="338"/>
      <c r="M476" s="565">
        <v>20</v>
      </c>
      <c r="N476" s="579">
        <v>7</v>
      </c>
      <c r="O476" s="566">
        <f t="shared" si="22"/>
        <v>0.35</v>
      </c>
      <c r="P476" s="567">
        <f t="shared" si="23"/>
        <v>3.5</v>
      </c>
      <c r="Q476" s="568">
        <f t="shared" si="21"/>
        <v>3.5</v>
      </c>
      <c r="R476" s="675"/>
    </row>
    <row r="477" spans="1:18" x14ac:dyDescent="0.2">
      <c r="A477" s="558" t="s">
        <v>277</v>
      </c>
      <c r="B477" s="559" t="s">
        <v>914</v>
      </c>
      <c r="C477" s="573" t="s">
        <v>316</v>
      </c>
      <c r="D477" s="327" t="s">
        <v>292</v>
      </c>
      <c r="E477" s="575" t="s">
        <v>1849</v>
      </c>
      <c r="F477" s="561" t="s">
        <v>109</v>
      </c>
      <c r="G477" s="562" t="s">
        <v>940</v>
      </c>
      <c r="H477" s="563" t="s">
        <v>924</v>
      </c>
      <c r="I477" s="578" t="s">
        <v>925</v>
      </c>
      <c r="J477" s="564" t="s">
        <v>757</v>
      </c>
      <c r="K477" s="561">
        <v>0</v>
      </c>
      <c r="L477" s="338" t="s">
        <v>926</v>
      </c>
      <c r="M477" s="565">
        <v>0</v>
      </c>
      <c r="N477" s="579">
        <v>0</v>
      </c>
      <c r="O477" s="566">
        <f t="shared" si="22"/>
        <v>0</v>
      </c>
      <c r="P477" s="567">
        <f t="shared" si="23"/>
        <v>0</v>
      </c>
      <c r="Q477" s="568" t="e">
        <f t="shared" si="21"/>
        <v>#DIV/0!</v>
      </c>
      <c r="R477" s="676" t="s">
        <v>1919</v>
      </c>
    </row>
    <row r="478" spans="1:18" x14ac:dyDescent="0.2">
      <c r="A478" s="558" t="s">
        <v>277</v>
      </c>
      <c r="B478" s="559" t="s">
        <v>914</v>
      </c>
      <c r="C478" s="573" t="s">
        <v>316</v>
      </c>
      <c r="D478" s="327" t="s">
        <v>294</v>
      </c>
      <c r="E478" s="575" t="s">
        <v>1849</v>
      </c>
      <c r="F478" s="561" t="s">
        <v>109</v>
      </c>
      <c r="G478" s="562" t="s">
        <v>940</v>
      </c>
      <c r="H478" s="563" t="s">
        <v>924</v>
      </c>
      <c r="I478" s="578" t="s">
        <v>925</v>
      </c>
      <c r="J478" s="564" t="s">
        <v>757</v>
      </c>
      <c r="K478" s="561">
        <v>0</v>
      </c>
      <c r="L478" s="338" t="s">
        <v>926</v>
      </c>
      <c r="M478" s="565">
        <v>0</v>
      </c>
      <c r="N478" s="579">
        <v>0</v>
      </c>
      <c r="O478" s="566">
        <f t="shared" si="22"/>
        <v>0</v>
      </c>
      <c r="P478" s="567">
        <f t="shared" si="23"/>
        <v>0</v>
      </c>
      <c r="Q478" s="568" t="e">
        <f t="shared" si="21"/>
        <v>#DIV/0!</v>
      </c>
      <c r="R478" s="676" t="s">
        <v>1919</v>
      </c>
    </row>
    <row r="479" spans="1:18" x14ac:dyDescent="0.2">
      <c r="A479" s="558" t="s">
        <v>277</v>
      </c>
      <c r="B479" s="559" t="s">
        <v>914</v>
      </c>
      <c r="C479" s="573" t="s">
        <v>308</v>
      </c>
      <c r="D479" s="327" t="s">
        <v>300</v>
      </c>
      <c r="E479" s="575" t="s">
        <v>1715</v>
      </c>
      <c r="F479" s="561" t="s">
        <v>109</v>
      </c>
      <c r="G479" s="562" t="s">
        <v>940</v>
      </c>
      <c r="H479" s="563" t="s">
        <v>927</v>
      </c>
      <c r="I479" s="578" t="s">
        <v>925</v>
      </c>
      <c r="J479" s="564" t="s">
        <v>757</v>
      </c>
      <c r="K479" s="561">
        <v>38</v>
      </c>
      <c r="L479" s="338"/>
      <c r="M479" s="565">
        <v>51</v>
      </c>
      <c r="N479" s="579">
        <v>1</v>
      </c>
      <c r="O479" s="566">
        <f t="shared" si="22"/>
        <v>1.9607843137254902E-2</v>
      </c>
      <c r="P479" s="567">
        <f t="shared" si="23"/>
        <v>5.1599587203302377E-2</v>
      </c>
      <c r="Q479" s="568">
        <f t="shared" si="21"/>
        <v>5.1599587203302377E-2</v>
      </c>
      <c r="R479" s="675"/>
    </row>
    <row r="480" spans="1:18" x14ac:dyDescent="0.2">
      <c r="A480" s="558" t="s">
        <v>277</v>
      </c>
      <c r="B480" s="559" t="s">
        <v>914</v>
      </c>
      <c r="C480" s="573" t="s">
        <v>308</v>
      </c>
      <c r="D480" s="327" t="s">
        <v>292</v>
      </c>
      <c r="E480" s="575" t="s">
        <v>1850</v>
      </c>
      <c r="F480" s="561" t="s">
        <v>109</v>
      </c>
      <c r="G480" s="562" t="s">
        <v>940</v>
      </c>
      <c r="H480" s="563" t="s">
        <v>924</v>
      </c>
      <c r="I480" s="578" t="s">
        <v>925</v>
      </c>
      <c r="J480" s="564" t="s">
        <v>757</v>
      </c>
      <c r="K480" s="561">
        <v>0</v>
      </c>
      <c r="L480" s="338" t="s">
        <v>926</v>
      </c>
      <c r="M480" s="565">
        <v>7</v>
      </c>
      <c r="N480" s="579">
        <v>2</v>
      </c>
      <c r="O480" s="566">
        <f t="shared" si="22"/>
        <v>0.2857142857142857</v>
      </c>
      <c r="P480" s="567">
        <f t="shared" si="23"/>
        <v>0</v>
      </c>
      <c r="Q480" s="568" t="e">
        <f t="shared" si="21"/>
        <v>#DIV/0!</v>
      </c>
      <c r="R480" s="676" t="s">
        <v>926</v>
      </c>
    </row>
    <row r="481" spans="1:18" x14ac:dyDescent="0.2">
      <c r="A481" s="558" t="s">
        <v>277</v>
      </c>
      <c r="B481" s="559" t="s">
        <v>914</v>
      </c>
      <c r="C481" s="573" t="s">
        <v>308</v>
      </c>
      <c r="D481" s="327" t="s">
        <v>294</v>
      </c>
      <c r="E481" s="575" t="s">
        <v>1850</v>
      </c>
      <c r="F481" s="561" t="s">
        <v>109</v>
      </c>
      <c r="G481" s="562" t="s">
        <v>940</v>
      </c>
      <c r="H481" s="563" t="s">
        <v>924</v>
      </c>
      <c r="I481" s="578" t="s">
        <v>925</v>
      </c>
      <c r="J481" s="564" t="s">
        <v>757</v>
      </c>
      <c r="K481" s="561">
        <v>0</v>
      </c>
      <c r="L481" s="338" t="s">
        <v>926</v>
      </c>
      <c r="M481" s="565">
        <v>1</v>
      </c>
      <c r="N481" s="579">
        <v>0</v>
      </c>
      <c r="O481" s="566">
        <f t="shared" si="22"/>
        <v>0</v>
      </c>
      <c r="P481" s="567">
        <f t="shared" si="23"/>
        <v>0</v>
      </c>
      <c r="Q481" s="568" t="e">
        <f t="shared" si="21"/>
        <v>#DIV/0!</v>
      </c>
      <c r="R481" s="676" t="s">
        <v>926</v>
      </c>
    </row>
    <row r="482" spans="1:18" x14ac:dyDescent="0.2">
      <c r="A482" s="558" t="s">
        <v>277</v>
      </c>
      <c r="B482" s="559" t="s">
        <v>914</v>
      </c>
      <c r="C482" s="573" t="s">
        <v>305</v>
      </c>
      <c r="D482" s="327" t="s">
        <v>300</v>
      </c>
      <c r="E482" s="575" t="s">
        <v>1715</v>
      </c>
      <c r="F482" s="561" t="s">
        <v>109</v>
      </c>
      <c r="G482" s="562" t="s">
        <v>940</v>
      </c>
      <c r="H482" s="563" t="s">
        <v>927</v>
      </c>
      <c r="I482" s="578" t="s">
        <v>925</v>
      </c>
      <c r="J482" s="564" t="s">
        <v>757</v>
      </c>
      <c r="K482" s="561">
        <v>5</v>
      </c>
      <c r="L482" s="338"/>
      <c r="M482" s="565">
        <v>568</v>
      </c>
      <c r="N482" s="579">
        <v>15</v>
      </c>
      <c r="O482" s="566">
        <f t="shared" si="22"/>
        <v>2.6408450704225352E-2</v>
      </c>
      <c r="P482" s="567">
        <f t="shared" si="23"/>
        <v>0.528169014084507</v>
      </c>
      <c r="Q482" s="568">
        <f t="shared" si="21"/>
        <v>0.52816901408450712</v>
      </c>
      <c r="R482" s="675"/>
    </row>
    <row r="483" spans="1:18" x14ac:dyDescent="0.2">
      <c r="A483" s="558" t="s">
        <v>277</v>
      </c>
      <c r="B483" s="559" t="s">
        <v>914</v>
      </c>
      <c r="C483" s="573" t="s">
        <v>305</v>
      </c>
      <c r="D483" s="327" t="s">
        <v>292</v>
      </c>
      <c r="E483" s="575" t="s">
        <v>1715</v>
      </c>
      <c r="F483" s="561" t="s">
        <v>109</v>
      </c>
      <c r="G483" s="562" t="s">
        <v>940</v>
      </c>
      <c r="H483" s="563" t="s">
        <v>924</v>
      </c>
      <c r="I483" s="578" t="s">
        <v>925</v>
      </c>
      <c r="J483" s="564" t="s">
        <v>757</v>
      </c>
      <c r="K483" s="561">
        <v>32</v>
      </c>
      <c r="L483" s="338"/>
      <c r="M483" s="565">
        <v>85</v>
      </c>
      <c r="N483" s="579">
        <v>16</v>
      </c>
      <c r="O483" s="566">
        <f t="shared" si="22"/>
        <v>0.18823529411764706</v>
      </c>
      <c r="P483" s="567">
        <f t="shared" si="23"/>
        <v>0.58823529411764708</v>
      </c>
      <c r="Q483" s="568">
        <f t="shared" si="21"/>
        <v>0.58823529411764708</v>
      </c>
      <c r="R483" s="675"/>
    </row>
    <row r="484" spans="1:18" x14ac:dyDescent="0.2">
      <c r="A484" s="558" t="s">
        <v>277</v>
      </c>
      <c r="B484" s="559" t="s">
        <v>914</v>
      </c>
      <c r="C484" s="573" t="s">
        <v>305</v>
      </c>
      <c r="D484" s="327" t="s">
        <v>294</v>
      </c>
      <c r="E484" s="575" t="s">
        <v>1851</v>
      </c>
      <c r="F484" s="561" t="s">
        <v>109</v>
      </c>
      <c r="G484" s="562" t="s">
        <v>940</v>
      </c>
      <c r="H484" s="563" t="s">
        <v>924</v>
      </c>
      <c r="I484" s="578" t="s">
        <v>925</v>
      </c>
      <c r="J484" s="564" t="s">
        <v>757</v>
      </c>
      <c r="K484" s="561">
        <v>33</v>
      </c>
      <c r="L484" s="338"/>
      <c r="M484" s="565">
        <v>24</v>
      </c>
      <c r="N484" s="579">
        <v>4</v>
      </c>
      <c r="O484" s="566">
        <f t="shared" si="22"/>
        <v>0.16666666666666666</v>
      </c>
      <c r="P484" s="567">
        <f t="shared" si="23"/>
        <v>0.50505050505050508</v>
      </c>
      <c r="Q484" s="568">
        <f t="shared" si="21"/>
        <v>0.50505050505050508</v>
      </c>
      <c r="R484" s="675"/>
    </row>
    <row r="485" spans="1:18" x14ac:dyDescent="0.2">
      <c r="A485" s="558" t="s">
        <v>277</v>
      </c>
      <c r="B485" s="559" t="s">
        <v>914</v>
      </c>
      <c r="C485" s="573" t="s">
        <v>305</v>
      </c>
      <c r="D485" s="327" t="s">
        <v>285</v>
      </c>
      <c r="E485" s="575" t="s">
        <v>1851</v>
      </c>
      <c r="F485" s="561" t="s">
        <v>109</v>
      </c>
      <c r="G485" s="562" t="s">
        <v>940</v>
      </c>
      <c r="H485" s="563" t="s">
        <v>924</v>
      </c>
      <c r="I485" s="578" t="s">
        <v>925</v>
      </c>
      <c r="J485" s="564" t="s">
        <v>757</v>
      </c>
      <c r="K485" s="561">
        <v>0</v>
      </c>
      <c r="L485" s="338" t="s">
        <v>926</v>
      </c>
      <c r="M485" s="565">
        <v>2</v>
      </c>
      <c r="N485" s="579">
        <v>1</v>
      </c>
      <c r="O485" s="566">
        <f t="shared" si="22"/>
        <v>0.5</v>
      </c>
      <c r="P485" s="567">
        <f t="shared" si="23"/>
        <v>0</v>
      </c>
      <c r="Q485" s="568" t="e">
        <f t="shared" si="21"/>
        <v>#DIV/0!</v>
      </c>
      <c r="R485" s="676" t="s">
        <v>926</v>
      </c>
    </row>
    <row r="486" spans="1:18" x14ac:dyDescent="0.2">
      <c r="A486" s="558" t="s">
        <v>277</v>
      </c>
      <c r="B486" s="559" t="s">
        <v>914</v>
      </c>
      <c r="C486" s="573" t="s">
        <v>97</v>
      </c>
      <c r="D486" s="327" t="s">
        <v>282</v>
      </c>
      <c r="E486" s="575" t="s">
        <v>1843</v>
      </c>
      <c r="F486" s="561" t="s">
        <v>109</v>
      </c>
      <c r="G486" s="562" t="s">
        <v>941</v>
      </c>
      <c r="H486" s="563" t="s">
        <v>924</v>
      </c>
      <c r="I486" s="578" t="s">
        <v>925</v>
      </c>
      <c r="J486" s="564" t="s">
        <v>757</v>
      </c>
      <c r="K486" s="561">
        <v>33</v>
      </c>
      <c r="L486" s="338"/>
      <c r="M486" s="565">
        <v>6</v>
      </c>
      <c r="N486" s="579">
        <v>3</v>
      </c>
      <c r="O486" s="566">
        <f t="shared" si="22"/>
        <v>0.5</v>
      </c>
      <c r="P486" s="567">
        <f t="shared" si="23"/>
        <v>1.5151515151515151</v>
      </c>
      <c r="Q486" s="568">
        <f t="shared" si="21"/>
        <v>1.5151515151515151</v>
      </c>
      <c r="R486" s="676"/>
    </row>
    <row r="487" spans="1:18" x14ac:dyDescent="0.2">
      <c r="A487" s="558" t="s">
        <v>277</v>
      </c>
      <c r="B487" s="559" t="s">
        <v>914</v>
      </c>
      <c r="C487" s="573" t="s">
        <v>97</v>
      </c>
      <c r="D487" s="327" t="s">
        <v>285</v>
      </c>
      <c r="E487" s="575" t="s">
        <v>1843</v>
      </c>
      <c r="F487" s="561" t="s">
        <v>109</v>
      </c>
      <c r="G487" s="562" t="s">
        <v>941</v>
      </c>
      <c r="H487" s="563" t="s">
        <v>924</v>
      </c>
      <c r="I487" s="578" t="s">
        <v>925</v>
      </c>
      <c r="J487" s="564" t="s">
        <v>757</v>
      </c>
      <c r="K487" s="561">
        <v>0</v>
      </c>
      <c r="L487" s="338" t="s">
        <v>926</v>
      </c>
      <c r="M487" s="565">
        <v>8</v>
      </c>
      <c r="N487" s="579">
        <v>0</v>
      </c>
      <c r="O487" s="566">
        <f t="shared" si="22"/>
        <v>0</v>
      </c>
      <c r="P487" s="567">
        <f t="shared" si="23"/>
        <v>0</v>
      </c>
      <c r="Q487" s="568" t="e">
        <f t="shared" si="21"/>
        <v>#DIV/0!</v>
      </c>
      <c r="R487" s="676" t="s">
        <v>926</v>
      </c>
    </row>
    <row r="488" spans="1:18" x14ac:dyDescent="0.2">
      <c r="A488" s="558" t="s">
        <v>277</v>
      </c>
      <c r="B488" s="559" t="s">
        <v>914</v>
      </c>
      <c r="C488" s="573" t="s">
        <v>286</v>
      </c>
      <c r="D488" s="327" t="s">
        <v>300</v>
      </c>
      <c r="E488" s="575" t="s">
        <v>1715</v>
      </c>
      <c r="F488" s="561" t="s">
        <v>109</v>
      </c>
      <c r="G488" s="562" t="s">
        <v>941</v>
      </c>
      <c r="H488" s="563" t="s">
        <v>927</v>
      </c>
      <c r="I488" s="578" t="s">
        <v>925</v>
      </c>
      <c r="J488" s="564" t="s">
        <v>757</v>
      </c>
      <c r="K488" s="561">
        <v>0</v>
      </c>
      <c r="L488" s="338" t="s">
        <v>926</v>
      </c>
      <c r="M488" s="565">
        <v>39</v>
      </c>
      <c r="N488" s="579">
        <v>4</v>
      </c>
      <c r="O488" s="566">
        <f t="shared" si="22"/>
        <v>0.10256410256410256</v>
      </c>
      <c r="P488" s="567">
        <f t="shared" si="23"/>
        <v>0</v>
      </c>
      <c r="Q488" s="568" t="e">
        <f t="shared" si="21"/>
        <v>#DIV/0!</v>
      </c>
      <c r="R488" s="676" t="s">
        <v>926</v>
      </c>
    </row>
    <row r="489" spans="1:18" x14ac:dyDescent="0.2">
      <c r="A489" s="558" t="s">
        <v>277</v>
      </c>
      <c r="B489" s="559" t="s">
        <v>914</v>
      </c>
      <c r="C489" s="573" t="s">
        <v>286</v>
      </c>
      <c r="D489" s="327" t="s">
        <v>292</v>
      </c>
      <c r="E489" s="575" t="s">
        <v>1715</v>
      </c>
      <c r="F489" s="561" t="s">
        <v>109</v>
      </c>
      <c r="G489" s="562" t="s">
        <v>941</v>
      </c>
      <c r="H489" s="563" t="s">
        <v>924</v>
      </c>
      <c r="I489" s="578" t="s">
        <v>925</v>
      </c>
      <c r="J489" s="564" t="s">
        <v>757</v>
      </c>
      <c r="K489" s="561">
        <v>26</v>
      </c>
      <c r="L489" s="338"/>
      <c r="M489" s="565">
        <v>12</v>
      </c>
      <c r="N489" s="579">
        <v>3</v>
      </c>
      <c r="O489" s="566">
        <f t="shared" si="22"/>
        <v>0.25</v>
      </c>
      <c r="P489" s="567">
        <f t="shared" si="23"/>
        <v>0.96153846153846145</v>
      </c>
      <c r="Q489" s="568">
        <f t="shared" si="21"/>
        <v>0.96153846153846145</v>
      </c>
      <c r="R489" s="675"/>
    </row>
    <row r="490" spans="1:18" x14ac:dyDescent="0.2">
      <c r="A490" s="558" t="s">
        <v>277</v>
      </c>
      <c r="B490" s="559" t="s">
        <v>914</v>
      </c>
      <c r="C490" s="573" t="s">
        <v>286</v>
      </c>
      <c r="D490" s="327" t="s">
        <v>294</v>
      </c>
      <c r="E490" s="575" t="s">
        <v>1715</v>
      </c>
      <c r="F490" s="561" t="s">
        <v>109</v>
      </c>
      <c r="G490" s="562" t="s">
        <v>941</v>
      </c>
      <c r="H490" s="563" t="s">
        <v>924</v>
      </c>
      <c r="I490" s="578" t="s">
        <v>925</v>
      </c>
      <c r="J490" s="564" t="s">
        <v>757</v>
      </c>
      <c r="K490" s="561">
        <v>16</v>
      </c>
      <c r="L490" s="338"/>
      <c r="M490" s="565">
        <v>40</v>
      </c>
      <c r="N490" s="579">
        <v>7</v>
      </c>
      <c r="O490" s="566">
        <f t="shared" si="22"/>
        <v>0.17499999999999999</v>
      </c>
      <c r="P490" s="567">
        <f t="shared" si="23"/>
        <v>1.09375</v>
      </c>
      <c r="Q490" s="568">
        <f t="shared" si="21"/>
        <v>1.09375</v>
      </c>
      <c r="R490" s="675"/>
    </row>
    <row r="491" spans="1:18" x14ac:dyDescent="0.2">
      <c r="A491" s="558" t="s">
        <v>277</v>
      </c>
      <c r="B491" s="559" t="s">
        <v>914</v>
      </c>
      <c r="C491" s="573" t="s">
        <v>286</v>
      </c>
      <c r="D491" s="327" t="s">
        <v>282</v>
      </c>
      <c r="E491" s="575" t="s">
        <v>1715</v>
      </c>
      <c r="F491" s="561" t="s">
        <v>109</v>
      </c>
      <c r="G491" s="562" t="s">
        <v>941</v>
      </c>
      <c r="H491" s="563" t="s">
        <v>924</v>
      </c>
      <c r="I491" s="578" t="s">
        <v>925</v>
      </c>
      <c r="J491" s="564" t="s">
        <v>757</v>
      </c>
      <c r="K491" s="561">
        <v>6</v>
      </c>
      <c r="L491" s="338"/>
      <c r="M491" s="565">
        <v>68</v>
      </c>
      <c r="N491" s="579">
        <v>11</v>
      </c>
      <c r="O491" s="566">
        <f t="shared" si="22"/>
        <v>0.16176470588235295</v>
      </c>
      <c r="P491" s="567">
        <f t="shared" si="23"/>
        <v>2.6960784313725488</v>
      </c>
      <c r="Q491" s="568">
        <f t="shared" si="21"/>
        <v>2.6960784313725488</v>
      </c>
      <c r="R491" s="675"/>
    </row>
    <row r="492" spans="1:18" x14ac:dyDescent="0.2">
      <c r="A492" s="558" t="s">
        <v>277</v>
      </c>
      <c r="B492" s="559" t="s">
        <v>914</v>
      </c>
      <c r="C492" s="573" t="s">
        <v>286</v>
      </c>
      <c r="D492" s="327" t="s">
        <v>285</v>
      </c>
      <c r="E492" s="575" t="s">
        <v>1715</v>
      </c>
      <c r="F492" s="561" t="s">
        <v>109</v>
      </c>
      <c r="G492" s="562" t="s">
        <v>941</v>
      </c>
      <c r="H492" s="563" t="s">
        <v>924</v>
      </c>
      <c r="I492" s="578" t="s">
        <v>925</v>
      </c>
      <c r="J492" s="564" t="s">
        <v>757</v>
      </c>
      <c r="K492" s="561">
        <v>8</v>
      </c>
      <c r="L492" s="338"/>
      <c r="M492" s="565">
        <v>47</v>
      </c>
      <c r="N492" s="579">
        <v>8</v>
      </c>
      <c r="O492" s="566">
        <f t="shared" si="22"/>
        <v>0.1702127659574468</v>
      </c>
      <c r="P492" s="567">
        <f t="shared" si="23"/>
        <v>2.1276595744680851</v>
      </c>
      <c r="Q492" s="568">
        <f t="shared" si="21"/>
        <v>2.1276595744680851</v>
      </c>
      <c r="R492" s="675"/>
    </row>
    <row r="493" spans="1:18" x14ac:dyDescent="0.2">
      <c r="A493" s="558" t="s">
        <v>277</v>
      </c>
      <c r="B493" s="559" t="s">
        <v>914</v>
      </c>
      <c r="C493" s="573" t="s">
        <v>303</v>
      </c>
      <c r="D493" s="327" t="s">
        <v>300</v>
      </c>
      <c r="E493" s="575" t="s">
        <v>1715</v>
      </c>
      <c r="F493" s="561" t="s">
        <v>109</v>
      </c>
      <c r="G493" s="562" t="s">
        <v>941</v>
      </c>
      <c r="H493" s="563" t="s">
        <v>927</v>
      </c>
      <c r="I493" s="578" t="s">
        <v>925</v>
      </c>
      <c r="J493" s="564" t="s">
        <v>757</v>
      </c>
      <c r="K493" s="561">
        <v>28.999999999999996</v>
      </c>
      <c r="L493" s="338"/>
      <c r="M493" s="565">
        <v>144</v>
      </c>
      <c r="N493" s="579">
        <v>4</v>
      </c>
      <c r="O493" s="566">
        <f t="shared" si="22"/>
        <v>2.7777777777777776E-2</v>
      </c>
      <c r="P493" s="567">
        <f t="shared" si="23"/>
        <v>9.5785440613026823E-2</v>
      </c>
      <c r="Q493" s="568">
        <f t="shared" si="21"/>
        <v>9.5785440613026837E-2</v>
      </c>
      <c r="R493" s="675"/>
    </row>
    <row r="494" spans="1:18" x14ac:dyDescent="0.2">
      <c r="A494" s="558" t="s">
        <v>277</v>
      </c>
      <c r="B494" s="559" t="s">
        <v>914</v>
      </c>
      <c r="C494" s="573" t="s">
        <v>303</v>
      </c>
      <c r="D494" s="327" t="s">
        <v>292</v>
      </c>
      <c r="E494" s="575" t="s">
        <v>1844</v>
      </c>
      <c r="F494" s="561" t="s">
        <v>109</v>
      </c>
      <c r="G494" s="562" t="s">
        <v>941</v>
      </c>
      <c r="H494" s="563" t="s">
        <v>924</v>
      </c>
      <c r="I494" s="578" t="s">
        <v>925</v>
      </c>
      <c r="J494" s="564" t="s">
        <v>757</v>
      </c>
      <c r="K494" s="561">
        <v>8</v>
      </c>
      <c r="L494" s="338"/>
      <c r="M494" s="565">
        <v>42</v>
      </c>
      <c r="N494" s="579">
        <v>1</v>
      </c>
      <c r="O494" s="566">
        <f t="shared" si="22"/>
        <v>2.3809523809523808E-2</v>
      </c>
      <c r="P494" s="567">
        <f t="shared" si="23"/>
        <v>0.29761904761904762</v>
      </c>
      <c r="Q494" s="568">
        <f t="shared" si="21"/>
        <v>0.29761904761904762</v>
      </c>
      <c r="R494" s="675"/>
    </row>
    <row r="495" spans="1:18" x14ac:dyDescent="0.2">
      <c r="A495" s="558" t="s">
        <v>277</v>
      </c>
      <c r="B495" s="559" t="s">
        <v>914</v>
      </c>
      <c r="C495" s="573" t="s">
        <v>303</v>
      </c>
      <c r="D495" s="327" t="s">
        <v>294</v>
      </c>
      <c r="E495" s="575" t="s">
        <v>1844</v>
      </c>
      <c r="F495" s="561" t="s">
        <v>109</v>
      </c>
      <c r="G495" s="562" t="s">
        <v>941</v>
      </c>
      <c r="H495" s="563" t="s">
        <v>924</v>
      </c>
      <c r="I495" s="578" t="s">
        <v>925</v>
      </c>
      <c r="J495" s="564" t="s">
        <v>757</v>
      </c>
      <c r="K495" s="561">
        <v>0</v>
      </c>
      <c r="L495" s="338" t="s">
        <v>926</v>
      </c>
      <c r="M495" s="565">
        <v>10</v>
      </c>
      <c r="N495" s="579">
        <v>1</v>
      </c>
      <c r="O495" s="566">
        <f t="shared" si="22"/>
        <v>0.1</v>
      </c>
      <c r="P495" s="567">
        <f t="shared" si="23"/>
        <v>0</v>
      </c>
      <c r="Q495" s="568" t="e">
        <f t="shared" si="21"/>
        <v>#DIV/0!</v>
      </c>
      <c r="R495" s="676" t="s">
        <v>926</v>
      </c>
    </row>
    <row r="496" spans="1:18" x14ac:dyDescent="0.2">
      <c r="A496" s="558" t="s">
        <v>277</v>
      </c>
      <c r="B496" s="559" t="s">
        <v>914</v>
      </c>
      <c r="C496" s="573" t="s">
        <v>303</v>
      </c>
      <c r="D496" s="327" t="s">
        <v>282</v>
      </c>
      <c r="E496" s="575" t="s">
        <v>1845</v>
      </c>
      <c r="F496" s="561" t="s">
        <v>109</v>
      </c>
      <c r="G496" s="562" t="s">
        <v>941</v>
      </c>
      <c r="H496" s="563" t="s">
        <v>924</v>
      </c>
      <c r="I496" s="578" t="s">
        <v>925</v>
      </c>
      <c r="J496" s="564" t="s">
        <v>757</v>
      </c>
      <c r="K496" s="561">
        <v>0</v>
      </c>
      <c r="L496" s="338" t="s">
        <v>926</v>
      </c>
      <c r="M496" s="565">
        <v>2</v>
      </c>
      <c r="N496" s="579">
        <v>0</v>
      </c>
      <c r="O496" s="566">
        <f t="shared" si="22"/>
        <v>0</v>
      </c>
      <c r="P496" s="567">
        <f t="shared" si="23"/>
        <v>0</v>
      </c>
      <c r="Q496" s="568" t="e">
        <f t="shared" si="21"/>
        <v>#DIV/0!</v>
      </c>
      <c r="R496" s="676" t="s">
        <v>926</v>
      </c>
    </row>
    <row r="497" spans="1:18" x14ac:dyDescent="0.2">
      <c r="A497" s="558" t="s">
        <v>277</v>
      </c>
      <c r="B497" s="559" t="s">
        <v>914</v>
      </c>
      <c r="C497" s="573" t="s">
        <v>303</v>
      </c>
      <c r="D497" s="327" t="s">
        <v>285</v>
      </c>
      <c r="E497" s="575" t="s">
        <v>1845</v>
      </c>
      <c r="F497" s="561" t="s">
        <v>109</v>
      </c>
      <c r="G497" s="562" t="s">
        <v>941</v>
      </c>
      <c r="H497" s="563" t="s">
        <v>924</v>
      </c>
      <c r="I497" s="578" t="s">
        <v>925</v>
      </c>
      <c r="J497" s="564" t="s">
        <v>757</v>
      </c>
      <c r="K497" s="561">
        <v>0</v>
      </c>
      <c r="L497" s="338" t="s">
        <v>926</v>
      </c>
      <c r="M497" s="565">
        <v>5</v>
      </c>
      <c r="N497" s="579">
        <v>1</v>
      </c>
      <c r="O497" s="566">
        <f t="shared" si="22"/>
        <v>0.2</v>
      </c>
      <c r="P497" s="567">
        <f t="shared" si="23"/>
        <v>0</v>
      </c>
      <c r="Q497" s="568" t="e">
        <f t="shared" si="21"/>
        <v>#DIV/0!</v>
      </c>
      <c r="R497" s="676" t="s">
        <v>926</v>
      </c>
    </row>
    <row r="498" spans="1:18" x14ac:dyDescent="0.2">
      <c r="A498" s="558" t="s">
        <v>277</v>
      </c>
      <c r="B498" s="559" t="s">
        <v>914</v>
      </c>
      <c r="C498" s="573" t="s">
        <v>99</v>
      </c>
      <c r="D498" s="327" t="s">
        <v>300</v>
      </c>
      <c r="E498" s="575" t="s">
        <v>1715</v>
      </c>
      <c r="F498" s="561" t="s">
        <v>109</v>
      </c>
      <c r="G498" s="562" t="s">
        <v>941</v>
      </c>
      <c r="H498" s="563" t="s">
        <v>927</v>
      </c>
      <c r="I498" s="578" t="s">
        <v>925</v>
      </c>
      <c r="J498" s="564" t="s">
        <v>757</v>
      </c>
      <c r="K498" s="561">
        <v>17</v>
      </c>
      <c r="L498" s="338"/>
      <c r="M498" s="565">
        <v>158</v>
      </c>
      <c r="N498" s="579">
        <v>5</v>
      </c>
      <c r="O498" s="566">
        <f t="shared" si="22"/>
        <v>3.1645569620253167E-2</v>
      </c>
      <c r="P498" s="567">
        <f t="shared" si="23"/>
        <v>0.18615040953090095</v>
      </c>
      <c r="Q498" s="568">
        <f t="shared" si="21"/>
        <v>0.18615040953090098</v>
      </c>
      <c r="R498" s="675"/>
    </row>
    <row r="499" spans="1:18" x14ac:dyDescent="0.2">
      <c r="A499" s="558" t="s">
        <v>277</v>
      </c>
      <c r="B499" s="559" t="s">
        <v>914</v>
      </c>
      <c r="C499" s="573" t="s">
        <v>99</v>
      </c>
      <c r="D499" s="327" t="s">
        <v>292</v>
      </c>
      <c r="E499" s="575" t="s">
        <v>1715</v>
      </c>
      <c r="F499" s="561" t="s">
        <v>109</v>
      </c>
      <c r="G499" s="562" t="s">
        <v>941</v>
      </c>
      <c r="H499" s="563" t="s">
        <v>924</v>
      </c>
      <c r="I499" s="578" t="s">
        <v>925</v>
      </c>
      <c r="J499" s="564" t="s">
        <v>757</v>
      </c>
      <c r="K499" s="561">
        <v>36</v>
      </c>
      <c r="L499" s="338"/>
      <c r="M499" s="565">
        <v>7</v>
      </c>
      <c r="N499" s="579">
        <v>1</v>
      </c>
      <c r="O499" s="566">
        <f t="shared" si="22"/>
        <v>0.14285714285714285</v>
      </c>
      <c r="P499" s="567">
        <f t="shared" si="23"/>
        <v>0.3968253968253968</v>
      </c>
      <c r="Q499" s="568">
        <f t="shared" si="21"/>
        <v>0.3968253968253968</v>
      </c>
      <c r="R499" s="675"/>
    </row>
    <row r="500" spans="1:18" x14ac:dyDescent="0.2">
      <c r="A500" s="558" t="s">
        <v>277</v>
      </c>
      <c r="B500" s="559" t="s">
        <v>914</v>
      </c>
      <c r="C500" s="573" t="s">
        <v>99</v>
      </c>
      <c r="D500" s="327" t="s">
        <v>294</v>
      </c>
      <c r="E500" s="575" t="s">
        <v>1846</v>
      </c>
      <c r="F500" s="561" t="s">
        <v>109</v>
      </c>
      <c r="G500" s="562" t="s">
        <v>941</v>
      </c>
      <c r="H500" s="563" t="s">
        <v>924</v>
      </c>
      <c r="I500" s="578" t="s">
        <v>925</v>
      </c>
      <c r="J500" s="564" t="s">
        <v>757</v>
      </c>
      <c r="K500" s="561">
        <v>80</v>
      </c>
      <c r="L500" s="338"/>
      <c r="M500" s="565">
        <v>8</v>
      </c>
      <c r="N500" s="579">
        <v>3</v>
      </c>
      <c r="O500" s="566">
        <f t="shared" si="22"/>
        <v>0.375</v>
      </c>
      <c r="P500" s="567">
        <f t="shared" si="23"/>
        <v>0.46875</v>
      </c>
      <c r="Q500" s="568">
        <f t="shared" si="21"/>
        <v>0.46875</v>
      </c>
      <c r="R500" s="675"/>
    </row>
    <row r="501" spans="1:18" x14ac:dyDescent="0.2">
      <c r="A501" s="558" t="s">
        <v>277</v>
      </c>
      <c r="B501" s="559" t="s">
        <v>914</v>
      </c>
      <c r="C501" s="573" t="s">
        <v>99</v>
      </c>
      <c r="D501" s="327" t="s">
        <v>282</v>
      </c>
      <c r="E501" s="575" t="s">
        <v>1846</v>
      </c>
      <c r="F501" s="561" t="s">
        <v>109</v>
      </c>
      <c r="G501" s="562" t="s">
        <v>941</v>
      </c>
      <c r="H501" s="563" t="s">
        <v>924</v>
      </c>
      <c r="I501" s="578" t="s">
        <v>925</v>
      </c>
      <c r="J501" s="564" t="s">
        <v>757</v>
      </c>
      <c r="K501" s="561">
        <v>0</v>
      </c>
      <c r="L501" s="338" t="s">
        <v>926</v>
      </c>
      <c r="M501" s="565">
        <v>4</v>
      </c>
      <c r="N501" s="579">
        <v>1</v>
      </c>
      <c r="O501" s="566">
        <f t="shared" si="22"/>
        <v>0.25</v>
      </c>
      <c r="P501" s="567">
        <f t="shared" si="23"/>
        <v>0</v>
      </c>
      <c r="Q501" s="568" t="e">
        <f t="shared" si="21"/>
        <v>#DIV/0!</v>
      </c>
      <c r="R501" s="676" t="s">
        <v>926</v>
      </c>
    </row>
    <row r="502" spans="1:18" x14ac:dyDescent="0.2">
      <c r="A502" s="558" t="s">
        <v>277</v>
      </c>
      <c r="B502" s="559" t="s">
        <v>914</v>
      </c>
      <c r="C502" s="573" t="s">
        <v>99</v>
      </c>
      <c r="D502" s="327" t="s">
        <v>285</v>
      </c>
      <c r="E502" s="575" t="s">
        <v>1846</v>
      </c>
      <c r="F502" s="561" t="s">
        <v>109</v>
      </c>
      <c r="G502" s="562" t="s">
        <v>941</v>
      </c>
      <c r="H502" s="563" t="s">
        <v>924</v>
      </c>
      <c r="I502" s="578" t="s">
        <v>925</v>
      </c>
      <c r="J502" s="564" t="s">
        <v>757</v>
      </c>
      <c r="K502" s="561">
        <v>0</v>
      </c>
      <c r="L502" s="338" t="s">
        <v>926</v>
      </c>
      <c r="M502" s="565">
        <v>1</v>
      </c>
      <c r="N502" s="579">
        <v>0</v>
      </c>
      <c r="O502" s="566">
        <f t="shared" si="22"/>
        <v>0</v>
      </c>
      <c r="P502" s="567">
        <f t="shared" si="23"/>
        <v>0</v>
      </c>
      <c r="Q502" s="568" t="e">
        <f t="shared" si="21"/>
        <v>#DIV/0!</v>
      </c>
      <c r="R502" s="676" t="s">
        <v>926</v>
      </c>
    </row>
    <row r="503" spans="1:18" x14ac:dyDescent="0.2">
      <c r="A503" s="558" t="s">
        <v>277</v>
      </c>
      <c r="B503" s="559" t="s">
        <v>914</v>
      </c>
      <c r="C503" s="573" t="s">
        <v>296</v>
      </c>
      <c r="D503" s="327" t="s">
        <v>300</v>
      </c>
      <c r="E503" s="575" t="s">
        <v>1847</v>
      </c>
      <c r="F503" s="561" t="s">
        <v>109</v>
      </c>
      <c r="G503" s="562" t="s">
        <v>941</v>
      </c>
      <c r="H503" s="563" t="s">
        <v>927</v>
      </c>
      <c r="I503" s="578" t="s">
        <v>925</v>
      </c>
      <c r="J503" s="564" t="s">
        <v>757</v>
      </c>
      <c r="K503" s="561">
        <v>13</v>
      </c>
      <c r="L503" s="338"/>
      <c r="M503" s="565">
        <v>0</v>
      </c>
      <c r="N503" s="579">
        <v>0</v>
      </c>
      <c r="O503" s="566">
        <f t="shared" si="22"/>
        <v>0</v>
      </c>
      <c r="P503" s="567">
        <f t="shared" si="23"/>
        <v>0</v>
      </c>
      <c r="Q503" s="568" t="e">
        <f t="shared" si="21"/>
        <v>#DIV/0!</v>
      </c>
      <c r="R503" s="676" t="s">
        <v>1919</v>
      </c>
    </row>
    <row r="504" spans="1:18" x14ac:dyDescent="0.2">
      <c r="A504" s="558" t="s">
        <v>277</v>
      </c>
      <c r="B504" s="559" t="s">
        <v>914</v>
      </c>
      <c r="C504" s="573" t="s">
        <v>296</v>
      </c>
      <c r="D504" s="327" t="s">
        <v>292</v>
      </c>
      <c r="E504" s="575" t="s">
        <v>1847</v>
      </c>
      <c r="F504" s="561" t="s">
        <v>109</v>
      </c>
      <c r="G504" s="562" t="s">
        <v>941</v>
      </c>
      <c r="H504" s="563" t="s">
        <v>924</v>
      </c>
      <c r="I504" s="578" t="s">
        <v>925</v>
      </c>
      <c r="J504" s="564" t="s">
        <v>757</v>
      </c>
      <c r="K504" s="561">
        <v>0</v>
      </c>
      <c r="L504" s="338" t="s">
        <v>926</v>
      </c>
      <c r="M504" s="565">
        <v>3</v>
      </c>
      <c r="N504" s="579">
        <v>1</v>
      </c>
      <c r="O504" s="566">
        <f t="shared" si="22"/>
        <v>0.33333333333333331</v>
      </c>
      <c r="P504" s="567">
        <f t="shared" si="23"/>
        <v>0</v>
      </c>
      <c r="Q504" s="568" t="e">
        <f t="shared" si="21"/>
        <v>#DIV/0!</v>
      </c>
      <c r="R504" s="676" t="s">
        <v>926</v>
      </c>
    </row>
    <row r="505" spans="1:18" x14ac:dyDescent="0.2">
      <c r="A505" s="558" t="s">
        <v>277</v>
      </c>
      <c r="B505" s="559" t="s">
        <v>914</v>
      </c>
      <c r="C505" s="573" t="s">
        <v>296</v>
      </c>
      <c r="D505" s="327" t="s">
        <v>294</v>
      </c>
      <c r="E505" s="575" t="s">
        <v>1848</v>
      </c>
      <c r="F505" s="561" t="s">
        <v>109</v>
      </c>
      <c r="G505" s="562" t="s">
        <v>941</v>
      </c>
      <c r="H505" s="563" t="s">
        <v>924</v>
      </c>
      <c r="I505" s="578" t="s">
        <v>925</v>
      </c>
      <c r="J505" s="564" t="s">
        <v>757</v>
      </c>
      <c r="K505" s="561">
        <v>0</v>
      </c>
      <c r="L505" s="338" t="s">
        <v>926</v>
      </c>
      <c r="M505" s="565">
        <v>1</v>
      </c>
      <c r="N505" s="579">
        <v>0</v>
      </c>
      <c r="O505" s="566">
        <f t="shared" si="22"/>
        <v>0</v>
      </c>
      <c r="P505" s="567">
        <f t="shared" si="23"/>
        <v>0</v>
      </c>
      <c r="Q505" s="568" t="e">
        <f t="shared" si="21"/>
        <v>#DIV/0!</v>
      </c>
      <c r="R505" s="676" t="s">
        <v>926</v>
      </c>
    </row>
    <row r="506" spans="1:18" x14ac:dyDescent="0.2">
      <c r="A506" s="558" t="s">
        <v>277</v>
      </c>
      <c r="B506" s="559" t="s">
        <v>914</v>
      </c>
      <c r="C506" s="573" t="s">
        <v>296</v>
      </c>
      <c r="D506" s="327" t="s">
        <v>282</v>
      </c>
      <c r="E506" s="575" t="s">
        <v>1848</v>
      </c>
      <c r="F506" s="561" t="s">
        <v>109</v>
      </c>
      <c r="G506" s="562" t="s">
        <v>941</v>
      </c>
      <c r="H506" s="563" t="s">
        <v>924</v>
      </c>
      <c r="I506" s="578" t="s">
        <v>925</v>
      </c>
      <c r="J506" s="564" t="s">
        <v>757</v>
      </c>
      <c r="K506" s="561">
        <v>0</v>
      </c>
      <c r="L506" s="338" t="s">
        <v>926</v>
      </c>
      <c r="M506" s="565">
        <v>2</v>
      </c>
      <c r="N506" s="579">
        <v>1</v>
      </c>
      <c r="O506" s="566">
        <f t="shared" si="22"/>
        <v>0.5</v>
      </c>
      <c r="P506" s="567">
        <f t="shared" si="23"/>
        <v>0</v>
      </c>
      <c r="Q506" s="568" t="e">
        <f t="shared" si="21"/>
        <v>#DIV/0!</v>
      </c>
      <c r="R506" s="676" t="s">
        <v>926</v>
      </c>
    </row>
    <row r="507" spans="1:18" x14ac:dyDescent="0.2">
      <c r="A507" s="558" t="s">
        <v>277</v>
      </c>
      <c r="B507" s="559" t="s">
        <v>914</v>
      </c>
      <c r="C507" s="573" t="s">
        <v>296</v>
      </c>
      <c r="D507" s="327" t="s">
        <v>285</v>
      </c>
      <c r="E507" s="575" t="s">
        <v>1715</v>
      </c>
      <c r="F507" s="561" t="s">
        <v>109</v>
      </c>
      <c r="G507" s="562" t="s">
        <v>941</v>
      </c>
      <c r="H507" s="563" t="s">
        <v>924</v>
      </c>
      <c r="I507" s="578" t="s">
        <v>925</v>
      </c>
      <c r="J507" s="564" t="s">
        <v>757</v>
      </c>
      <c r="K507" s="561">
        <v>25</v>
      </c>
      <c r="L507" s="338"/>
      <c r="M507" s="565">
        <v>11</v>
      </c>
      <c r="N507" s="579">
        <v>4</v>
      </c>
      <c r="O507" s="566">
        <f t="shared" si="22"/>
        <v>0.36363636363636365</v>
      </c>
      <c r="P507" s="567">
        <f t="shared" si="23"/>
        <v>1.4545454545454546</v>
      </c>
      <c r="Q507" s="568">
        <f t="shared" si="21"/>
        <v>1.4545454545454546</v>
      </c>
      <c r="R507" s="675"/>
    </row>
    <row r="508" spans="1:18" x14ac:dyDescent="0.2">
      <c r="A508" s="558" t="s">
        <v>277</v>
      </c>
      <c r="B508" s="559" t="s">
        <v>914</v>
      </c>
      <c r="C508" s="573" t="s">
        <v>296</v>
      </c>
      <c r="D508" s="327" t="s">
        <v>298</v>
      </c>
      <c r="E508" s="575" t="s">
        <v>1715</v>
      </c>
      <c r="F508" s="561" t="s">
        <v>109</v>
      </c>
      <c r="G508" s="562" t="s">
        <v>941</v>
      </c>
      <c r="H508" s="563" t="s">
        <v>924</v>
      </c>
      <c r="I508" s="578" t="s">
        <v>925</v>
      </c>
      <c r="J508" s="564" t="s">
        <v>757</v>
      </c>
      <c r="K508" s="561">
        <v>10</v>
      </c>
      <c r="L508" s="338"/>
      <c r="M508" s="565">
        <v>20</v>
      </c>
      <c r="N508" s="579">
        <v>7</v>
      </c>
      <c r="O508" s="566">
        <f t="shared" si="22"/>
        <v>0.35</v>
      </c>
      <c r="P508" s="567">
        <f t="shared" si="23"/>
        <v>3.5</v>
      </c>
      <c r="Q508" s="568">
        <f t="shared" si="21"/>
        <v>3.5</v>
      </c>
      <c r="R508" s="675"/>
    </row>
    <row r="509" spans="1:18" x14ac:dyDescent="0.2">
      <c r="A509" s="558" t="s">
        <v>277</v>
      </c>
      <c r="B509" s="559" t="s">
        <v>914</v>
      </c>
      <c r="C509" s="573" t="s">
        <v>316</v>
      </c>
      <c r="D509" s="327" t="s">
        <v>292</v>
      </c>
      <c r="E509" s="575" t="s">
        <v>1849</v>
      </c>
      <c r="F509" s="561" t="s">
        <v>109</v>
      </c>
      <c r="G509" s="562" t="s">
        <v>941</v>
      </c>
      <c r="H509" s="563" t="s">
        <v>924</v>
      </c>
      <c r="I509" s="578" t="s">
        <v>925</v>
      </c>
      <c r="J509" s="564" t="s">
        <v>757</v>
      </c>
      <c r="K509" s="561">
        <v>0</v>
      </c>
      <c r="L509" s="338" t="s">
        <v>926</v>
      </c>
      <c r="M509" s="565">
        <v>0</v>
      </c>
      <c r="N509" s="579">
        <v>0</v>
      </c>
      <c r="O509" s="566">
        <f t="shared" si="22"/>
        <v>0</v>
      </c>
      <c r="P509" s="567">
        <f t="shared" si="23"/>
        <v>0</v>
      </c>
      <c r="Q509" s="568" t="e">
        <f t="shared" si="21"/>
        <v>#DIV/0!</v>
      </c>
      <c r="R509" s="676" t="s">
        <v>1919</v>
      </c>
    </row>
    <row r="510" spans="1:18" x14ac:dyDescent="0.2">
      <c r="A510" s="558" t="s">
        <v>277</v>
      </c>
      <c r="B510" s="559" t="s">
        <v>914</v>
      </c>
      <c r="C510" s="573" t="s">
        <v>316</v>
      </c>
      <c r="D510" s="327" t="s">
        <v>294</v>
      </c>
      <c r="E510" s="575" t="s">
        <v>1849</v>
      </c>
      <c r="F510" s="561" t="s">
        <v>109</v>
      </c>
      <c r="G510" s="562" t="s">
        <v>941</v>
      </c>
      <c r="H510" s="563" t="s">
        <v>924</v>
      </c>
      <c r="I510" s="578" t="s">
        <v>925</v>
      </c>
      <c r="J510" s="564" t="s">
        <v>757</v>
      </c>
      <c r="K510" s="561">
        <v>0</v>
      </c>
      <c r="L510" s="338" t="s">
        <v>926</v>
      </c>
      <c r="M510" s="565">
        <v>0</v>
      </c>
      <c r="N510" s="579">
        <v>0</v>
      </c>
      <c r="O510" s="566">
        <f t="shared" si="22"/>
        <v>0</v>
      </c>
      <c r="P510" s="567">
        <f t="shared" si="23"/>
        <v>0</v>
      </c>
      <c r="Q510" s="568" t="e">
        <f t="shared" si="21"/>
        <v>#DIV/0!</v>
      </c>
      <c r="R510" s="676" t="s">
        <v>1919</v>
      </c>
    </row>
    <row r="511" spans="1:18" x14ac:dyDescent="0.2">
      <c r="A511" s="558" t="s">
        <v>277</v>
      </c>
      <c r="B511" s="559" t="s">
        <v>914</v>
      </c>
      <c r="C511" s="573" t="s">
        <v>308</v>
      </c>
      <c r="D511" s="327" t="s">
        <v>300</v>
      </c>
      <c r="E511" s="575" t="s">
        <v>1715</v>
      </c>
      <c r="F511" s="561" t="s">
        <v>109</v>
      </c>
      <c r="G511" s="562" t="s">
        <v>941</v>
      </c>
      <c r="H511" s="563" t="s">
        <v>927</v>
      </c>
      <c r="I511" s="578" t="s">
        <v>925</v>
      </c>
      <c r="J511" s="564" t="s">
        <v>757</v>
      </c>
      <c r="K511" s="561">
        <v>38</v>
      </c>
      <c r="L511" s="338"/>
      <c r="M511" s="565">
        <v>51</v>
      </c>
      <c r="N511" s="579">
        <v>1</v>
      </c>
      <c r="O511" s="566">
        <f t="shared" si="22"/>
        <v>1.9607843137254902E-2</v>
      </c>
      <c r="P511" s="567">
        <f t="shared" si="23"/>
        <v>5.1599587203302377E-2</v>
      </c>
      <c r="Q511" s="568">
        <f t="shared" si="21"/>
        <v>5.1599587203302377E-2</v>
      </c>
      <c r="R511" s="675"/>
    </row>
    <row r="512" spans="1:18" x14ac:dyDescent="0.2">
      <c r="A512" s="558" t="s">
        <v>277</v>
      </c>
      <c r="B512" s="559" t="s">
        <v>914</v>
      </c>
      <c r="C512" s="573" t="s">
        <v>308</v>
      </c>
      <c r="D512" s="327" t="s">
        <v>292</v>
      </c>
      <c r="E512" s="575" t="s">
        <v>1850</v>
      </c>
      <c r="F512" s="561" t="s">
        <v>109</v>
      </c>
      <c r="G512" s="562" t="s">
        <v>941</v>
      </c>
      <c r="H512" s="563" t="s">
        <v>924</v>
      </c>
      <c r="I512" s="578" t="s">
        <v>925</v>
      </c>
      <c r="J512" s="564" t="s">
        <v>757</v>
      </c>
      <c r="K512" s="561">
        <v>0</v>
      </c>
      <c r="L512" s="338" t="s">
        <v>926</v>
      </c>
      <c r="M512" s="565">
        <v>7</v>
      </c>
      <c r="N512" s="579">
        <v>2</v>
      </c>
      <c r="O512" s="566">
        <f t="shared" si="22"/>
        <v>0.2857142857142857</v>
      </c>
      <c r="P512" s="567">
        <f t="shared" si="23"/>
        <v>0</v>
      </c>
      <c r="Q512" s="568" t="e">
        <f t="shared" si="21"/>
        <v>#DIV/0!</v>
      </c>
      <c r="R512" s="676" t="s">
        <v>926</v>
      </c>
    </row>
    <row r="513" spans="1:18" x14ac:dyDescent="0.2">
      <c r="A513" s="558" t="s">
        <v>277</v>
      </c>
      <c r="B513" s="559" t="s">
        <v>914</v>
      </c>
      <c r="C513" s="573" t="s">
        <v>308</v>
      </c>
      <c r="D513" s="327" t="s">
        <v>294</v>
      </c>
      <c r="E513" s="575" t="s">
        <v>1850</v>
      </c>
      <c r="F513" s="561" t="s">
        <v>109</v>
      </c>
      <c r="G513" s="562" t="s">
        <v>941</v>
      </c>
      <c r="H513" s="563" t="s">
        <v>924</v>
      </c>
      <c r="I513" s="578" t="s">
        <v>925</v>
      </c>
      <c r="J513" s="564" t="s">
        <v>757</v>
      </c>
      <c r="K513" s="561">
        <v>0</v>
      </c>
      <c r="L513" s="338" t="s">
        <v>926</v>
      </c>
      <c r="M513" s="565">
        <v>1</v>
      </c>
      <c r="N513" s="579">
        <v>0</v>
      </c>
      <c r="O513" s="566">
        <f t="shared" si="22"/>
        <v>0</v>
      </c>
      <c r="P513" s="567">
        <f t="shared" si="23"/>
        <v>0</v>
      </c>
      <c r="Q513" s="568" t="e">
        <f t="shared" si="21"/>
        <v>#DIV/0!</v>
      </c>
      <c r="R513" s="676" t="s">
        <v>926</v>
      </c>
    </row>
    <row r="514" spans="1:18" x14ac:dyDescent="0.2">
      <c r="A514" s="558" t="s">
        <v>277</v>
      </c>
      <c r="B514" s="559" t="s">
        <v>914</v>
      </c>
      <c r="C514" s="573" t="s">
        <v>305</v>
      </c>
      <c r="D514" s="327" t="s">
        <v>300</v>
      </c>
      <c r="E514" s="575" t="s">
        <v>1715</v>
      </c>
      <c r="F514" s="561" t="s">
        <v>109</v>
      </c>
      <c r="G514" s="562" t="s">
        <v>941</v>
      </c>
      <c r="H514" s="563" t="s">
        <v>927</v>
      </c>
      <c r="I514" s="578" t="s">
        <v>925</v>
      </c>
      <c r="J514" s="564" t="s">
        <v>757</v>
      </c>
      <c r="K514" s="561">
        <v>5</v>
      </c>
      <c r="L514" s="338"/>
      <c r="M514" s="565">
        <v>568</v>
      </c>
      <c r="N514" s="579">
        <v>15</v>
      </c>
      <c r="O514" s="566">
        <f t="shared" si="22"/>
        <v>2.6408450704225352E-2</v>
      </c>
      <c r="P514" s="567">
        <f t="shared" si="23"/>
        <v>0.528169014084507</v>
      </c>
      <c r="Q514" s="568">
        <f t="shared" si="21"/>
        <v>0.52816901408450712</v>
      </c>
      <c r="R514" s="675"/>
    </row>
    <row r="515" spans="1:18" x14ac:dyDescent="0.2">
      <c r="A515" s="558" t="s">
        <v>277</v>
      </c>
      <c r="B515" s="559" t="s">
        <v>914</v>
      </c>
      <c r="C515" s="573" t="s">
        <v>305</v>
      </c>
      <c r="D515" s="327" t="s">
        <v>292</v>
      </c>
      <c r="E515" s="575" t="s">
        <v>1715</v>
      </c>
      <c r="F515" s="561" t="s">
        <v>109</v>
      </c>
      <c r="G515" s="562" t="s">
        <v>941</v>
      </c>
      <c r="H515" s="563" t="s">
        <v>924</v>
      </c>
      <c r="I515" s="578" t="s">
        <v>925</v>
      </c>
      <c r="J515" s="564" t="s">
        <v>757</v>
      </c>
      <c r="K515" s="561">
        <v>32</v>
      </c>
      <c r="L515" s="338"/>
      <c r="M515" s="565">
        <v>85</v>
      </c>
      <c r="N515" s="579">
        <v>16</v>
      </c>
      <c r="O515" s="566">
        <f t="shared" si="22"/>
        <v>0.18823529411764706</v>
      </c>
      <c r="P515" s="567">
        <f t="shared" si="23"/>
        <v>0.58823529411764708</v>
      </c>
      <c r="Q515" s="568">
        <f t="shared" si="21"/>
        <v>0.58823529411764708</v>
      </c>
      <c r="R515" s="675"/>
    </row>
    <row r="516" spans="1:18" x14ac:dyDescent="0.2">
      <c r="A516" s="558" t="s">
        <v>277</v>
      </c>
      <c r="B516" s="559" t="s">
        <v>914</v>
      </c>
      <c r="C516" s="573" t="s">
        <v>305</v>
      </c>
      <c r="D516" s="327" t="s">
        <v>294</v>
      </c>
      <c r="E516" s="575" t="s">
        <v>1851</v>
      </c>
      <c r="F516" s="561" t="s">
        <v>109</v>
      </c>
      <c r="G516" s="562" t="s">
        <v>941</v>
      </c>
      <c r="H516" s="563" t="s">
        <v>924</v>
      </c>
      <c r="I516" s="578" t="s">
        <v>925</v>
      </c>
      <c r="J516" s="564" t="s">
        <v>757</v>
      </c>
      <c r="K516" s="561">
        <v>33</v>
      </c>
      <c r="L516" s="338"/>
      <c r="M516" s="565">
        <v>24</v>
      </c>
      <c r="N516" s="579">
        <v>4</v>
      </c>
      <c r="O516" s="566">
        <f t="shared" si="22"/>
        <v>0.16666666666666666</v>
      </c>
      <c r="P516" s="567">
        <f t="shared" si="23"/>
        <v>0.50505050505050508</v>
      </c>
      <c r="Q516" s="568">
        <f t="shared" si="21"/>
        <v>0.50505050505050508</v>
      </c>
      <c r="R516" s="675"/>
    </row>
    <row r="517" spans="1:18" x14ac:dyDescent="0.2">
      <c r="A517" s="558" t="s">
        <v>277</v>
      </c>
      <c r="B517" s="559" t="s">
        <v>914</v>
      </c>
      <c r="C517" s="573" t="s">
        <v>305</v>
      </c>
      <c r="D517" s="327" t="s">
        <v>285</v>
      </c>
      <c r="E517" s="575" t="s">
        <v>1851</v>
      </c>
      <c r="F517" s="561" t="s">
        <v>109</v>
      </c>
      <c r="G517" s="562" t="s">
        <v>941</v>
      </c>
      <c r="H517" s="563" t="s">
        <v>924</v>
      </c>
      <c r="I517" s="578" t="s">
        <v>925</v>
      </c>
      <c r="J517" s="564" t="s">
        <v>757</v>
      </c>
      <c r="K517" s="561">
        <v>0</v>
      </c>
      <c r="L517" s="338" t="s">
        <v>926</v>
      </c>
      <c r="M517" s="565">
        <v>2</v>
      </c>
      <c r="N517" s="579">
        <v>1</v>
      </c>
      <c r="O517" s="566">
        <f t="shared" si="22"/>
        <v>0.5</v>
      </c>
      <c r="P517" s="567">
        <f t="shared" si="23"/>
        <v>0</v>
      </c>
      <c r="Q517" s="568" t="e">
        <f t="shared" ref="Q517:Q580" si="24">N517/(M517*K517/100)</f>
        <v>#DIV/0!</v>
      </c>
      <c r="R517" s="676" t="s">
        <v>926</v>
      </c>
    </row>
    <row r="518" spans="1:18" x14ac:dyDescent="0.2">
      <c r="A518" s="558" t="s">
        <v>277</v>
      </c>
      <c r="B518" s="559" t="s">
        <v>914</v>
      </c>
      <c r="C518" s="573" t="s">
        <v>97</v>
      </c>
      <c r="D518" s="327" t="s">
        <v>282</v>
      </c>
      <c r="E518" s="575" t="s">
        <v>1843</v>
      </c>
      <c r="F518" s="561" t="s">
        <v>109</v>
      </c>
      <c r="G518" s="562" t="s">
        <v>942</v>
      </c>
      <c r="H518" s="563" t="s">
        <v>924</v>
      </c>
      <c r="I518" s="578" t="s">
        <v>925</v>
      </c>
      <c r="J518" s="564" t="s">
        <v>757</v>
      </c>
      <c r="K518" s="561">
        <v>33</v>
      </c>
      <c r="L518" s="338"/>
      <c r="M518" s="565">
        <v>6</v>
      </c>
      <c r="N518" s="579">
        <v>3</v>
      </c>
      <c r="O518" s="566">
        <f t="shared" ref="O518:O581" si="25">IFERROR(N518/M518,0)</f>
        <v>0.5</v>
      </c>
      <c r="P518" s="567">
        <f t="shared" ref="P518:P581" si="26">IFERROR(N518/(M518*(K518/100)),0)</f>
        <v>1.5151515151515151</v>
      </c>
      <c r="Q518" s="568">
        <f t="shared" si="24"/>
        <v>1.5151515151515151</v>
      </c>
      <c r="R518" s="676"/>
    </row>
    <row r="519" spans="1:18" x14ac:dyDescent="0.2">
      <c r="A519" s="558" t="s">
        <v>277</v>
      </c>
      <c r="B519" s="559" t="s">
        <v>914</v>
      </c>
      <c r="C519" s="573" t="s">
        <v>97</v>
      </c>
      <c r="D519" s="327" t="s">
        <v>285</v>
      </c>
      <c r="E519" s="575" t="s">
        <v>1843</v>
      </c>
      <c r="F519" s="561" t="s">
        <v>109</v>
      </c>
      <c r="G519" s="562" t="s">
        <v>942</v>
      </c>
      <c r="H519" s="563" t="s">
        <v>924</v>
      </c>
      <c r="I519" s="578" t="s">
        <v>925</v>
      </c>
      <c r="J519" s="564" t="s">
        <v>757</v>
      </c>
      <c r="K519" s="561">
        <v>0</v>
      </c>
      <c r="L519" s="338" t="s">
        <v>926</v>
      </c>
      <c r="M519" s="565">
        <v>8</v>
      </c>
      <c r="N519" s="579">
        <v>0</v>
      </c>
      <c r="O519" s="566">
        <f t="shared" si="25"/>
        <v>0</v>
      </c>
      <c r="P519" s="567">
        <f t="shared" si="26"/>
        <v>0</v>
      </c>
      <c r="Q519" s="568" t="e">
        <f t="shared" si="24"/>
        <v>#DIV/0!</v>
      </c>
      <c r="R519" s="676" t="s">
        <v>926</v>
      </c>
    </row>
    <row r="520" spans="1:18" x14ac:dyDescent="0.2">
      <c r="A520" s="558" t="s">
        <v>277</v>
      </c>
      <c r="B520" s="559" t="s">
        <v>914</v>
      </c>
      <c r="C520" s="573" t="s">
        <v>286</v>
      </c>
      <c r="D520" s="327" t="s">
        <v>300</v>
      </c>
      <c r="E520" s="575" t="s">
        <v>1715</v>
      </c>
      <c r="F520" s="561" t="s">
        <v>109</v>
      </c>
      <c r="G520" s="562" t="s">
        <v>942</v>
      </c>
      <c r="H520" s="563" t="s">
        <v>927</v>
      </c>
      <c r="I520" s="578" t="s">
        <v>925</v>
      </c>
      <c r="J520" s="564" t="s">
        <v>757</v>
      </c>
      <c r="K520" s="561">
        <v>0</v>
      </c>
      <c r="L520" s="338" t="s">
        <v>926</v>
      </c>
      <c r="M520" s="565">
        <v>39</v>
      </c>
      <c r="N520" s="579">
        <v>4</v>
      </c>
      <c r="O520" s="566">
        <f t="shared" si="25"/>
        <v>0.10256410256410256</v>
      </c>
      <c r="P520" s="567">
        <f t="shared" si="26"/>
        <v>0</v>
      </c>
      <c r="Q520" s="568" t="e">
        <f t="shared" si="24"/>
        <v>#DIV/0!</v>
      </c>
      <c r="R520" s="676" t="s">
        <v>926</v>
      </c>
    </row>
    <row r="521" spans="1:18" x14ac:dyDescent="0.2">
      <c r="A521" s="558" t="s">
        <v>277</v>
      </c>
      <c r="B521" s="559" t="s">
        <v>914</v>
      </c>
      <c r="C521" s="573" t="s">
        <v>286</v>
      </c>
      <c r="D521" s="327" t="s">
        <v>292</v>
      </c>
      <c r="E521" s="575" t="s">
        <v>1715</v>
      </c>
      <c r="F521" s="561" t="s">
        <v>109</v>
      </c>
      <c r="G521" s="562" t="s">
        <v>942</v>
      </c>
      <c r="H521" s="563" t="s">
        <v>924</v>
      </c>
      <c r="I521" s="578" t="s">
        <v>925</v>
      </c>
      <c r="J521" s="564" t="s">
        <v>757</v>
      </c>
      <c r="K521" s="561">
        <v>26</v>
      </c>
      <c r="L521" s="338"/>
      <c r="M521" s="565">
        <v>12</v>
      </c>
      <c r="N521" s="579">
        <v>3</v>
      </c>
      <c r="O521" s="566">
        <f t="shared" si="25"/>
        <v>0.25</v>
      </c>
      <c r="P521" s="567">
        <f t="shared" si="26"/>
        <v>0.96153846153846145</v>
      </c>
      <c r="Q521" s="568">
        <f t="shared" si="24"/>
        <v>0.96153846153846145</v>
      </c>
      <c r="R521" s="675"/>
    </row>
    <row r="522" spans="1:18" x14ac:dyDescent="0.2">
      <c r="A522" s="558" t="s">
        <v>277</v>
      </c>
      <c r="B522" s="559" t="s">
        <v>914</v>
      </c>
      <c r="C522" s="573" t="s">
        <v>286</v>
      </c>
      <c r="D522" s="327" t="s">
        <v>294</v>
      </c>
      <c r="E522" s="575" t="s">
        <v>1715</v>
      </c>
      <c r="F522" s="561" t="s">
        <v>109</v>
      </c>
      <c r="G522" s="562" t="s">
        <v>942</v>
      </c>
      <c r="H522" s="563" t="s">
        <v>924</v>
      </c>
      <c r="I522" s="578" t="s">
        <v>925</v>
      </c>
      <c r="J522" s="564" t="s">
        <v>757</v>
      </c>
      <c r="K522" s="561">
        <v>16</v>
      </c>
      <c r="L522" s="338"/>
      <c r="M522" s="565">
        <v>40</v>
      </c>
      <c r="N522" s="579">
        <v>7</v>
      </c>
      <c r="O522" s="566">
        <f t="shared" si="25"/>
        <v>0.17499999999999999</v>
      </c>
      <c r="P522" s="567">
        <f t="shared" si="26"/>
        <v>1.09375</v>
      </c>
      <c r="Q522" s="568">
        <f t="shared" si="24"/>
        <v>1.09375</v>
      </c>
      <c r="R522" s="675"/>
    </row>
    <row r="523" spans="1:18" x14ac:dyDescent="0.2">
      <c r="A523" s="558" t="s">
        <v>277</v>
      </c>
      <c r="B523" s="559" t="s">
        <v>914</v>
      </c>
      <c r="C523" s="573" t="s">
        <v>286</v>
      </c>
      <c r="D523" s="327" t="s">
        <v>282</v>
      </c>
      <c r="E523" s="575" t="s">
        <v>1715</v>
      </c>
      <c r="F523" s="561" t="s">
        <v>109</v>
      </c>
      <c r="G523" s="562" t="s">
        <v>942</v>
      </c>
      <c r="H523" s="563" t="s">
        <v>924</v>
      </c>
      <c r="I523" s="578" t="s">
        <v>925</v>
      </c>
      <c r="J523" s="564" t="s">
        <v>757</v>
      </c>
      <c r="K523" s="561">
        <v>6</v>
      </c>
      <c r="L523" s="338"/>
      <c r="M523" s="565">
        <v>68</v>
      </c>
      <c r="N523" s="579">
        <v>11</v>
      </c>
      <c r="O523" s="566">
        <f t="shared" si="25"/>
        <v>0.16176470588235295</v>
      </c>
      <c r="P523" s="567">
        <f t="shared" si="26"/>
        <v>2.6960784313725488</v>
      </c>
      <c r="Q523" s="568">
        <f t="shared" si="24"/>
        <v>2.6960784313725488</v>
      </c>
      <c r="R523" s="675"/>
    </row>
    <row r="524" spans="1:18" x14ac:dyDescent="0.2">
      <c r="A524" s="558" t="s">
        <v>277</v>
      </c>
      <c r="B524" s="559" t="s">
        <v>914</v>
      </c>
      <c r="C524" s="573" t="s">
        <v>286</v>
      </c>
      <c r="D524" s="327" t="s">
        <v>285</v>
      </c>
      <c r="E524" s="575" t="s">
        <v>1715</v>
      </c>
      <c r="F524" s="561" t="s">
        <v>109</v>
      </c>
      <c r="G524" s="562" t="s">
        <v>942</v>
      </c>
      <c r="H524" s="563" t="s">
        <v>924</v>
      </c>
      <c r="I524" s="578" t="s">
        <v>925</v>
      </c>
      <c r="J524" s="564" t="s">
        <v>757</v>
      </c>
      <c r="K524" s="561">
        <v>8</v>
      </c>
      <c r="L524" s="338"/>
      <c r="M524" s="565">
        <v>47</v>
      </c>
      <c r="N524" s="579">
        <v>8</v>
      </c>
      <c r="O524" s="566">
        <f t="shared" si="25"/>
        <v>0.1702127659574468</v>
      </c>
      <c r="P524" s="567">
        <f t="shared" si="26"/>
        <v>2.1276595744680851</v>
      </c>
      <c r="Q524" s="568">
        <f t="shared" si="24"/>
        <v>2.1276595744680851</v>
      </c>
      <c r="R524" s="675"/>
    </row>
    <row r="525" spans="1:18" x14ac:dyDescent="0.2">
      <c r="A525" s="558" t="s">
        <v>277</v>
      </c>
      <c r="B525" s="559" t="s">
        <v>914</v>
      </c>
      <c r="C525" s="573" t="s">
        <v>303</v>
      </c>
      <c r="D525" s="327" t="s">
        <v>300</v>
      </c>
      <c r="E525" s="575" t="s">
        <v>1715</v>
      </c>
      <c r="F525" s="561" t="s">
        <v>109</v>
      </c>
      <c r="G525" s="562" t="s">
        <v>942</v>
      </c>
      <c r="H525" s="563" t="s">
        <v>927</v>
      </c>
      <c r="I525" s="578" t="s">
        <v>925</v>
      </c>
      <c r="J525" s="564" t="s">
        <v>757</v>
      </c>
      <c r="K525" s="561">
        <v>28.999999999999996</v>
      </c>
      <c r="L525" s="338"/>
      <c r="M525" s="565">
        <v>144</v>
      </c>
      <c r="N525" s="579">
        <v>4</v>
      </c>
      <c r="O525" s="566">
        <f t="shared" si="25"/>
        <v>2.7777777777777776E-2</v>
      </c>
      <c r="P525" s="567">
        <f t="shared" si="26"/>
        <v>9.5785440613026823E-2</v>
      </c>
      <c r="Q525" s="568">
        <f t="shared" si="24"/>
        <v>9.5785440613026837E-2</v>
      </c>
      <c r="R525" s="675"/>
    </row>
    <row r="526" spans="1:18" x14ac:dyDescent="0.2">
      <c r="A526" s="558" t="s">
        <v>277</v>
      </c>
      <c r="B526" s="559" t="s">
        <v>914</v>
      </c>
      <c r="C526" s="573" t="s">
        <v>303</v>
      </c>
      <c r="D526" s="327" t="s">
        <v>292</v>
      </c>
      <c r="E526" s="575" t="s">
        <v>1844</v>
      </c>
      <c r="F526" s="561" t="s">
        <v>109</v>
      </c>
      <c r="G526" s="562" t="s">
        <v>942</v>
      </c>
      <c r="H526" s="563" t="s">
        <v>924</v>
      </c>
      <c r="I526" s="578" t="s">
        <v>925</v>
      </c>
      <c r="J526" s="564" t="s">
        <v>757</v>
      </c>
      <c r="K526" s="561">
        <v>8</v>
      </c>
      <c r="L526" s="338"/>
      <c r="M526" s="565">
        <v>42</v>
      </c>
      <c r="N526" s="579">
        <v>1</v>
      </c>
      <c r="O526" s="566">
        <f t="shared" si="25"/>
        <v>2.3809523809523808E-2</v>
      </c>
      <c r="P526" s="567">
        <f t="shared" si="26"/>
        <v>0.29761904761904762</v>
      </c>
      <c r="Q526" s="568">
        <f t="shared" si="24"/>
        <v>0.29761904761904762</v>
      </c>
      <c r="R526" s="675"/>
    </row>
    <row r="527" spans="1:18" x14ac:dyDescent="0.2">
      <c r="A527" s="558" t="s">
        <v>277</v>
      </c>
      <c r="B527" s="559" t="s">
        <v>914</v>
      </c>
      <c r="C527" s="573" t="s">
        <v>303</v>
      </c>
      <c r="D527" s="327" t="s">
        <v>294</v>
      </c>
      <c r="E527" s="575" t="s">
        <v>1844</v>
      </c>
      <c r="F527" s="561" t="s">
        <v>109</v>
      </c>
      <c r="G527" s="562" t="s">
        <v>942</v>
      </c>
      <c r="H527" s="563" t="s">
        <v>924</v>
      </c>
      <c r="I527" s="578" t="s">
        <v>925</v>
      </c>
      <c r="J527" s="564" t="s">
        <v>757</v>
      </c>
      <c r="K527" s="561">
        <v>0</v>
      </c>
      <c r="L527" s="338" t="s">
        <v>926</v>
      </c>
      <c r="M527" s="565">
        <v>10</v>
      </c>
      <c r="N527" s="579">
        <v>1</v>
      </c>
      <c r="O527" s="566">
        <f t="shared" si="25"/>
        <v>0.1</v>
      </c>
      <c r="P527" s="567">
        <f t="shared" si="26"/>
        <v>0</v>
      </c>
      <c r="Q527" s="568" t="e">
        <f t="shared" si="24"/>
        <v>#DIV/0!</v>
      </c>
      <c r="R527" s="676" t="s">
        <v>926</v>
      </c>
    </row>
    <row r="528" spans="1:18" x14ac:dyDescent="0.2">
      <c r="A528" s="558" t="s">
        <v>277</v>
      </c>
      <c r="B528" s="559" t="s">
        <v>914</v>
      </c>
      <c r="C528" s="573" t="s">
        <v>303</v>
      </c>
      <c r="D528" s="327" t="s">
        <v>282</v>
      </c>
      <c r="E528" s="575" t="s">
        <v>1845</v>
      </c>
      <c r="F528" s="561" t="s">
        <v>109</v>
      </c>
      <c r="G528" s="562" t="s">
        <v>942</v>
      </c>
      <c r="H528" s="563" t="s">
        <v>924</v>
      </c>
      <c r="I528" s="578" t="s">
        <v>925</v>
      </c>
      <c r="J528" s="564" t="s">
        <v>757</v>
      </c>
      <c r="K528" s="561">
        <v>0</v>
      </c>
      <c r="L528" s="338" t="s">
        <v>926</v>
      </c>
      <c r="M528" s="565">
        <v>2</v>
      </c>
      <c r="N528" s="579">
        <v>0</v>
      </c>
      <c r="O528" s="566">
        <f t="shared" si="25"/>
        <v>0</v>
      </c>
      <c r="P528" s="567">
        <f t="shared" si="26"/>
        <v>0</v>
      </c>
      <c r="Q528" s="568" t="e">
        <f t="shared" si="24"/>
        <v>#DIV/0!</v>
      </c>
      <c r="R528" s="676" t="s">
        <v>926</v>
      </c>
    </row>
    <row r="529" spans="1:18" x14ac:dyDescent="0.2">
      <c r="A529" s="558" t="s">
        <v>277</v>
      </c>
      <c r="B529" s="559" t="s">
        <v>914</v>
      </c>
      <c r="C529" s="573" t="s">
        <v>303</v>
      </c>
      <c r="D529" s="327" t="s">
        <v>285</v>
      </c>
      <c r="E529" s="575" t="s">
        <v>1845</v>
      </c>
      <c r="F529" s="561" t="s">
        <v>109</v>
      </c>
      <c r="G529" s="562" t="s">
        <v>942</v>
      </c>
      <c r="H529" s="563" t="s">
        <v>924</v>
      </c>
      <c r="I529" s="578" t="s">
        <v>925</v>
      </c>
      <c r="J529" s="564" t="s">
        <v>757</v>
      </c>
      <c r="K529" s="561">
        <v>0</v>
      </c>
      <c r="L529" s="338" t="s">
        <v>926</v>
      </c>
      <c r="M529" s="565">
        <v>5</v>
      </c>
      <c r="N529" s="579">
        <v>1</v>
      </c>
      <c r="O529" s="566">
        <f t="shared" si="25"/>
        <v>0.2</v>
      </c>
      <c r="P529" s="567">
        <f t="shared" si="26"/>
        <v>0</v>
      </c>
      <c r="Q529" s="568" t="e">
        <f t="shared" si="24"/>
        <v>#DIV/0!</v>
      </c>
      <c r="R529" s="676" t="s">
        <v>926</v>
      </c>
    </row>
    <row r="530" spans="1:18" x14ac:dyDescent="0.2">
      <c r="A530" s="558" t="s">
        <v>277</v>
      </c>
      <c r="B530" s="559" t="s">
        <v>914</v>
      </c>
      <c r="C530" s="573" t="s">
        <v>99</v>
      </c>
      <c r="D530" s="327" t="s">
        <v>300</v>
      </c>
      <c r="E530" s="575" t="s">
        <v>1715</v>
      </c>
      <c r="F530" s="561" t="s">
        <v>109</v>
      </c>
      <c r="G530" s="562" t="s">
        <v>942</v>
      </c>
      <c r="H530" s="563" t="s">
        <v>927</v>
      </c>
      <c r="I530" s="578" t="s">
        <v>925</v>
      </c>
      <c r="J530" s="564" t="s">
        <v>757</v>
      </c>
      <c r="K530" s="561">
        <v>17</v>
      </c>
      <c r="L530" s="338"/>
      <c r="M530" s="565">
        <v>158</v>
      </c>
      <c r="N530" s="579">
        <v>5</v>
      </c>
      <c r="O530" s="566">
        <f t="shared" si="25"/>
        <v>3.1645569620253167E-2</v>
      </c>
      <c r="P530" s="567">
        <f t="shared" si="26"/>
        <v>0.18615040953090095</v>
      </c>
      <c r="Q530" s="568">
        <f t="shared" si="24"/>
        <v>0.18615040953090098</v>
      </c>
      <c r="R530" s="675"/>
    </row>
    <row r="531" spans="1:18" x14ac:dyDescent="0.2">
      <c r="A531" s="558" t="s">
        <v>277</v>
      </c>
      <c r="B531" s="559" t="s">
        <v>914</v>
      </c>
      <c r="C531" s="573" t="s">
        <v>99</v>
      </c>
      <c r="D531" s="327" t="s">
        <v>292</v>
      </c>
      <c r="E531" s="575" t="s">
        <v>1715</v>
      </c>
      <c r="F531" s="561" t="s">
        <v>109</v>
      </c>
      <c r="G531" s="562" t="s">
        <v>942</v>
      </c>
      <c r="H531" s="563" t="s">
        <v>924</v>
      </c>
      <c r="I531" s="578" t="s">
        <v>925</v>
      </c>
      <c r="J531" s="564" t="s">
        <v>757</v>
      </c>
      <c r="K531" s="561">
        <v>36</v>
      </c>
      <c r="L531" s="338"/>
      <c r="M531" s="565">
        <v>7</v>
      </c>
      <c r="N531" s="579">
        <v>1</v>
      </c>
      <c r="O531" s="566">
        <f t="shared" si="25"/>
        <v>0.14285714285714285</v>
      </c>
      <c r="P531" s="567">
        <f t="shared" si="26"/>
        <v>0.3968253968253968</v>
      </c>
      <c r="Q531" s="568">
        <f t="shared" si="24"/>
        <v>0.3968253968253968</v>
      </c>
      <c r="R531" s="675"/>
    </row>
    <row r="532" spans="1:18" x14ac:dyDescent="0.2">
      <c r="A532" s="558" t="s">
        <v>277</v>
      </c>
      <c r="B532" s="559" t="s">
        <v>914</v>
      </c>
      <c r="C532" s="573" t="s">
        <v>99</v>
      </c>
      <c r="D532" s="327" t="s">
        <v>294</v>
      </c>
      <c r="E532" s="575" t="s">
        <v>1846</v>
      </c>
      <c r="F532" s="561" t="s">
        <v>109</v>
      </c>
      <c r="G532" s="562" t="s">
        <v>942</v>
      </c>
      <c r="H532" s="563" t="s">
        <v>924</v>
      </c>
      <c r="I532" s="578" t="s">
        <v>925</v>
      </c>
      <c r="J532" s="564" t="s">
        <v>757</v>
      </c>
      <c r="K532" s="561">
        <v>80</v>
      </c>
      <c r="L532" s="338"/>
      <c r="M532" s="565">
        <v>8</v>
      </c>
      <c r="N532" s="579">
        <v>3</v>
      </c>
      <c r="O532" s="566">
        <f t="shared" si="25"/>
        <v>0.375</v>
      </c>
      <c r="P532" s="567">
        <f t="shared" si="26"/>
        <v>0.46875</v>
      </c>
      <c r="Q532" s="568">
        <f t="shared" si="24"/>
        <v>0.46875</v>
      </c>
      <c r="R532" s="675"/>
    </row>
    <row r="533" spans="1:18" x14ac:dyDescent="0.2">
      <c r="A533" s="558" t="s">
        <v>277</v>
      </c>
      <c r="B533" s="559" t="s">
        <v>914</v>
      </c>
      <c r="C533" s="573" t="s">
        <v>99</v>
      </c>
      <c r="D533" s="327" t="s">
        <v>282</v>
      </c>
      <c r="E533" s="575" t="s">
        <v>1846</v>
      </c>
      <c r="F533" s="561" t="s">
        <v>109</v>
      </c>
      <c r="G533" s="562" t="s">
        <v>942</v>
      </c>
      <c r="H533" s="563" t="s">
        <v>924</v>
      </c>
      <c r="I533" s="578" t="s">
        <v>925</v>
      </c>
      <c r="J533" s="564" t="s">
        <v>757</v>
      </c>
      <c r="K533" s="561">
        <v>0</v>
      </c>
      <c r="L533" s="338" t="s">
        <v>926</v>
      </c>
      <c r="M533" s="565">
        <v>4</v>
      </c>
      <c r="N533" s="579">
        <v>1</v>
      </c>
      <c r="O533" s="566">
        <f t="shared" si="25"/>
        <v>0.25</v>
      </c>
      <c r="P533" s="567">
        <f t="shared" si="26"/>
        <v>0</v>
      </c>
      <c r="Q533" s="568" t="e">
        <f t="shared" si="24"/>
        <v>#DIV/0!</v>
      </c>
      <c r="R533" s="676" t="s">
        <v>926</v>
      </c>
    </row>
    <row r="534" spans="1:18" x14ac:dyDescent="0.2">
      <c r="A534" s="558" t="s">
        <v>277</v>
      </c>
      <c r="B534" s="559" t="s">
        <v>914</v>
      </c>
      <c r="C534" s="573" t="s">
        <v>99</v>
      </c>
      <c r="D534" s="327" t="s">
        <v>285</v>
      </c>
      <c r="E534" s="575" t="s">
        <v>1846</v>
      </c>
      <c r="F534" s="561" t="s">
        <v>109</v>
      </c>
      <c r="G534" s="562" t="s">
        <v>942</v>
      </c>
      <c r="H534" s="563" t="s">
        <v>924</v>
      </c>
      <c r="I534" s="578" t="s">
        <v>925</v>
      </c>
      <c r="J534" s="564" t="s">
        <v>757</v>
      </c>
      <c r="K534" s="561">
        <v>0</v>
      </c>
      <c r="L534" s="338" t="s">
        <v>926</v>
      </c>
      <c r="M534" s="565">
        <v>1</v>
      </c>
      <c r="N534" s="579">
        <v>0</v>
      </c>
      <c r="O534" s="566">
        <f t="shared" si="25"/>
        <v>0</v>
      </c>
      <c r="P534" s="567">
        <f t="shared" si="26"/>
        <v>0</v>
      </c>
      <c r="Q534" s="568" t="e">
        <f t="shared" si="24"/>
        <v>#DIV/0!</v>
      </c>
      <c r="R534" s="676" t="s">
        <v>926</v>
      </c>
    </row>
    <row r="535" spans="1:18" x14ac:dyDescent="0.2">
      <c r="A535" s="558" t="s">
        <v>277</v>
      </c>
      <c r="B535" s="559" t="s">
        <v>914</v>
      </c>
      <c r="C535" s="573" t="s">
        <v>296</v>
      </c>
      <c r="D535" s="327" t="s">
        <v>300</v>
      </c>
      <c r="E535" s="575" t="s">
        <v>1847</v>
      </c>
      <c r="F535" s="561" t="s">
        <v>109</v>
      </c>
      <c r="G535" s="562" t="s">
        <v>942</v>
      </c>
      <c r="H535" s="563" t="s">
        <v>927</v>
      </c>
      <c r="I535" s="578" t="s">
        <v>925</v>
      </c>
      <c r="J535" s="564" t="s">
        <v>757</v>
      </c>
      <c r="K535" s="561">
        <v>13</v>
      </c>
      <c r="L535" s="338"/>
      <c r="M535" s="565">
        <v>0</v>
      </c>
      <c r="N535" s="579">
        <v>0</v>
      </c>
      <c r="O535" s="566">
        <f t="shared" si="25"/>
        <v>0</v>
      </c>
      <c r="P535" s="567">
        <f t="shared" si="26"/>
        <v>0</v>
      </c>
      <c r="Q535" s="568" t="e">
        <f t="shared" si="24"/>
        <v>#DIV/0!</v>
      </c>
      <c r="R535" s="676" t="s">
        <v>1919</v>
      </c>
    </row>
    <row r="536" spans="1:18" x14ac:dyDescent="0.2">
      <c r="A536" s="558" t="s">
        <v>277</v>
      </c>
      <c r="B536" s="559" t="s">
        <v>914</v>
      </c>
      <c r="C536" s="573" t="s">
        <v>296</v>
      </c>
      <c r="D536" s="327" t="s">
        <v>292</v>
      </c>
      <c r="E536" s="575" t="s">
        <v>1847</v>
      </c>
      <c r="F536" s="561" t="s">
        <v>109</v>
      </c>
      <c r="G536" s="562" t="s">
        <v>942</v>
      </c>
      <c r="H536" s="563" t="s">
        <v>924</v>
      </c>
      <c r="I536" s="578" t="s">
        <v>925</v>
      </c>
      <c r="J536" s="564" t="s">
        <v>757</v>
      </c>
      <c r="K536" s="561">
        <v>0</v>
      </c>
      <c r="L536" s="338" t="s">
        <v>926</v>
      </c>
      <c r="M536" s="565">
        <v>3</v>
      </c>
      <c r="N536" s="579">
        <v>1</v>
      </c>
      <c r="O536" s="566">
        <f t="shared" si="25"/>
        <v>0.33333333333333331</v>
      </c>
      <c r="P536" s="567">
        <f t="shared" si="26"/>
        <v>0</v>
      </c>
      <c r="Q536" s="568" t="e">
        <f t="shared" si="24"/>
        <v>#DIV/0!</v>
      </c>
      <c r="R536" s="676" t="s">
        <v>926</v>
      </c>
    </row>
    <row r="537" spans="1:18" x14ac:dyDescent="0.2">
      <c r="A537" s="558" t="s">
        <v>277</v>
      </c>
      <c r="B537" s="559" t="s">
        <v>914</v>
      </c>
      <c r="C537" s="573" t="s">
        <v>296</v>
      </c>
      <c r="D537" s="327" t="s">
        <v>294</v>
      </c>
      <c r="E537" s="575" t="s">
        <v>1848</v>
      </c>
      <c r="F537" s="561" t="s">
        <v>109</v>
      </c>
      <c r="G537" s="562" t="s">
        <v>942</v>
      </c>
      <c r="H537" s="563" t="s">
        <v>924</v>
      </c>
      <c r="I537" s="578" t="s">
        <v>925</v>
      </c>
      <c r="J537" s="564" t="s">
        <v>757</v>
      </c>
      <c r="K537" s="561">
        <v>0</v>
      </c>
      <c r="L537" s="338" t="s">
        <v>926</v>
      </c>
      <c r="M537" s="565">
        <v>1</v>
      </c>
      <c r="N537" s="579">
        <v>0</v>
      </c>
      <c r="O537" s="566">
        <f t="shared" si="25"/>
        <v>0</v>
      </c>
      <c r="P537" s="567">
        <f t="shared" si="26"/>
        <v>0</v>
      </c>
      <c r="Q537" s="568" t="e">
        <f t="shared" si="24"/>
        <v>#DIV/0!</v>
      </c>
      <c r="R537" s="676" t="s">
        <v>926</v>
      </c>
    </row>
    <row r="538" spans="1:18" x14ac:dyDescent="0.2">
      <c r="A538" s="558" t="s">
        <v>277</v>
      </c>
      <c r="B538" s="559" t="s">
        <v>914</v>
      </c>
      <c r="C538" s="573" t="s">
        <v>296</v>
      </c>
      <c r="D538" s="327" t="s">
        <v>282</v>
      </c>
      <c r="E538" s="575" t="s">
        <v>1848</v>
      </c>
      <c r="F538" s="561" t="s">
        <v>109</v>
      </c>
      <c r="G538" s="562" t="s">
        <v>942</v>
      </c>
      <c r="H538" s="563" t="s">
        <v>924</v>
      </c>
      <c r="I538" s="578" t="s">
        <v>925</v>
      </c>
      <c r="J538" s="564" t="s">
        <v>757</v>
      </c>
      <c r="K538" s="561">
        <v>0</v>
      </c>
      <c r="L538" s="338" t="s">
        <v>926</v>
      </c>
      <c r="M538" s="565">
        <v>2</v>
      </c>
      <c r="N538" s="579">
        <v>1</v>
      </c>
      <c r="O538" s="566">
        <f t="shared" si="25"/>
        <v>0.5</v>
      </c>
      <c r="P538" s="567">
        <f t="shared" si="26"/>
        <v>0</v>
      </c>
      <c r="Q538" s="568" t="e">
        <f t="shared" si="24"/>
        <v>#DIV/0!</v>
      </c>
      <c r="R538" s="676" t="s">
        <v>926</v>
      </c>
    </row>
    <row r="539" spans="1:18" x14ac:dyDescent="0.2">
      <c r="A539" s="558" t="s">
        <v>277</v>
      </c>
      <c r="B539" s="559" t="s">
        <v>914</v>
      </c>
      <c r="C539" s="573" t="s">
        <v>296</v>
      </c>
      <c r="D539" s="327" t="s">
        <v>285</v>
      </c>
      <c r="E539" s="575" t="s">
        <v>1715</v>
      </c>
      <c r="F539" s="561" t="s">
        <v>109</v>
      </c>
      <c r="G539" s="562" t="s">
        <v>942</v>
      </c>
      <c r="H539" s="563" t="s">
        <v>924</v>
      </c>
      <c r="I539" s="578" t="s">
        <v>925</v>
      </c>
      <c r="J539" s="564" t="s">
        <v>757</v>
      </c>
      <c r="K539" s="561">
        <v>25</v>
      </c>
      <c r="L539" s="338"/>
      <c r="M539" s="565">
        <v>11</v>
      </c>
      <c r="N539" s="579">
        <v>4</v>
      </c>
      <c r="O539" s="566">
        <f t="shared" si="25"/>
        <v>0.36363636363636365</v>
      </c>
      <c r="P539" s="567">
        <f t="shared" si="26"/>
        <v>1.4545454545454546</v>
      </c>
      <c r="Q539" s="568">
        <f t="shared" si="24"/>
        <v>1.4545454545454546</v>
      </c>
      <c r="R539" s="675"/>
    </row>
    <row r="540" spans="1:18" x14ac:dyDescent="0.2">
      <c r="A540" s="558" t="s">
        <v>277</v>
      </c>
      <c r="B540" s="559" t="s">
        <v>914</v>
      </c>
      <c r="C540" s="573" t="s">
        <v>296</v>
      </c>
      <c r="D540" s="327" t="s">
        <v>298</v>
      </c>
      <c r="E540" s="575" t="s">
        <v>1715</v>
      </c>
      <c r="F540" s="561" t="s">
        <v>109</v>
      </c>
      <c r="G540" s="562" t="s">
        <v>942</v>
      </c>
      <c r="H540" s="563" t="s">
        <v>924</v>
      </c>
      <c r="I540" s="578" t="s">
        <v>925</v>
      </c>
      <c r="J540" s="564" t="s">
        <v>757</v>
      </c>
      <c r="K540" s="561">
        <v>10</v>
      </c>
      <c r="L540" s="338"/>
      <c r="M540" s="565">
        <v>20</v>
      </c>
      <c r="N540" s="579">
        <v>7</v>
      </c>
      <c r="O540" s="566">
        <f t="shared" si="25"/>
        <v>0.35</v>
      </c>
      <c r="P540" s="567">
        <f t="shared" si="26"/>
        <v>3.5</v>
      </c>
      <c r="Q540" s="568">
        <f t="shared" si="24"/>
        <v>3.5</v>
      </c>
      <c r="R540" s="675"/>
    </row>
    <row r="541" spans="1:18" x14ac:dyDescent="0.2">
      <c r="A541" s="558" t="s">
        <v>277</v>
      </c>
      <c r="B541" s="559" t="s">
        <v>914</v>
      </c>
      <c r="C541" s="573" t="s">
        <v>316</v>
      </c>
      <c r="D541" s="327" t="s">
        <v>292</v>
      </c>
      <c r="E541" s="575" t="s">
        <v>1849</v>
      </c>
      <c r="F541" s="561" t="s">
        <v>109</v>
      </c>
      <c r="G541" s="562" t="s">
        <v>942</v>
      </c>
      <c r="H541" s="563" t="s">
        <v>924</v>
      </c>
      <c r="I541" s="578" t="s">
        <v>925</v>
      </c>
      <c r="J541" s="564" t="s">
        <v>757</v>
      </c>
      <c r="K541" s="561">
        <v>0</v>
      </c>
      <c r="L541" s="338" t="s">
        <v>926</v>
      </c>
      <c r="M541" s="565">
        <v>0</v>
      </c>
      <c r="N541" s="579">
        <v>0</v>
      </c>
      <c r="O541" s="566">
        <f t="shared" si="25"/>
        <v>0</v>
      </c>
      <c r="P541" s="567">
        <f t="shared" si="26"/>
        <v>0</v>
      </c>
      <c r="Q541" s="568" t="e">
        <f t="shared" si="24"/>
        <v>#DIV/0!</v>
      </c>
      <c r="R541" s="676" t="s">
        <v>1919</v>
      </c>
    </row>
    <row r="542" spans="1:18" x14ac:dyDescent="0.2">
      <c r="A542" s="558" t="s">
        <v>277</v>
      </c>
      <c r="B542" s="559" t="s">
        <v>914</v>
      </c>
      <c r="C542" s="573" t="s">
        <v>316</v>
      </c>
      <c r="D542" s="327" t="s">
        <v>294</v>
      </c>
      <c r="E542" s="575" t="s">
        <v>1849</v>
      </c>
      <c r="F542" s="561" t="s">
        <v>109</v>
      </c>
      <c r="G542" s="562" t="s">
        <v>942</v>
      </c>
      <c r="H542" s="563" t="s">
        <v>924</v>
      </c>
      <c r="I542" s="578" t="s">
        <v>925</v>
      </c>
      <c r="J542" s="564" t="s">
        <v>757</v>
      </c>
      <c r="K542" s="561">
        <v>0</v>
      </c>
      <c r="L542" s="338" t="s">
        <v>926</v>
      </c>
      <c r="M542" s="565">
        <v>0</v>
      </c>
      <c r="N542" s="579">
        <v>0</v>
      </c>
      <c r="O542" s="566">
        <f t="shared" si="25"/>
        <v>0</v>
      </c>
      <c r="P542" s="567">
        <f t="shared" si="26"/>
        <v>0</v>
      </c>
      <c r="Q542" s="568" t="e">
        <f t="shared" si="24"/>
        <v>#DIV/0!</v>
      </c>
      <c r="R542" s="676" t="s">
        <v>1919</v>
      </c>
    </row>
    <row r="543" spans="1:18" x14ac:dyDescent="0.2">
      <c r="A543" s="558" t="s">
        <v>277</v>
      </c>
      <c r="B543" s="559" t="s">
        <v>914</v>
      </c>
      <c r="C543" s="573" t="s">
        <v>308</v>
      </c>
      <c r="D543" s="327" t="s">
        <v>300</v>
      </c>
      <c r="E543" s="575" t="s">
        <v>1715</v>
      </c>
      <c r="F543" s="561" t="s">
        <v>109</v>
      </c>
      <c r="G543" s="562" t="s">
        <v>942</v>
      </c>
      <c r="H543" s="563" t="s">
        <v>927</v>
      </c>
      <c r="I543" s="578" t="s">
        <v>925</v>
      </c>
      <c r="J543" s="564" t="s">
        <v>757</v>
      </c>
      <c r="K543" s="561">
        <v>38</v>
      </c>
      <c r="L543" s="338"/>
      <c r="M543" s="565">
        <v>51</v>
      </c>
      <c r="N543" s="579">
        <v>1</v>
      </c>
      <c r="O543" s="566">
        <f t="shared" si="25"/>
        <v>1.9607843137254902E-2</v>
      </c>
      <c r="P543" s="567">
        <f t="shared" si="26"/>
        <v>5.1599587203302377E-2</v>
      </c>
      <c r="Q543" s="568">
        <f t="shared" si="24"/>
        <v>5.1599587203302377E-2</v>
      </c>
      <c r="R543" s="675"/>
    </row>
    <row r="544" spans="1:18" x14ac:dyDescent="0.2">
      <c r="A544" s="558" t="s">
        <v>277</v>
      </c>
      <c r="B544" s="559" t="s">
        <v>914</v>
      </c>
      <c r="C544" s="573" t="s">
        <v>308</v>
      </c>
      <c r="D544" s="327" t="s">
        <v>292</v>
      </c>
      <c r="E544" s="575" t="s">
        <v>1850</v>
      </c>
      <c r="F544" s="561" t="s">
        <v>109</v>
      </c>
      <c r="G544" s="562" t="s">
        <v>942</v>
      </c>
      <c r="H544" s="563" t="s">
        <v>924</v>
      </c>
      <c r="I544" s="578" t="s">
        <v>925</v>
      </c>
      <c r="J544" s="564" t="s">
        <v>757</v>
      </c>
      <c r="K544" s="561">
        <v>0</v>
      </c>
      <c r="L544" s="338" t="s">
        <v>926</v>
      </c>
      <c r="M544" s="565">
        <v>7</v>
      </c>
      <c r="N544" s="579">
        <v>2</v>
      </c>
      <c r="O544" s="566">
        <f t="shared" si="25"/>
        <v>0.2857142857142857</v>
      </c>
      <c r="P544" s="567">
        <f t="shared" si="26"/>
        <v>0</v>
      </c>
      <c r="Q544" s="568" t="e">
        <f t="shared" si="24"/>
        <v>#DIV/0!</v>
      </c>
      <c r="R544" s="676" t="s">
        <v>926</v>
      </c>
    </row>
    <row r="545" spans="1:18" x14ac:dyDescent="0.2">
      <c r="A545" s="558" t="s">
        <v>277</v>
      </c>
      <c r="B545" s="559" t="s">
        <v>914</v>
      </c>
      <c r="C545" s="573" t="s">
        <v>308</v>
      </c>
      <c r="D545" s="327" t="s">
        <v>294</v>
      </c>
      <c r="E545" s="575" t="s">
        <v>1850</v>
      </c>
      <c r="F545" s="561" t="s">
        <v>109</v>
      </c>
      <c r="G545" s="562" t="s">
        <v>942</v>
      </c>
      <c r="H545" s="563" t="s">
        <v>924</v>
      </c>
      <c r="I545" s="578" t="s">
        <v>925</v>
      </c>
      <c r="J545" s="564" t="s">
        <v>757</v>
      </c>
      <c r="K545" s="561">
        <v>0</v>
      </c>
      <c r="L545" s="338" t="s">
        <v>926</v>
      </c>
      <c r="M545" s="565">
        <v>1</v>
      </c>
      <c r="N545" s="579">
        <v>0</v>
      </c>
      <c r="O545" s="566">
        <f t="shared" si="25"/>
        <v>0</v>
      </c>
      <c r="P545" s="567">
        <f t="shared" si="26"/>
        <v>0</v>
      </c>
      <c r="Q545" s="568" t="e">
        <f t="shared" si="24"/>
        <v>#DIV/0!</v>
      </c>
      <c r="R545" s="676" t="s">
        <v>926</v>
      </c>
    </row>
    <row r="546" spans="1:18" x14ac:dyDescent="0.2">
      <c r="A546" s="558" t="s">
        <v>277</v>
      </c>
      <c r="B546" s="559" t="s">
        <v>914</v>
      </c>
      <c r="C546" s="573" t="s">
        <v>305</v>
      </c>
      <c r="D546" s="327" t="s">
        <v>300</v>
      </c>
      <c r="E546" s="575" t="s">
        <v>1715</v>
      </c>
      <c r="F546" s="561" t="s">
        <v>109</v>
      </c>
      <c r="G546" s="562" t="s">
        <v>942</v>
      </c>
      <c r="H546" s="563" t="s">
        <v>927</v>
      </c>
      <c r="I546" s="578" t="s">
        <v>925</v>
      </c>
      <c r="J546" s="564" t="s">
        <v>757</v>
      </c>
      <c r="K546" s="561">
        <v>5</v>
      </c>
      <c r="L546" s="338"/>
      <c r="M546" s="565">
        <v>568</v>
      </c>
      <c r="N546" s="579">
        <v>15</v>
      </c>
      <c r="O546" s="566">
        <f t="shared" si="25"/>
        <v>2.6408450704225352E-2</v>
      </c>
      <c r="P546" s="567">
        <f t="shared" si="26"/>
        <v>0.528169014084507</v>
      </c>
      <c r="Q546" s="568">
        <f t="shared" si="24"/>
        <v>0.52816901408450712</v>
      </c>
      <c r="R546" s="675"/>
    </row>
    <row r="547" spans="1:18" x14ac:dyDescent="0.2">
      <c r="A547" s="558" t="s">
        <v>277</v>
      </c>
      <c r="B547" s="559" t="s">
        <v>914</v>
      </c>
      <c r="C547" s="573" t="s">
        <v>305</v>
      </c>
      <c r="D547" s="327" t="s">
        <v>292</v>
      </c>
      <c r="E547" s="575" t="s">
        <v>1715</v>
      </c>
      <c r="F547" s="561" t="s">
        <v>109</v>
      </c>
      <c r="G547" s="562" t="s">
        <v>942</v>
      </c>
      <c r="H547" s="563" t="s">
        <v>924</v>
      </c>
      <c r="I547" s="578" t="s">
        <v>925</v>
      </c>
      <c r="J547" s="564" t="s">
        <v>757</v>
      </c>
      <c r="K547" s="561">
        <v>32</v>
      </c>
      <c r="L547" s="338"/>
      <c r="M547" s="565">
        <v>85</v>
      </c>
      <c r="N547" s="579">
        <v>16</v>
      </c>
      <c r="O547" s="566">
        <f t="shared" si="25"/>
        <v>0.18823529411764706</v>
      </c>
      <c r="P547" s="567">
        <f t="shared" si="26"/>
        <v>0.58823529411764708</v>
      </c>
      <c r="Q547" s="568">
        <f t="shared" si="24"/>
        <v>0.58823529411764708</v>
      </c>
      <c r="R547" s="675"/>
    </row>
    <row r="548" spans="1:18" x14ac:dyDescent="0.2">
      <c r="A548" s="558" t="s">
        <v>277</v>
      </c>
      <c r="B548" s="559" t="s">
        <v>914</v>
      </c>
      <c r="C548" s="573" t="s">
        <v>305</v>
      </c>
      <c r="D548" s="327" t="s">
        <v>294</v>
      </c>
      <c r="E548" s="575" t="s">
        <v>1851</v>
      </c>
      <c r="F548" s="561" t="s">
        <v>109</v>
      </c>
      <c r="G548" s="562" t="s">
        <v>942</v>
      </c>
      <c r="H548" s="563" t="s">
        <v>924</v>
      </c>
      <c r="I548" s="578" t="s">
        <v>925</v>
      </c>
      <c r="J548" s="564" t="s">
        <v>757</v>
      </c>
      <c r="K548" s="561">
        <v>33</v>
      </c>
      <c r="L548" s="338"/>
      <c r="M548" s="565">
        <v>24</v>
      </c>
      <c r="N548" s="579">
        <v>4</v>
      </c>
      <c r="O548" s="566">
        <f t="shared" si="25"/>
        <v>0.16666666666666666</v>
      </c>
      <c r="P548" s="567">
        <f t="shared" si="26"/>
        <v>0.50505050505050508</v>
      </c>
      <c r="Q548" s="568">
        <f t="shared" si="24"/>
        <v>0.50505050505050508</v>
      </c>
      <c r="R548" s="675"/>
    </row>
    <row r="549" spans="1:18" x14ac:dyDescent="0.2">
      <c r="A549" s="558" t="s">
        <v>277</v>
      </c>
      <c r="B549" s="559" t="s">
        <v>914</v>
      </c>
      <c r="C549" s="573" t="s">
        <v>305</v>
      </c>
      <c r="D549" s="327" t="s">
        <v>285</v>
      </c>
      <c r="E549" s="575" t="s">
        <v>1851</v>
      </c>
      <c r="F549" s="561" t="s">
        <v>109</v>
      </c>
      <c r="G549" s="562" t="s">
        <v>942</v>
      </c>
      <c r="H549" s="563" t="s">
        <v>924</v>
      </c>
      <c r="I549" s="578" t="s">
        <v>925</v>
      </c>
      <c r="J549" s="564" t="s">
        <v>757</v>
      </c>
      <c r="K549" s="561">
        <v>0</v>
      </c>
      <c r="L549" s="338" t="s">
        <v>926</v>
      </c>
      <c r="M549" s="565">
        <v>2</v>
      </c>
      <c r="N549" s="579">
        <v>1</v>
      </c>
      <c r="O549" s="566">
        <f t="shared" si="25"/>
        <v>0.5</v>
      </c>
      <c r="P549" s="567">
        <f t="shared" si="26"/>
        <v>0</v>
      </c>
      <c r="Q549" s="568" t="e">
        <f t="shared" si="24"/>
        <v>#DIV/0!</v>
      </c>
      <c r="R549" s="676" t="s">
        <v>926</v>
      </c>
    </row>
    <row r="550" spans="1:18" x14ac:dyDescent="0.2">
      <c r="A550" s="558" t="s">
        <v>277</v>
      </c>
      <c r="B550" s="559" t="s">
        <v>914</v>
      </c>
      <c r="C550" s="573" t="s">
        <v>97</v>
      </c>
      <c r="D550" s="327" t="s">
        <v>282</v>
      </c>
      <c r="E550" s="575" t="s">
        <v>1843</v>
      </c>
      <c r="F550" s="561" t="s">
        <v>109</v>
      </c>
      <c r="G550" s="562" t="s">
        <v>943</v>
      </c>
      <c r="H550" s="563" t="s">
        <v>924</v>
      </c>
      <c r="I550" s="578" t="s">
        <v>925</v>
      </c>
      <c r="J550" s="564" t="s">
        <v>757</v>
      </c>
      <c r="K550" s="561">
        <v>33</v>
      </c>
      <c r="L550" s="338"/>
      <c r="M550" s="565">
        <v>6</v>
      </c>
      <c r="N550" s="565">
        <v>3</v>
      </c>
      <c r="O550" s="566">
        <f t="shared" si="25"/>
        <v>0.5</v>
      </c>
      <c r="P550" s="567">
        <f t="shared" si="26"/>
        <v>1.5151515151515151</v>
      </c>
      <c r="Q550" s="568">
        <f t="shared" si="24"/>
        <v>1.5151515151515151</v>
      </c>
      <c r="R550" s="675"/>
    </row>
    <row r="551" spans="1:18" x14ac:dyDescent="0.2">
      <c r="A551" s="558" t="s">
        <v>277</v>
      </c>
      <c r="B551" s="559" t="s">
        <v>914</v>
      </c>
      <c r="C551" s="573" t="s">
        <v>97</v>
      </c>
      <c r="D551" s="327" t="s">
        <v>285</v>
      </c>
      <c r="E551" s="575" t="s">
        <v>1843</v>
      </c>
      <c r="F551" s="561" t="s">
        <v>109</v>
      </c>
      <c r="G551" s="562" t="s">
        <v>943</v>
      </c>
      <c r="H551" s="563" t="s">
        <v>924</v>
      </c>
      <c r="I551" s="578" t="s">
        <v>925</v>
      </c>
      <c r="J551" s="564" t="s">
        <v>757</v>
      </c>
      <c r="K551" s="561">
        <v>0</v>
      </c>
      <c r="L551" s="338" t="s">
        <v>926</v>
      </c>
      <c r="M551" s="565">
        <v>8</v>
      </c>
      <c r="N551" s="565">
        <v>7</v>
      </c>
      <c r="O551" s="566">
        <f t="shared" si="25"/>
        <v>0.875</v>
      </c>
      <c r="P551" s="567">
        <f t="shared" si="26"/>
        <v>0</v>
      </c>
      <c r="Q551" s="568" t="e">
        <f t="shared" si="24"/>
        <v>#DIV/0!</v>
      </c>
      <c r="R551" s="676" t="s">
        <v>926</v>
      </c>
    </row>
    <row r="552" spans="1:18" x14ac:dyDescent="0.2">
      <c r="A552" s="558" t="s">
        <v>277</v>
      </c>
      <c r="B552" s="559" t="s">
        <v>914</v>
      </c>
      <c r="C552" s="573" t="s">
        <v>286</v>
      </c>
      <c r="D552" s="327" t="s">
        <v>300</v>
      </c>
      <c r="E552" s="575" t="s">
        <v>1715</v>
      </c>
      <c r="F552" s="561" t="s">
        <v>109</v>
      </c>
      <c r="G552" s="562" t="s">
        <v>943</v>
      </c>
      <c r="H552" s="563" t="s">
        <v>927</v>
      </c>
      <c r="I552" s="578" t="s">
        <v>925</v>
      </c>
      <c r="J552" s="564" t="s">
        <v>757</v>
      </c>
      <c r="K552" s="561">
        <v>0</v>
      </c>
      <c r="L552" s="338" t="s">
        <v>926</v>
      </c>
      <c r="M552" s="565">
        <v>39</v>
      </c>
      <c r="N552" s="565">
        <v>5</v>
      </c>
      <c r="O552" s="566">
        <f t="shared" si="25"/>
        <v>0.12820512820512819</v>
      </c>
      <c r="P552" s="567">
        <f t="shared" si="26"/>
        <v>0</v>
      </c>
      <c r="Q552" s="568" t="e">
        <f t="shared" si="24"/>
        <v>#DIV/0!</v>
      </c>
      <c r="R552" s="676" t="s">
        <v>926</v>
      </c>
    </row>
    <row r="553" spans="1:18" x14ac:dyDescent="0.2">
      <c r="A553" s="558" t="s">
        <v>277</v>
      </c>
      <c r="B553" s="559" t="s">
        <v>914</v>
      </c>
      <c r="C553" s="573" t="s">
        <v>286</v>
      </c>
      <c r="D553" s="327" t="s">
        <v>292</v>
      </c>
      <c r="E553" s="575" t="s">
        <v>1715</v>
      </c>
      <c r="F553" s="561" t="s">
        <v>109</v>
      </c>
      <c r="G553" s="562" t="s">
        <v>943</v>
      </c>
      <c r="H553" s="563" t="s">
        <v>924</v>
      </c>
      <c r="I553" s="578" t="s">
        <v>925</v>
      </c>
      <c r="J553" s="564" t="s">
        <v>757</v>
      </c>
      <c r="K553" s="561">
        <v>26</v>
      </c>
      <c r="L553" s="338"/>
      <c r="M553" s="565">
        <v>12</v>
      </c>
      <c r="N553" s="565">
        <v>4</v>
      </c>
      <c r="O553" s="566">
        <f t="shared" si="25"/>
        <v>0.33333333333333331</v>
      </c>
      <c r="P553" s="567">
        <f t="shared" si="26"/>
        <v>1.2820512820512819</v>
      </c>
      <c r="Q553" s="568">
        <f t="shared" si="24"/>
        <v>1.2820512820512819</v>
      </c>
      <c r="R553" s="675"/>
    </row>
    <row r="554" spans="1:18" x14ac:dyDescent="0.2">
      <c r="A554" s="558" t="s">
        <v>277</v>
      </c>
      <c r="B554" s="559" t="s">
        <v>914</v>
      </c>
      <c r="C554" s="573" t="s">
        <v>286</v>
      </c>
      <c r="D554" s="327" t="s">
        <v>294</v>
      </c>
      <c r="E554" s="575" t="s">
        <v>1715</v>
      </c>
      <c r="F554" s="561" t="s">
        <v>109</v>
      </c>
      <c r="G554" s="562" t="s">
        <v>943</v>
      </c>
      <c r="H554" s="563" t="s">
        <v>924</v>
      </c>
      <c r="I554" s="578" t="s">
        <v>925</v>
      </c>
      <c r="J554" s="564" t="s">
        <v>757</v>
      </c>
      <c r="K554" s="561">
        <v>16</v>
      </c>
      <c r="L554" s="338"/>
      <c r="M554" s="565">
        <v>40</v>
      </c>
      <c r="N554" s="565">
        <v>7</v>
      </c>
      <c r="O554" s="566">
        <f t="shared" si="25"/>
        <v>0.17499999999999999</v>
      </c>
      <c r="P554" s="567">
        <f t="shared" si="26"/>
        <v>1.09375</v>
      </c>
      <c r="Q554" s="568">
        <f t="shared" si="24"/>
        <v>1.09375</v>
      </c>
      <c r="R554" s="675"/>
    </row>
    <row r="555" spans="1:18" x14ac:dyDescent="0.2">
      <c r="A555" s="558" t="s">
        <v>277</v>
      </c>
      <c r="B555" s="559" t="s">
        <v>914</v>
      </c>
      <c r="C555" s="573" t="s">
        <v>286</v>
      </c>
      <c r="D555" s="327" t="s">
        <v>282</v>
      </c>
      <c r="E555" s="575" t="s">
        <v>1715</v>
      </c>
      <c r="F555" s="561" t="s">
        <v>109</v>
      </c>
      <c r="G555" s="562" t="s">
        <v>943</v>
      </c>
      <c r="H555" s="563" t="s">
        <v>924</v>
      </c>
      <c r="I555" s="578" t="s">
        <v>925</v>
      </c>
      <c r="J555" s="564" t="s">
        <v>757</v>
      </c>
      <c r="K555" s="561">
        <v>6</v>
      </c>
      <c r="L555" s="338"/>
      <c r="M555" s="565">
        <v>68</v>
      </c>
      <c r="N555" s="565">
        <v>9</v>
      </c>
      <c r="O555" s="566">
        <f t="shared" si="25"/>
        <v>0.13235294117647059</v>
      </c>
      <c r="P555" s="567">
        <f t="shared" si="26"/>
        <v>2.2058823529411766</v>
      </c>
      <c r="Q555" s="568">
        <f t="shared" si="24"/>
        <v>2.2058823529411766</v>
      </c>
      <c r="R555" s="675"/>
    </row>
    <row r="556" spans="1:18" x14ac:dyDescent="0.2">
      <c r="A556" s="558" t="s">
        <v>277</v>
      </c>
      <c r="B556" s="559" t="s">
        <v>914</v>
      </c>
      <c r="C556" s="573" t="s">
        <v>286</v>
      </c>
      <c r="D556" s="327" t="s">
        <v>285</v>
      </c>
      <c r="E556" s="575" t="s">
        <v>1715</v>
      </c>
      <c r="F556" s="561" t="s">
        <v>109</v>
      </c>
      <c r="G556" s="562" t="s">
        <v>943</v>
      </c>
      <c r="H556" s="563" t="s">
        <v>924</v>
      </c>
      <c r="I556" s="578" t="s">
        <v>925</v>
      </c>
      <c r="J556" s="564" t="s">
        <v>757</v>
      </c>
      <c r="K556" s="561">
        <v>8</v>
      </c>
      <c r="L556" s="338"/>
      <c r="M556" s="565">
        <v>47</v>
      </c>
      <c r="N556" s="565">
        <v>12</v>
      </c>
      <c r="O556" s="566">
        <f t="shared" si="25"/>
        <v>0.25531914893617019</v>
      </c>
      <c r="P556" s="567">
        <f t="shared" si="26"/>
        <v>3.1914893617021276</v>
      </c>
      <c r="Q556" s="568">
        <f t="shared" si="24"/>
        <v>3.191489361702128</v>
      </c>
      <c r="R556" s="675"/>
    </row>
    <row r="557" spans="1:18" x14ac:dyDescent="0.2">
      <c r="A557" s="558" t="s">
        <v>277</v>
      </c>
      <c r="B557" s="559" t="s">
        <v>914</v>
      </c>
      <c r="C557" s="573" t="s">
        <v>303</v>
      </c>
      <c r="D557" s="327" t="s">
        <v>300</v>
      </c>
      <c r="E557" s="575" t="s">
        <v>1715</v>
      </c>
      <c r="F557" s="561" t="s">
        <v>109</v>
      </c>
      <c r="G557" s="562" t="s">
        <v>943</v>
      </c>
      <c r="H557" s="563" t="s">
        <v>927</v>
      </c>
      <c r="I557" s="578" t="s">
        <v>925</v>
      </c>
      <c r="J557" s="564" t="s">
        <v>757</v>
      </c>
      <c r="K557" s="561">
        <v>28.999999999999996</v>
      </c>
      <c r="L557" s="338"/>
      <c r="M557" s="565">
        <v>144</v>
      </c>
      <c r="N557" s="565">
        <v>7</v>
      </c>
      <c r="O557" s="566">
        <f t="shared" si="25"/>
        <v>4.8611111111111112E-2</v>
      </c>
      <c r="P557" s="567">
        <f t="shared" si="26"/>
        <v>0.16762452107279693</v>
      </c>
      <c r="Q557" s="568">
        <f t="shared" si="24"/>
        <v>0.16762452107279696</v>
      </c>
      <c r="R557" s="675"/>
    </row>
    <row r="558" spans="1:18" x14ac:dyDescent="0.2">
      <c r="A558" s="558" t="s">
        <v>277</v>
      </c>
      <c r="B558" s="559" t="s">
        <v>914</v>
      </c>
      <c r="C558" s="573" t="s">
        <v>303</v>
      </c>
      <c r="D558" s="327" t="s">
        <v>292</v>
      </c>
      <c r="E558" s="575" t="s">
        <v>1844</v>
      </c>
      <c r="F558" s="561" t="s">
        <v>109</v>
      </c>
      <c r="G558" s="562" t="s">
        <v>943</v>
      </c>
      <c r="H558" s="563" t="s">
        <v>924</v>
      </c>
      <c r="I558" s="578" t="s">
        <v>925</v>
      </c>
      <c r="J558" s="564" t="s">
        <v>757</v>
      </c>
      <c r="K558" s="561">
        <v>8</v>
      </c>
      <c r="L558" s="338"/>
      <c r="M558" s="565">
        <v>42</v>
      </c>
      <c r="N558" s="565">
        <v>6</v>
      </c>
      <c r="O558" s="566">
        <f t="shared" si="25"/>
        <v>0.14285714285714285</v>
      </c>
      <c r="P558" s="567">
        <f t="shared" si="26"/>
        <v>1.7857142857142858</v>
      </c>
      <c r="Q558" s="568">
        <f t="shared" si="24"/>
        <v>1.7857142857142858</v>
      </c>
      <c r="R558" s="675"/>
    </row>
    <row r="559" spans="1:18" x14ac:dyDescent="0.2">
      <c r="A559" s="558" t="s">
        <v>277</v>
      </c>
      <c r="B559" s="559" t="s">
        <v>914</v>
      </c>
      <c r="C559" s="573" t="s">
        <v>303</v>
      </c>
      <c r="D559" s="327" t="s">
        <v>294</v>
      </c>
      <c r="E559" s="575" t="s">
        <v>1844</v>
      </c>
      <c r="F559" s="561" t="s">
        <v>109</v>
      </c>
      <c r="G559" s="562" t="s">
        <v>943</v>
      </c>
      <c r="H559" s="563" t="s">
        <v>924</v>
      </c>
      <c r="I559" s="578" t="s">
        <v>925</v>
      </c>
      <c r="J559" s="564" t="s">
        <v>757</v>
      </c>
      <c r="K559" s="561">
        <v>0</v>
      </c>
      <c r="L559" s="338" t="s">
        <v>926</v>
      </c>
      <c r="M559" s="565">
        <v>10</v>
      </c>
      <c r="N559" s="565">
        <v>0</v>
      </c>
      <c r="O559" s="566">
        <f t="shared" si="25"/>
        <v>0</v>
      </c>
      <c r="P559" s="567">
        <f t="shared" si="26"/>
        <v>0</v>
      </c>
      <c r="Q559" s="568" t="e">
        <f t="shared" si="24"/>
        <v>#DIV/0!</v>
      </c>
      <c r="R559" s="676" t="s">
        <v>926</v>
      </c>
    </row>
    <row r="560" spans="1:18" x14ac:dyDescent="0.2">
      <c r="A560" s="558" t="s">
        <v>277</v>
      </c>
      <c r="B560" s="559" t="s">
        <v>914</v>
      </c>
      <c r="C560" s="573" t="s">
        <v>303</v>
      </c>
      <c r="D560" s="327" t="s">
        <v>282</v>
      </c>
      <c r="E560" s="575" t="s">
        <v>1845</v>
      </c>
      <c r="F560" s="561" t="s">
        <v>109</v>
      </c>
      <c r="G560" s="562" t="s">
        <v>943</v>
      </c>
      <c r="H560" s="563" t="s">
        <v>924</v>
      </c>
      <c r="I560" s="578" t="s">
        <v>925</v>
      </c>
      <c r="J560" s="564" t="s">
        <v>757</v>
      </c>
      <c r="K560" s="561">
        <v>0</v>
      </c>
      <c r="L560" s="338" t="s">
        <v>926</v>
      </c>
      <c r="M560" s="565">
        <v>2</v>
      </c>
      <c r="N560" s="565">
        <v>0</v>
      </c>
      <c r="O560" s="566">
        <f t="shared" si="25"/>
        <v>0</v>
      </c>
      <c r="P560" s="567">
        <f t="shared" si="26"/>
        <v>0</v>
      </c>
      <c r="Q560" s="568" t="e">
        <f t="shared" si="24"/>
        <v>#DIV/0!</v>
      </c>
      <c r="R560" s="676" t="s">
        <v>926</v>
      </c>
    </row>
    <row r="561" spans="1:18" x14ac:dyDescent="0.2">
      <c r="A561" s="558" t="s">
        <v>277</v>
      </c>
      <c r="B561" s="559" t="s">
        <v>914</v>
      </c>
      <c r="C561" s="573" t="s">
        <v>303</v>
      </c>
      <c r="D561" s="327" t="s">
        <v>285</v>
      </c>
      <c r="E561" s="575" t="s">
        <v>1845</v>
      </c>
      <c r="F561" s="561" t="s">
        <v>109</v>
      </c>
      <c r="G561" s="562" t="s">
        <v>943</v>
      </c>
      <c r="H561" s="563" t="s">
        <v>924</v>
      </c>
      <c r="I561" s="578" t="s">
        <v>925</v>
      </c>
      <c r="J561" s="564" t="s">
        <v>757</v>
      </c>
      <c r="K561" s="561">
        <v>0</v>
      </c>
      <c r="L561" s="338" t="s">
        <v>926</v>
      </c>
      <c r="M561" s="565">
        <v>5</v>
      </c>
      <c r="N561" s="565">
        <v>1</v>
      </c>
      <c r="O561" s="566">
        <f t="shared" si="25"/>
        <v>0.2</v>
      </c>
      <c r="P561" s="567">
        <f t="shared" si="26"/>
        <v>0</v>
      </c>
      <c r="Q561" s="568" t="e">
        <f t="shared" si="24"/>
        <v>#DIV/0!</v>
      </c>
      <c r="R561" s="676" t="s">
        <v>926</v>
      </c>
    </row>
    <row r="562" spans="1:18" x14ac:dyDescent="0.2">
      <c r="A562" s="558" t="s">
        <v>277</v>
      </c>
      <c r="B562" s="559" t="s">
        <v>914</v>
      </c>
      <c r="C562" s="573" t="s">
        <v>99</v>
      </c>
      <c r="D562" s="327" t="s">
        <v>300</v>
      </c>
      <c r="E562" s="575" t="s">
        <v>1715</v>
      </c>
      <c r="F562" s="561" t="s">
        <v>109</v>
      </c>
      <c r="G562" s="562" t="s">
        <v>943</v>
      </c>
      <c r="H562" s="563" t="s">
        <v>927</v>
      </c>
      <c r="I562" s="578" t="s">
        <v>925</v>
      </c>
      <c r="J562" s="564" t="s">
        <v>757</v>
      </c>
      <c r="K562" s="561">
        <v>17</v>
      </c>
      <c r="L562" s="338"/>
      <c r="M562" s="565">
        <v>158</v>
      </c>
      <c r="N562" s="565">
        <v>15</v>
      </c>
      <c r="O562" s="566">
        <f t="shared" si="25"/>
        <v>9.49367088607595E-2</v>
      </c>
      <c r="P562" s="567">
        <f t="shared" si="26"/>
        <v>0.5584512285927028</v>
      </c>
      <c r="Q562" s="568">
        <f t="shared" si="24"/>
        <v>0.55845122859270291</v>
      </c>
      <c r="R562" s="675"/>
    </row>
    <row r="563" spans="1:18" x14ac:dyDescent="0.2">
      <c r="A563" s="558" t="s">
        <v>277</v>
      </c>
      <c r="B563" s="559" t="s">
        <v>914</v>
      </c>
      <c r="C563" s="573" t="s">
        <v>99</v>
      </c>
      <c r="D563" s="327" t="s">
        <v>292</v>
      </c>
      <c r="E563" s="575" t="s">
        <v>1715</v>
      </c>
      <c r="F563" s="561" t="s">
        <v>109</v>
      </c>
      <c r="G563" s="562" t="s">
        <v>943</v>
      </c>
      <c r="H563" s="563" t="s">
        <v>924</v>
      </c>
      <c r="I563" s="578" t="s">
        <v>925</v>
      </c>
      <c r="J563" s="564" t="s">
        <v>757</v>
      </c>
      <c r="K563" s="561">
        <v>36</v>
      </c>
      <c r="L563" s="338"/>
      <c r="M563" s="565">
        <v>7</v>
      </c>
      <c r="N563" s="565">
        <v>1</v>
      </c>
      <c r="O563" s="566">
        <f t="shared" si="25"/>
        <v>0.14285714285714285</v>
      </c>
      <c r="P563" s="567">
        <f t="shared" si="26"/>
        <v>0.3968253968253968</v>
      </c>
      <c r="Q563" s="568">
        <f t="shared" si="24"/>
        <v>0.3968253968253968</v>
      </c>
      <c r="R563" s="675"/>
    </row>
    <row r="564" spans="1:18" x14ac:dyDescent="0.2">
      <c r="A564" s="558" t="s">
        <v>277</v>
      </c>
      <c r="B564" s="559" t="s">
        <v>914</v>
      </c>
      <c r="C564" s="573" t="s">
        <v>99</v>
      </c>
      <c r="D564" s="327" t="s">
        <v>294</v>
      </c>
      <c r="E564" s="575" t="s">
        <v>1846</v>
      </c>
      <c r="F564" s="561" t="s">
        <v>109</v>
      </c>
      <c r="G564" s="562" t="s">
        <v>943</v>
      </c>
      <c r="H564" s="563" t="s">
        <v>924</v>
      </c>
      <c r="I564" s="578" t="s">
        <v>925</v>
      </c>
      <c r="J564" s="564" t="s">
        <v>757</v>
      </c>
      <c r="K564" s="561">
        <v>80</v>
      </c>
      <c r="L564" s="338"/>
      <c r="M564" s="565">
        <v>8</v>
      </c>
      <c r="N564" s="565">
        <v>3</v>
      </c>
      <c r="O564" s="566">
        <f t="shared" si="25"/>
        <v>0.375</v>
      </c>
      <c r="P564" s="567">
        <f t="shared" si="26"/>
        <v>0.46875</v>
      </c>
      <c r="Q564" s="568">
        <f t="shared" si="24"/>
        <v>0.46875</v>
      </c>
      <c r="R564" s="675"/>
    </row>
    <row r="565" spans="1:18" x14ac:dyDescent="0.2">
      <c r="A565" s="558" t="s">
        <v>277</v>
      </c>
      <c r="B565" s="559" t="s">
        <v>914</v>
      </c>
      <c r="C565" s="573" t="s">
        <v>99</v>
      </c>
      <c r="D565" s="327" t="s">
        <v>282</v>
      </c>
      <c r="E565" s="575" t="s">
        <v>1846</v>
      </c>
      <c r="F565" s="561" t="s">
        <v>109</v>
      </c>
      <c r="G565" s="562" t="s">
        <v>943</v>
      </c>
      <c r="H565" s="563" t="s">
        <v>924</v>
      </c>
      <c r="I565" s="578" t="s">
        <v>925</v>
      </c>
      <c r="J565" s="564" t="s">
        <v>757</v>
      </c>
      <c r="K565" s="561">
        <v>0</v>
      </c>
      <c r="L565" s="338" t="s">
        <v>926</v>
      </c>
      <c r="M565" s="565">
        <v>4</v>
      </c>
      <c r="N565" s="565">
        <v>1</v>
      </c>
      <c r="O565" s="566">
        <f t="shared" si="25"/>
        <v>0.25</v>
      </c>
      <c r="P565" s="567">
        <f t="shared" si="26"/>
        <v>0</v>
      </c>
      <c r="Q565" s="568" t="e">
        <f t="shared" si="24"/>
        <v>#DIV/0!</v>
      </c>
      <c r="R565" s="676" t="s">
        <v>926</v>
      </c>
    </row>
    <row r="566" spans="1:18" x14ac:dyDescent="0.2">
      <c r="A566" s="558" t="s">
        <v>277</v>
      </c>
      <c r="B566" s="559" t="s">
        <v>914</v>
      </c>
      <c r="C566" s="573" t="s">
        <v>99</v>
      </c>
      <c r="D566" s="327" t="s">
        <v>285</v>
      </c>
      <c r="E566" s="575" t="s">
        <v>1846</v>
      </c>
      <c r="F566" s="561" t="s">
        <v>109</v>
      </c>
      <c r="G566" s="562" t="s">
        <v>943</v>
      </c>
      <c r="H566" s="563" t="s">
        <v>924</v>
      </c>
      <c r="I566" s="578" t="s">
        <v>925</v>
      </c>
      <c r="J566" s="564" t="s">
        <v>757</v>
      </c>
      <c r="K566" s="561">
        <v>0</v>
      </c>
      <c r="L566" s="338" t="s">
        <v>926</v>
      </c>
      <c r="M566" s="565">
        <v>1</v>
      </c>
      <c r="N566" s="565">
        <v>0</v>
      </c>
      <c r="O566" s="566">
        <f t="shared" si="25"/>
        <v>0</v>
      </c>
      <c r="P566" s="567">
        <f t="shared" si="26"/>
        <v>0</v>
      </c>
      <c r="Q566" s="568" t="e">
        <f t="shared" si="24"/>
        <v>#DIV/0!</v>
      </c>
      <c r="R566" s="676" t="s">
        <v>926</v>
      </c>
    </row>
    <row r="567" spans="1:18" x14ac:dyDescent="0.2">
      <c r="A567" s="558" t="s">
        <v>277</v>
      </c>
      <c r="B567" s="559" t="s">
        <v>914</v>
      </c>
      <c r="C567" s="573" t="s">
        <v>296</v>
      </c>
      <c r="D567" s="327" t="s">
        <v>300</v>
      </c>
      <c r="E567" s="575" t="s">
        <v>1847</v>
      </c>
      <c r="F567" s="561" t="s">
        <v>109</v>
      </c>
      <c r="G567" s="562" t="s">
        <v>943</v>
      </c>
      <c r="H567" s="563" t="s">
        <v>927</v>
      </c>
      <c r="I567" s="578" t="s">
        <v>925</v>
      </c>
      <c r="J567" s="564" t="s">
        <v>757</v>
      </c>
      <c r="K567" s="561">
        <v>13</v>
      </c>
      <c r="L567" s="338"/>
      <c r="M567" s="565">
        <v>0</v>
      </c>
      <c r="N567" s="565">
        <v>0</v>
      </c>
      <c r="O567" s="566">
        <f t="shared" si="25"/>
        <v>0</v>
      </c>
      <c r="P567" s="567">
        <f t="shared" si="26"/>
        <v>0</v>
      </c>
      <c r="Q567" s="568" t="e">
        <f t="shared" si="24"/>
        <v>#DIV/0!</v>
      </c>
      <c r="R567" s="676" t="s">
        <v>1919</v>
      </c>
    </row>
    <row r="568" spans="1:18" x14ac:dyDescent="0.2">
      <c r="A568" s="558" t="s">
        <v>277</v>
      </c>
      <c r="B568" s="559" t="s">
        <v>914</v>
      </c>
      <c r="C568" s="573" t="s">
        <v>296</v>
      </c>
      <c r="D568" s="327" t="s">
        <v>292</v>
      </c>
      <c r="E568" s="575" t="s">
        <v>1847</v>
      </c>
      <c r="F568" s="561" t="s">
        <v>109</v>
      </c>
      <c r="G568" s="562" t="s">
        <v>943</v>
      </c>
      <c r="H568" s="563" t="s">
        <v>924</v>
      </c>
      <c r="I568" s="578" t="s">
        <v>925</v>
      </c>
      <c r="J568" s="564" t="s">
        <v>757</v>
      </c>
      <c r="K568" s="561">
        <v>0</v>
      </c>
      <c r="L568" s="338" t="s">
        <v>926</v>
      </c>
      <c r="M568" s="565">
        <v>3</v>
      </c>
      <c r="N568" s="565">
        <v>1</v>
      </c>
      <c r="O568" s="566">
        <f t="shared" si="25"/>
        <v>0.33333333333333331</v>
      </c>
      <c r="P568" s="567">
        <f t="shared" si="26"/>
        <v>0</v>
      </c>
      <c r="Q568" s="568" t="e">
        <f t="shared" si="24"/>
        <v>#DIV/0!</v>
      </c>
      <c r="R568" s="676" t="s">
        <v>926</v>
      </c>
    </row>
    <row r="569" spans="1:18" x14ac:dyDescent="0.2">
      <c r="A569" s="558" t="s">
        <v>277</v>
      </c>
      <c r="B569" s="559" t="s">
        <v>914</v>
      </c>
      <c r="C569" s="573" t="s">
        <v>296</v>
      </c>
      <c r="D569" s="327" t="s">
        <v>294</v>
      </c>
      <c r="E569" s="575" t="s">
        <v>1848</v>
      </c>
      <c r="F569" s="561" t="s">
        <v>109</v>
      </c>
      <c r="G569" s="562" t="s">
        <v>943</v>
      </c>
      <c r="H569" s="563" t="s">
        <v>924</v>
      </c>
      <c r="I569" s="578" t="s">
        <v>925</v>
      </c>
      <c r="J569" s="564" t="s">
        <v>757</v>
      </c>
      <c r="K569" s="561">
        <v>0</v>
      </c>
      <c r="L569" s="338" t="s">
        <v>926</v>
      </c>
      <c r="M569" s="565">
        <v>1</v>
      </c>
      <c r="N569" s="565">
        <v>0</v>
      </c>
      <c r="O569" s="566">
        <f t="shared" si="25"/>
        <v>0</v>
      </c>
      <c r="P569" s="567">
        <f t="shared" si="26"/>
        <v>0</v>
      </c>
      <c r="Q569" s="568" t="e">
        <f t="shared" si="24"/>
        <v>#DIV/0!</v>
      </c>
      <c r="R569" s="676" t="s">
        <v>926</v>
      </c>
    </row>
    <row r="570" spans="1:18" x14ac:dyDescent="0.2">
      <c r="A570" s="558" t="s">
        <v>277</v>
      </c>
      <c r="B570" s="559" t="s">
        <v>914</v>
      </c>
      <c r="C570" s="573" t="s">
        <v>296</v>
      </c>
      <c r="D570" s="327" t="s">
        <v>282</v>
      </c>
      <c r="E570" s="575" t="s">
        <v>1848</v>
      </c>
      <c r="F570" s="561" t="s">
        <v>109</v>
      </c>
      <c r="G570" s="562" t="s">
        <v>943</v>
      </c>
      <c r="H570" s="563" t="s">
        <v>924</v>
      </c>
      <c r="I570" s="578" t="s">
        <v>925</v>
      </c>
      <c r="J570" s="564" t="s">
        <v>757</v>
      </c>
      <c r="K570" s="561">
        <v>0</v>
      </c>
      <c r="L570" s="338" t="s">
        <v>926</v>
      </c>
      <c r="M570" s="565">
        <v>2</v>
      </c>
      <c r="N570" s="565">
        <v>1</v>
      </c>
      <c r="O570" s="566">
        <f t="shared" si="25"/>
        <v>0.5</v>
      </c>
      <c r="P570" s="567">
        <f t="shared" si="26"/>
        <v>0</v>
      </c>
      <c r="Q570" s="568" t="e">
        <f t="shared" si="24"/>
        <v>#DIV/0!</v>
      </c>
      <c r="R570" s="676" t="s">
        <v>926</v>
      </c>
    </row>
    <row r="571" spans="1:18" x14ac:dyDescent="0.2">
      <c r="A571" s="558" t="s">
        <v>277</v>
      </c>
      <c r="B571" s="559" t="s">
        <v>914</v>
      </c>
      <c r="C571" s="573" t="s">
        <v>296</v>
      </c>
      <c r="D571" s="327" t="s">
        <v>285</v>
      </c>
      <c r="E571" s="575" t="s">
        <v>1715</v>
      </c>
      <c r="F571" s="561" t="s">
        <v>109</v>
      </c>
      <c r="G571" s="562" t="s">
        <v>943</v>
      </c>
      <c r="H571" s="563" t="s">
        <v>924</v>
      </c>
      <c r="I571" s="578" t="s">
        <v>925</v>
      </c>
      <c r="J571" s="564" t="s">
        <v>757</v>
      </c>
      <c r="K571" s="561">
        <v>25</v>
      </c>
      <c r="L571" s="338"/>
      <c r="M571" s="565">
        <v>11</v>
      </c>
      <c r="N571" s="565">
        <v>3</v>
      </c>
      <c r="O571" s="566">
        <f t="shared" si="25"/>
        <v>0.27272727272727271</v>
      </c>
      <c r="P571" s="567">
        <f t="shared" si="26"/>
        <v>1.0909090909090908</v>
      </c>
      <c r="Q571" s="568">
        <f t="shared" si="24"/>
        <v>1.0909090909090908</v>
      </c>
      <c r="R571" s="675"/>
    </row>
    <row r="572" spans="1:18" x14ac:dyDescent="0.2">
      <c r="A572" s="558" t="s">
        <v>277</v>
      </c>
      <c r="B572" s="559" t="s">
        <v>914</v>
      </c>
      <c r="C572" s="573" t="s">
        <v>296</v>
      </c>
      <c r="D572" s="327" t="s">
        <v>298</v>
      </c>
      <c r="E572" s="575" t="s">
        <v>1715</v>
      </c>
      <c r="F572" s="561" t="s">
        <v>109</v>
      </c>
      <c r="G572" s="562" t="s">
        <v>943</v>
      </c>
      <c r="H572" s="563" t="s">
        <v>924</v>
      </c>
      <c r="I572" s="578" t="s">
        <v>925</v>
      </c>
      <c r="J572" s="564" t="s">
        <v>757</v>
      </c>
      <c r="K572" s="561">
        <v>10</v>
      </c>
      <c r="L572" s="338"/>
      <c r="M572" s="565">
        <v>20</v>
      </c>
      <c r="N572" s="565">
        <v>7</v>
      </c>
      <c r="O572" s="566">
        <f t="shared" si="25"/>
        <v>0.35</v>
      </c>
      <c r="P572" s="567">
        <f t="shared" si="26"/>
        <v>3.5</v>
      </c>
      <c r="Q572" s="568">
        <f t="shared" si="24"/>
        <v>3.5</v>
      </c>
      <c r="R572" s="675"/>
    </row>
    <row r="573" spans="1:18" x14ac:dyDescent="0.2">
      <c r="A573" s="558" t="s">
        <v>277</v>
      </c>
      <c r="B573" s="559" t="s">
        <v>914</v>
      </c>
      <c r="C573" s="573" t="s">
        <v>316</v>
      </c>
      <c r="D573" s="327" t="s">
        <v>292</v>
      </c>
      <c r="E573" s="575" t="s">
        <v>1849</v>
      </c>
      <c r="F573" s="561" t="s">
        <v>109</v>
      </c>
      <c r="G573" s="562" t="s">
        <v>943</v>
      </c>
      <c r="H573" s="563" t="s">
        <v>924</v>
      </c>
      <c r="I573" s="578" t="s">
        <v>925</v>
      </c>
      <c r="J573" s="564" t="s">
        <v>757</v>
      </c>
      <c r="K573" s="561">
        <v>0</v>
      </c>
      <c r="L573" s="338" t="s">
        <v>926</v>
      </c>
      <c r="M573" s="565">
        <v>0</v>
      </c>
      <c r="N573" s="565">
        <v>0</v>
      </c>
      <c r="O573" s="566">
        <f t="shared" si="25"/>
        <v>0</v>
      </c>
      <c r="P573" s="567">
        <f t="shared" si="26"/>
        <v>0</v>
      </c>
      <c r="Q573" s="568" t="e">
        <f t="shared" si="24"/>
        <v>#DIV/0!</v>
      </c>
      <c r="R573" s="676" t="s">
        <v>1919</v>
      </c>
    </row>
    <row r="574" spans="1:18" x14ac:dyDescent="0.2">
      <c r="A574" s="558" t="s">
        <v>277</v>
      </c>
      <c r="B574" s="559" t="s">
        <v>914</v>
      </c>
      <c r="C574" s="573" t="s">
        <v>316</v>
      </c>
      <c r="D574" s="327" t="s">
        <v>294</v>
      </c>
      <c r="E574" s="575" t="s">
        <v>1849</v>
      </c>
      <c r="F574" s="561" t="s">
        <v>109</v>
      </c>
      <c r="G574" s="562" t="s">
        <v>943</v>
      </c>
      <c r="H574" s="563" t="s">
        <v>924</v>
      </c>
      <c r="I574" s="578" t="s">
        <v>925</v>
      </c>
      <c r="J574" s="564" t="s">
        <v>757</v>
      </c>
      <c r="K574" s="561">
        <v>0</v>
      </c>
      <c r="L574" s="338" t="s">
        <v>926</v>
      </c>
      <c r="M574" s="565">
        <v>0</v>
      </c>
      <c r="N574" s="565">
        <v>0</v>
      </c>
      <c r="O574" s="566">
        <f t="shared" si="25"/>
        <v>0</v>
      </c>
      <c r="P574" s="567">
        <f t="shared" si="26"/>
        <v>0</v>
      </c>
      <c r="Q574" s="568" t="e">
        <f t="shared" si="24"/>
        <v>#DIV/0!</v>
      </c>
      <c r="R574" s="676" t="s">
        <v>1919</v>
      </c>
    </row>
    <row r="575" spans="1:18" x14ac:dyDescent="0.2">
      <c r="A575" s="558" t="s">
        <v>277</v>
      </c>
      <c r="B575" s="559" t="s">
        <v>914</v>
      </c>
      <c r="C575" s="573" t="s">
        <v>308</v>
      </c>
      <c r="D575" s="327" t="s">
        <v>300</v>
      </c>
      <c r="E575" s="575" t="s">
        <v>1715</v>
      </c>
      <c r="F575" s="561" t="s">
        <v>109</v>
      </c>
      <c r="G575" s="562" t="s">
        <v>943</v>
      </c>
      <c r="H575" s="563" t="s">
        <v>927</v>
      </c>
      <c r="I575" s="578" t="s">
        <v>925</v>
      </c>
      <c r="J575" s="564" t="s">
        <v>757</v>
      </c>
      <c r="K575" s="561">
        <v>38</v>
      </c>
      <c r="L575" s="338"/>
      <c r="M575" s="565">
        <v>51</v>
      </c>
      <c r="N575" s="565">
        <v>3</v>
      </c>
      <c r="O575" s="566">
        <f t="shared" si="25"/>
        <v>5.8823529411764705E-2</v>
      </c>
      <c r="P575" s="567">
        <f t="shared" si="26"/>
        <v>0.15479876160990713</v>
      </c>
      <c r="Q575" s="568">
        <f t="shared" si="24"/>
        <v>0.15479876160990713</v>
      </c>
      <c r="R575" s="675"/>
    </row>
    <row r="576" spans="1:18" x14ac:dyDescent="0.2">
      <c r="A576" s="558" t="s">
        <v>277</v>
      </c>
      <c r="B576" s="559" t="s">
        <v>914</v>
      </c>
      <c r="C576" s="573" t="s">
        <v>308</v>
      </c>
      <c r="D576" s="327" t="s">
        <v>292</v>
      </c>
      <c r="E576" s="575" t="s">
        <v>1850</v>
      </c>
      <c r="F576" s="561" t="s">
        <v>109</v>
      </c>
      <c r="G576" s="562" t="s">
        <v>943</v>
      </c>
      <c r="H576" s="563" t="s">
        <v>924</v>
      </c>
      <c r="I576" s="578" t="s">
        <v>925</v>
      </c>
      <c r="J576" s="564" t="s">
        <v>757</v>
      </c>
      <c r="K576" s="561">
        <v>0</v>
      </c>
      <c r="L576" s="338" t="s">
        <v>926</v>
      </c>
      <c r="M576" s="565">
        <v>7</v>
      </c>
      <c r="N576" s="565">
        <v>2</v>
      </c>
      <c r="O576" s="566">
        <f t="shared" si="25"/>
        <v>0.2857142857142857</v>
      </c>
      <c r="P576" s="567">
        <f t="shared" si="26"/>
        <v>0</v>
      </c>
      <c r="Q576" s="568" t="e">
        <f t="shared" si="24"/>
        <v>#DIV/0!</v>
      </c>
      <c r="R576" s="676" t="s">
        <v>926</v>
      </c>
    </row>
    <row r="577" spans="1:18" x14ac:dyDescent="0.2">
      <c r="A577" s="558" t="s">
        <v>277</v>
      </c>
      <c r="B577" s="559" t="s">
        <v>914</v>
      </c>
      <c r="C577" s="573" t="s">
        <v>308</v>
      </c>
      <c r="D577" s="327" t="s">
        <v>294</v>
      </c>
      <c r="E577" s="575" t="s">
        <v>1850</v>
      </c>
      <c r="F577" s="561" t="s">
        <v>109</v>
      </c>
      <c r="G577" s="562" t="s">
        <v>943</v>
      </c>
      <c r="H577" s="563" t="s">
        <v>924</v>
      </c>
      <c r="I577" s="578" t="s">
        <v>925</v>
      </c>
      <c r="J577" s="564" t="s">
        <v>757</v>
      </c>
      <c r="K577" s="561">
        <v>0</v>
      </c>
      <c r="L577" s="338" t="s">
        <v>926</v>
      </c>
      <c r="M577" s="565">
        <v>1</v>
      </c>
      <c r="N577" s="565">
        <v>0</v>
      </c>
      <c r="O577" s="566">
        <f t="shared" si="25"/>
        <v>0</v>
      </c>
      <c r="P577" s="567">
        <f t="shared" si="26"/>
        <v>0</v>
      </c>
      <c r="Q577" s="568" t="e">
        <f t="shared" si="24"/>
        <v>#DIV/0!</v>
      </c>
      <c r="R577" s="676" t="s">
        <v>926</v>
      </c>
    </row>
    <row r="578" spans="1:18" x14ac:dyDescent="0.2">
      <c r="A578" s="558" t="s">
        <v>277</v>
      </c>
      <c r="B578" s="559" t="s">
        <v>914</v>
      </c>
      <c r="C578" s="573" t="s">
        <v>305</v>
      </c>
      <c r="D578" s="327" t="s">
        <v>300</v>
      </c>
      <c r="E578" s="575" t="s">
        <v>1715</v>
      </c>
      <c r="F578" s="561" t="s">
        <v>109</v>
      </c>
      <c r="G578" s="562" t="s">
        <v>943</v>
      </c>
      <c r="H578" s="563" t="s">
        <v>927</v>
      </c>
      <c r="I578" s="578" t="s">
        <v>925</v>
      </c>
      <c r="J578" s="564" t="s">
        <v>757</v>
      </c>
      <c r="K578" s="561">
        <v>5</v>
      </c>
      <c r="L578" s="338"/>
      <c r="M578" s="565">
        <v>568</v>
      </c>
      <c r="N578" s="565">
        <v>24</v>
      </c>
      <c r="O578" s="566">
        <f t="shared" si="25"/>
        <v>4.2253521126760563E-2</v>
      </c>
      <c r="P578" s="567">
        <f t="shared" si="26"/>
        <v>0.84507042253521125</v>
      </c>
      <c r="Q578" s="568">
        <f t="shared" si="24"/>
        <v>0.84507042253521136</v>
      </c>
      <c r="R578" s="675"/>
    </row>
    <row r="579" spans="1:18" x14ac:dyDescent="0.2">
      <c r="A579" s="558" t="s">
        <v>277</v>
      </c>
      <c r="B579" s="559" t="s">
        <v>914</v>
      </c>
      <c r="C579" s="573" t="s">
        <v>305</v>
      </c>
      <c r="D579" s="327" t="s">
        <v>292</v>
      </c>
      <c r="E579" s="575" t="s">
        <v>1715</v>
      </c>
      <c r="F579" s="561" t="s">
        <v>109</v>
      </c>
      <c r="G579" s="562" t="s">
        <v>943</v>
      </c>
      <c r="H579" s="563" t="s">
        <v>924</v>
      </c>
      <c r="I579" s="578" t="s">
        <v>925</v>
      </c>
      <c r="J579" s="564" t="s">
        <v>757</v>
      </c>
      <c r="K579" s="561">
        <v>32</v>
      </c>
      <c r="L579" s="338"/>
      <c r="M579" s="565">
        <v>85</v>
      </c>
      <c r="N579" s="565">
        <v>22</v>
      </c>
      <c r="O579" s="566">
        <f t="shared" si="25"/>
        <v>0.25882352941176473</v>
      </c>
      <c r="P579" s="567">
        <f t="shared" si="26"/>
        <v>0.80882352941176472</v>
      </c>
      <c r="Q579" s="568">
        <f t="shared" si="24"/>
        <v>0.80882352941176472</v>
      </c>
      <c r="R579" s="675"/>
    </row>
    <row r="580" spans="1:18" x14ac:dyDescent="0.2">
      <c r="A580" s="558" t="s">
        <v>277</v>
      </c>
      <c r="B580" s="559" t="s">
        <v>914</v>
      </c>
      <c r="C580" s="573" t="s">
        <v>305</v>
      </c>
      <c r="D580" s="327" t="s">
        <v>294</v>
      </c>
      <c r="E580" s="575" t="s">
        <v>1851</v>
      </c>
      <c r="F580" s="561" t="s">
        <v>109</v>
      </c>
      <c r="G580" s="562" t="s">
        <v>943</v>
      </c>
      <c r="H580" s="563" t="s">
        <v>924</v>
      </c>
      <c r="I580" s="578" t="s">
        <v>925</v>
      </c>
      <c r="J580" s="564" t="s">
        <v>757</v>
      </c>
      <c r="K580" s="561">
        <v>33</v>
      </c>
      <c r="L580" s="338"/>
      <c r="M580" s="565">
        <v>24</v>
      </c>
      <c r="N580" s="565">
        <v>8</v>
      </c>
      <c r="O580" s="566">
        <f t="shared" si="25"/>
        <v>0.33333333333333331</v>
      </c>
      <c r="P580" s="567">
        <f t="shared" si="26"/>
        <v>1.0101010101010102</v>
      </c>
      <c r="Q580" s="568">
        <f t="shared" si="24"/>
        <v>1.0101010101010102</v>
      </c>
      <c r="R580" s="675"/>
    </row>
    <row r="581" spans="1:18" x14ac:dyDescent="0.2">
      <c r="A581" s="558" t="s">
        <v>277</v>
      </c>
      <c r="B581" s="559" t="s">
        <v>914</v>
      </c>
      <c r="C581" s="573" t="s">
        <v>305</v>
      </c>
      <c r="D581" s="327" t="s">
        <v>285</v>
      </c>
      <c r="E581" s="575" t="s">
        <v>1851</v>
      </c>
      <c r="F581" s="561" t="s">
        <v>109</v>
      </c>
      <c r="G581" s="562" t="s">
        <v>943</v>
      </c>
      <c r="H581" s="563" t="s">
        <v>924</v>
      </c>
      <c r="I581" s="578" t="s">
        <v>925</v>
      </c>
      <c r="J581" s="564" t="s">
        <v>757</v>
      </c>
      <c r="K581" s="561">
        <v>0</v>
      </c>
      <c r="L581" s="338" t="s">
        <v>926</v>
      </c>
      <c r="M581" s="565">
        <v>2</v>
      </c>
      <c r="N581" s="565">
        <v>1</v>
      </c>
      <c r="O581" s="566">
        <f t="shared" si="25"/>
        <v>0.5</v>
      </c>
      <c r="P581" s="567">
        <f t="shared" si="26"/>
        <v>0</v>
      </c>
      <c r="Q581" s="568" t="e">
        <f t="shared" ref="Q581:Q644" si="27">N581/(M581*K581/100)</f>
        <v>#DIV/0!</v>
      </c>
      <c r="R581" s="676" t="s">
        <v>926</v>
      </c>
    </row>
    <row r="582" spans="1:18" x14ac:dyDescent="0.2">
      <c r="A582" s="558" t="s">
        <v>277</v>
      </c>
      <c r="B582" s="559" t="s">
        <v>914</v>
      </c>
      <c r="C582" s="573" t="s">
        <v>97</v>
      </c>
      <c r="D582" s="327" t="s">
        <v>282</v>
      </c>
      <c r="E582" s="575" t="s">
        <v>1843</v>
      </c>
      <c r="F582" s="561" t="s">
        <v>109</v>
      </c>
      <c r="G582" s="562" t="s">
        <v>944</v>
      </c>
      <c r="H582" s="563" t="s">
        <v>945</v>
      </c>
      <c r="I582" s="578" t="s">
        <v>925</v>
      </c>
      <c r="J582" s="564" t="s">
        <v>757</v>
      </c>
      <c r="K582" s="561">
        <v>33</v>
      </c>
      <c r="L582" s="338"/>
      <c r="M582" s="565">
        <v>6</v>
      </c>
      <c r="N582" s="565">
        <v>6</v>
      </c>
      <c r="O582" s="566">
        <f t="shared" ref="O582:O645" si="28">IFERROR(N582/M582,0)</f>
        <v>1</v>
      </c>
      <c r="P582" s="567">
        <f t="shared" ref="P582:P645" si="29">IFERROR(N582/(M582*(K582/100)),0)</f>
        <v>3.0303030303030303</v>
      </c>
      <c r="Q582" s="568">
        <f t="shared" si="27"/>
        <v>3.0303030303030303</v>
      </c>
      <c r="R582" s="676" t="s">
        <v>1854</v>
      </c>
    </row>
    <row r="583" spans="1:18" x14ac:dyDescent="0.2">
      <c r="A583" s="558" t="s">
        <v>277</v>
      </c>
      <c r="B583" s="559" t="s">
        <v>914</v>
      </c>
      <c r="C583" s="573" t="s">
        <v>97</v>
      </c>
      <c r="D583" s="327" t="s">
        <v>285</v>
      </c>
      <c r="E583" s="575" t="s">
        <v>1843</v>
      </c>
      <c r="F583" s="561" t="s">
        <v>109</v>
      </c>
      <c r="G583" s="562" t="s">
        <v>944</v>
      </c>
      <c r="H583" s="563" t="s">
        <v>945</v>
      </c>
      <c r="I583" s="578" t="s">
        <v>925</v>
      </c>
      <c r="J583" s="564" t="s">
        <v>757</v>
      </c>
      <c r="K583" s="561">
        <v>0</v>
      </c>
      <c r="L583" s="338" t="s">
        <v>926</v>
      </c>
      <c r="M583" s="565">
        <v>8</v>
      </c>
      <c r="N583" s="565">
        <v>8</v>
      </c>
      <c r="O583" s="566">
        <f t="shared" si="28"/>
        <v>1</v>
      </c>
      <c r="P583" s="567">
        <f t="shared" si="29"/>
        <v>0</v>
      </c>
      <c r="Q583" s="568" t="e">
        <f t="shared" si="27"/>
        <v>#DIV/0!</v>
      </c>
      <c r="R583" s="676" t="s">
        <v>926</v>
      </c>
    </row>
    <row r="584" spans="1:18" x14ac:dyDescent="0.2">
      <c r="A584" s="558" t="s">
        <v>277</v>
      </c>
      <c r="B584" s="559" t="s">
        <v>914</v>
      </c>
      <c r="C584" s="573" t="s">
        <v>286</v>
      </c>
      <c r="D584" s="327" t="s">
        <v>300</v>
      </c>
      <c r="E584" s="575" t="s">
        <v>1715</v>
      </c>
      <c r="F584" s="561" t="s">
        <v>109</v>
      </c>
      <c r="G584" s="562" t="s">
        <v>944</v>
      </c>
      <c r="H584" s="563" t="s">
        <v>945</v>
      </c>
      <c r="I584" s="578" t="s">
        <v>925</v>
      </c>
      <c r="J584" s="564" t="s">
        <v>757</v>
      </c>
      <c r="K584" s="561">
        <v>0</v>
      </c>
      <c r="L584" s="338" t="s">
        <v>926</v>
      </c>
      <c r="M584" s="565">
        <v>39</v>
      </c>
      <c r="N584" s="565">
        <v>39</v>
      </c>
      <c r="O584" s="566">
        <f t="shared" si="28"/>
        <v>1</v>
      </c>
      <c r="P584" s="567">
        <f t="shared" si="29"/>
        <v>0</v>
      </c>
      <c r="Q584" s="568" t="e">
        <f t="shared" si="27"/>
        <v>#DIV/0!</v>
      </c>
      <c r="R584" s="676" t="s">
        <v>926</v>
      </c>
    </row>
    <row r="585" spans="1:18" x14ac:dyDescent="0.2">
      <c r="A585" s="558" t="s">
        <v>277</v>
      </c>
      <c r="B585" s="559" t="s">
        <v>914</v>
      </c>
      <c r="C585" s="573" t="s">
        <v>286</v>
      </c>
      <c r="D585" s="327" t="s">
        <v>292</v>
      </c>
      <c r="E585" s="575" t="s">
        <v>1715</v>
      </c>
      <c r="F585" s="561" t="s">
        <v>109</v>
      </c>
      <c r="G585" s="562" t="s">
        <v>944</v>
      </c>
      <c r="H585" s="563" t="s">
        <v>945</v>
      </c>
      <c r="I585" s="578" t="s">
        <v>925</v>
      </c>
      <c r="J585" s="564" t="s">
        <v>757</v>
      </c>
      <c r="K585" s="561">
        <v>26</v>
      </c>
      <c r="L585" s="338"/>
      <c r="M585" s="565">
        <v>12</v>
      </c>
      <c r="N585" s="565">
        <v>12</v>
      </c>
      <c r="O585" s="566">
        <f t="shared" si="28"/>
        <v>1</v>
      </c>
      <c r="P585" s="567">
        <f t="shared" si="29"/>
        <v>3.8461538461538458</v>
      </c>
      <c r="Q585" s="568">
        <f t="shared" si="27"/>
        <v>3.8461538461538458</v>
      </c>
      <c r="R585" s="676" t="s">
        <v>1854</v>
      </c>
    </row>
    <row r="586" spans="1:18" x14ac:dyDescent="0.2">
      <c r="A586" s="558" t="s">
        <v>277</v>
      </c>
      <c r="B586" s="559" t="s">
        <v>914</v>
      </c>
      <c r="C586" s="573" t="s">
        <v>286</v>
      </c>
      <c r="D586" s="327" t="s">
        <v>294</v>
      </c>
      <c r="E586" s="575" t="s">
        <v>1715</v>
      </c>
      <c r="F586" s="561" t="s">
        <v>109</v>
      </c>
      <c r="G586" s="562" t="s">
        <v>944</v>
      </c>
      <c r="H586" s="563" t="s">
        <v>945</v>
      </c>
      <c r="I586" s="578" t="s">
        <v>925</v>
      </c>
      <c r="J586" s="564" t="s">
        <v>757</v>
      </c>
      <c r="K586" s="561">
        <v>16</v>
      </c>
      <c r="L586" s="338"/>
      <c r="M586" s="565">
        <v>40</v>
      </c>
      <c r="N586" s="565">
        <v>40</v>
      </c>
      <c r="O586" s="566">
        <f t="shared" si="28"/>
        <v>1</v>
      </c>
      <c r="P586" s="567">
        <f t="shared" si="29"/>
        <v>6.25</v>
      </c>
      <c r="Q586" s="568">
        <f t="shared" si="27"/>
        <v>6.25</v>
      </c>
      <c r="R586" s="676" t="s">
        <v>1854</v>
      </c>
    </row>
    <row r="587" spans="1:18" x14ac:dyDescent="0.2">
      <c r="A587" s="558" t="s">
        <v>277</v>
      </c>
      <c r="B587" s="559" t="s">
        <v>914</v>
      </c>
      <c r="C587" s="573" t="s">
        <v>286</v>
      </c>
      <c r="D587" s="327" t="s">
        <v>282</v>
      </c>
      <c r="E587" s="575" t="s">
        <v>1715</v>
      </c>
      <c r="F587" s="561" t="s">
        <v>109</v>
      </c>
      <c r="G587" s="562" t="s">
        <v>944</v>
      </c>
      <c r="H587" s="563" t="s">
        <v>945</v>
      </c>
      <c r="I587" s="578" t="s">
        <v>925</v>
      </c>
      <c r="J587" s="564" t="s">
        <v>757</v>
      </c>
      <c r="K587" s="561">
        <v>6</v>
      </c>
      <c r="L587" s="338"/>
      <c r="M587" s="565">
        <v>68</v>
      </c>
      <c r="N587" s="565">
        <v>68</v>
      </c>
      <c r="O587" s="566">
        <f t="shared" si="28"/>
        <v>1</v>
      </c>
      <c r="P587" s="567">
        <f t="shared" si="29"/>
        <v>16.666666666666668</v>
      </c>
      <c r="Q587" s="568">
        <f t="shared" si="27"/>
        <v>16.666666666666668</v>
      </c>
      <c r="R587" s="676" t="s">
        <v>1854</v>
      </c>
    </row>
    <row r="588" spans="1:18" x14ac:dyDescent="0.2">
      <c r="A588" s="558" t="s">
        <v>277</v>
      </c>
      <c r="B588" s="559" t="s">
        <v>914</v>
      </c>
      <c r="C588" s="573" t="s">
        <v>286</v>
      </c>
      <c r="D588" s="327" t="s">
        <v>285</v>
      </c>
      <c r="E588" s="575" t="s">
        <v>1715</v>
      </c>
      <c r="F588" s="561" t="s">
        <v>109</v>
      </c>
      <c r="G588" s="562" t="s">
        <v>944</v>
      </c>
      <c r="H588" s="563" t="s">
        <v>945</v>
      </c>
      <c r="I588" s="578" t="s">
        <v>925</v>
      </c>
      <c r="J588" s="564" t="s">
        <v>757</v>
      </c>
      <c r="K588" s="561">
        <v>8</v>
      </c>
      <c r="L588" s="338"/>
      <c r="M588" s="565">
        <v>47</v>
      </c>
      <c r="N588" s="565">
        <v>47</v>
      </c>
      <c r="O588" s="566">
        <f t="shared" si="28"/>
        <v>1</v>
      </c>
      <c r="P588" s="567">
        <f t="shared" si="29"/>
        <v>12.5</v>
      </c>
      <c r="Q588" s="568">
        <f t="shared" si="27"/>
        <v>12.5</v>
      </c>
      <c r="R588" s="676" t="s">
        <v>1854</v>
      </c>
    </row>
    <row r="589" spans="1:18" x14ac:dyDescent="0.2">
      <c r="A589" s="558" t="s">
        <v>277</v>
      </c>
      <c r="B589" s="559" t="s">
        <v>914</v>
      </c>
      <c r="C589" s="573" t="s">
        <v>303</v>
      </c>
      <c r="D589" s="327" t="s">
        <v>300</v>
      </c>
      <c r="E589" s="575" t="s">
        <v>1715</v>
      </c>
      <c r="F589" s="561" t="s">
        <v>109</v>
      </c>
      <c r="G589" s="562" t="s">
        <v>944</v>
      </c>
      <c r="H589" s="563" t="s">
        <v>945</v>
      </c>
      <c r="I589" s="578" t="s">
        <v>925</v>
      </c>
      <c r="J589" s="564" t="s">
        <v>757</v>
      </c>
      <c r="K589" s="561">
        <v>28.999999999999996</v>
      </c>
      <c r="L589" s="338"/>
      <c r="M589" s="565">
        <v>144</v>
      </c>
      <c r="N589" s="565">
        <v>144</v>
      </c>
      <c r="O589" s="566">
        <f t="shared" si="28"/>
        <v>1</v>
      </c>
      <c r="P589" s="567">
        <f t="shared" si="29"/>
        <v>3.4482758620689657</v>
      </c>
      <c r="Q589" s="568">
        <f t="shared" si="27"/>
        <v>3.4482758620689662</v>
      </c>
      <c r="R589" s="676" t="s">
        <v>1854</v>
      </c>
    </row>
    <row r="590" spans="1:18" x14ac:dyDescent="0.2">
      <c r="A590" s="558" t="s">
        <v>277</v>
      </c>
      <c r="B590" s="559" t="s">
        <v>914</v>
      </c>
      <c r="C590" s="573" t="s">
        <v>303</v>
      </c>
      <c r="D590" s="327" t="s">
        <v>292</v>
      </c>
      <c r="E590" s="575" t="s">
        <v>1844</v>
      </c>
      <c r="F590" s="561" t="s">
        <v>109</v>
      </c>
      <c r="G590" s="562" t="s">
        <v>944</v>
      </c>
      <c r="H590" s="563" t="s">
        <v>945</v>
      </c>
      <c r="I590" s="578" t="s">
        <v>925</v>
      </c>
      <c r="J590" s="564" t="s">
        <v>757</v>
      </c>
      <c r="K590" s="561">
        <v>8</v>
      </c>
      <c r="L590" s="338"/>
      <c r="M590" s="565">
        <v>42</v>
      </c>
      <c r="N590" s="565">
        <v>42</v>
      </c>
      <c r="O590" s="566">
        <f t="shared" si="28"/>
        <v>1</v>
      </c>
      <c r="P590" s="567">
        <f t="shared" si="29"/>
        <v>12.5</v>
      </c>
      <c r="Q590" s="568">
        <f t="shared" si="27"/>
        <v>12.5</v>
      </c>
      <c r="R590" s="676" t="s">
        <v>1854</v>
      </c>
    </row>
    <row r="591" spans="1:18" x14ac:dyDescent="0.2">
      <c r="A591" s="558" t="s">
        <v>277</v>
      </c>
      <c r="B591" s="559" t="s">
        <v>914</v>
      </c>
      <c r="C591" s="573" t="s">
        <v>303</v>
      </c>
      <c r="D591" s="327" t="s">
        <v>294</v>
      </c>
      <c r="E591" s="575" t="s">
        <v>1844</v>
      </c>
      <c r="F591" s="561" t="s">
        <v>109</v>
      </c>
      <c r="G591" s="562" t="s">
        <v>944</v>
      </c>
      <c r="H591" s="563" t="s">
        <v>945</v>
      </c>
      <c r="I591" s="578" t="s">
        <v>925</v>
      </c>
      <c r="J591" s="564" t="s">
        <v>757</v>
      </c>
      <c r="K591" s="561">
        <v>0</v>
      </c>
      <c r="L591" s="338" t="s">
        <v>926</v>
      </c>
      <c r="M591" s="565">
        <v>10</v>
      </c>
      <c r="N591" s="565">
        <v>10</v>
      </c>
      <c r="O591" s="566">
        <f t="shared" si="28"/>
        <v>1</v>
      </c>
      <c r="P591" s="567">
        <f t="shared" si="29"/>
        <v>0</v>
      </c>
      <c r="Q591" s="568" t="e">
        <f t="shared" si="27"/>
        <v>#DIV/0!</v>
      </c>
      <c r="R591" s="676" t="s">
        <v>926</v>
      </c>
    </row>
    <row r="592" spans="1:18" x14ac:dyDescent="0.2">
      <c r="A592" s="558" t="s">
        <v>277</v>
      </c>
      <c r="B592" s="559" t="s">
        <v>914</v>
      </c>
      <c r="C592" s="573" t="s">
        <v>303</v>
      </c>
      <c r="D592" s="327" t="s">
        <v>282</v>
      </c>
      <c r="E592" s="575" t="s">
        <v>1845</v>
      </c>
      <c r="F592" s="561" t="s">
        <v>109</v>
      </c>
      <c r="G592" s="562" t="s">
        <v>944</v>
      </c>
      <c r="H592" s="563" t="s">
        <v>945</v>
      </c>
      <c r="I592" s="578" t="s">
        <v>925</v>
      </c>
      <c r="J592" s="564" t="s">
        <v>757</v>
      </c>
      <c r="K592" s="561">
        <v>0</v>
      </c>
      <c r="L592" s="338" t="s">
        <v>926</v>
      </c>
      <c r="M592" s="565">
        <v>2</v>
      </c>
      <c r="N592" s="565">
        <v>2</v>
      </c>
      <c r="O592" s="566">
        <f t="shared" si="28"/>
        <v>1</v>
      </c>
      <c r="P592" s="567">
        <f t="shared" si="29"/>
        <v>0</v>
      </c>
      <c r="Q592" s="568" t="e">
        <f t="shared" si="27"/>
        <v>#DIV/0!</v>
      </c>
      <c r="R592" s="676" t="s">
        <v>926</v>
      </c>
    </row>
    <row r="593" spans="1:18" x14ac:dyDescent="0.2">
      <c r="A593" s="558" t="s">
        <v>277</v>
      </c>
      <c r="B593" s="559" t="s">
        <v>914</v>
      </c>
      <c r="C593" s="573" t="s">
        <v>303</v>
      </c>
      <c r="D593" s="327" t="s">
        <v>285</v>
      </c>
      <c r="E593" s="575" t="s">
        <v>1845</v>
      </c>
      <c r="F593" s="561" t="s">
        <v>109</v>
      </c>
      <c r="G593" s="562" t="s">
        <v>944</v>
      </c>
      <c r="H593" s="563" t="s">
        <v>945</v>
      </c>
      <c r="I593" s="578" t="s">
        <v>925</v>
      </c>
      <c r="J593" s="564" t="s">
        <v>757</v>
      </c>
      <c r="K593" s="561">
        <v>0</v>
      </c>
      <c r="L593" s="338" t="s">
        <v>926</v>
      </c>
      <c r="M593" s="565">
        <v>5</v>
      </c>
      <c r="N593" s="565">
        <v>5</v>
      </c>
      <c r="O593" s="566">
        <f t="shared" si="28"/>
        <v>1</v>
      </c>
      <c r="P593" s="567">
        <f t="shared" si="29"/>
        <v>0</v>
      </c>
      <c r="Q593" s="568" t="e">
        <f t="shared" si="27"/>
        <v>#DIV/0!</v>
      </c>
      <c r="R593" s="676" t="s">
        <v>926</v>
      </c>
    </row>
    <row r="594" spans="1:18" x14ac:dyDescent="0.2">
      <c r="A594" s="558" t="s">
        <v>277</v>
      </c>
      <c r="B594" s="559" t="s">
        <v>914</v>
      </c>
      <c r="C594" s="573" t="s">
        <v>99</v>
      </c>
      <c r="D594" s="327" t="s">
        <v>300</v>
      </c>
      <c r="E594" s="575" t="s">
        <v>1715</v>
      </c>
      <c r="F594" s="561" t="s">
        <v>109</v>
      </c>
      <c r="G594" s="562" t="s">
        <v>944</v>
      </c>
      <c r="H594" s="563" t="s">
        <v>945</v>
      </c>
      <c r="I594" s="578" t="s">
        <v>925</v>
      </c>
      <c r="J594" s="564" t="s">
        <v>757</v>
      </c>
      <c r="K594" s="561">
        <v>17</v>
      </c>
      <c r="L594" s="338"/>
      <c r="M594" s="565">
        <v>158</v>
      </c>
      <c r="N594" s="565">
        <v>158</v>
      </c>
      <c r="O594" s="566">
        <f t="shared" si="28"/>
        <v>1</v>
      </c>
      <c r="P594" s="567">
        <f t="shared" si="29"/>
        <v>5.8823529411764701</v>
      </c>
      <c r="Q594" s="568">
        <f t="shared" si="27"/>
        <v>5.882352941176471</v>
      </c>
      <c r="R594" s="676" t="s">
        <v>1854</v>
      </c>
    </row>
    <row r="595" spans="1:18" x14ac:dyDescent="0.2">
      <c r="A595" s="558" t="s">
        <v>277</v>
      </c>
      <c r="B595" s="559" t="s">
        <v>914</v>
      </c>
      <c r="C595" s="573" t="s">
        <v>99</v>
      </c>
      <c r="D595" s="327" t="s">
        <v>292</v>
      </c>
      <c r="E595" s="575" t="s">
        <v>1715</v>
      </c>
      <c r="F595" s="561" t="s">
        <v>109</v>
      </c>
      <c r="G595" s="562" t="s">
        <v>944</v>
      </c>
      <c r="H595" s="563" t="s">
        <v>945</v>
      </c>
      <c r="I595" s="578" t="s">
        <v>925</v>
      </c>
      <c r="J595" s="564" t="s">
        <v>757</v>
      </c>
      <c r="K595" s="561">
        <v>36</v>
      </c>
      <c r="L595" s="338"/>
      <c r="M595" s="565">
        <v>7</v>
      </c>
      <c r="N595" s="565">
        <v>7</v>
      </c>
      <c r="O595" s="566">
        <f t="shared" si="28"/>
        <v>1</v>
      </c>
      <c r="P595" s="567">
        <f t="shared" si="29"/>
        <v>2.7777777777777777</v>
      </c>
      <c r="Q595" s="568">
        <f t="shared" si="27"/>
        <v>2.7777777777777777</v>
      </c>
      <c r="R595" s="676" t="s">
        <v>1854</v>
      </c>
    </row>
    <row r="596" spans="1:18" x14ac:dyDescent="0.2">
      <c r="A596" s="558" t="s">
        <v>277</v>
      </c>
      <c r="B596" s="559" t="s">
        <v>914</v>
      </c>
      <c r="C596" s="573" t="s">
        <v>99</v>
      </c>
      <c r="D596" s="327" t="s">
        <v>294</v>
      </c>
      <c r="E596" s="575" t="s">
        <v>1846</v>
      </c>
      <c r="F596" s="561" t="s">
        <v>109</v>
      </c>
      <c r="G596" s="562" t="s">
        <v>944</v>
      </c>
      <c r="H596" s="563" t="s">
        <v>945</v>
      </c>
      <c r="I596" s="578" t="s">
        <v>925</v>
      </c>
      <c r="J596" s="564" t="s">
        <v>757</v>
      </c>
      <c r="K596" s="561">
        <v>80</v>
      </c>
      <c r="L596" s="338"/>
      <c r="M596" s="565">
        <v>8</v>
      </c>
      <c r="N596" s="565">
        <v>8</v>
      </c>
      <c r="O596" s="566">
        <f t="shared" si="28"/>
        <v>1</v>
      </c>
      <c r="P596" s="567">
        <f t="shared" si="29"/>
        <v>1.25</v>
      </c>
      <c r="Q596" s="568">
        <f t="shared" si="27"/>
        <v>1.25</v>
      </c>
      <c r="R596" s="676" t="s">
        <v>1854</v>
      </c>
    </row>
    <row r="597" spans="1:18" x14ac:dyDescent="0.2">
      <c r="A597" s="558" t="s">
        <v>277</v>
      </c>
      <c r="B597" s="559" t="s">
        <v>914</v>
      </c>
      <c r="C597" s="573" t="s">
        <v>99</v>
      </c>
      <c r="D597" s="327" t="s">
        <v>282</v>
      </c>
      <c r="E597" s="575" t="s">
        <v>1846</v>
      </c>
      <c r="F597" s="561" t="s">
        <v>109</v>
      </c>
      <c r="G597" s="562" t="s">
        <v>944</v>
      </c>
      <c r="H597" s="563" t="s">
        <v>945</v>
      </c>
      <c r="I597" s="578" t="s">
        <v>925</v>
      </c>
      <c r="J597" s="564" t="s">
        <v>757</v>
      </c>
      <c r="K597" s="561">
        <v>0</v>
      </c>
      <c r="L597" s="338" t="s">
        <v>926</v>
      </c>
      <c r="M597" s="565">
        <v>4</v>
      </c>
      <c r="N597" s="565">
        <v>4</v>
      </c>
      <c r="O597" s="566">
        <f t="shared" si="28"/>
        <v>1</v>
      </c>
      <c r="P597" s="567">
        <f t="shared" si="29"/>
        <v>0</v>
      </c>
      <c r="Q597" s="568" t="e">
        <f t="shared" si="27"/>
        <v>#DIV/0!</v>
      </c>
      <c r="R597" s="676" t="s">
        <v>926</v>
      </c>
    </row>
    <row r="598" spans="1:18" x14ac:dyDescent="0.2">
      <c r="A598" s="558" t="s">
        <v>277</v>
      </c>
      <c r="B598" s="559" t="s">
        <v>914</v>
      </c>
      <c r="C598" s="573" t="s">
        <v>99</v>
      </c>
      <c r="D598" s="327" t="s">
        <v>285</v>
      </c>
      <c r="E598" s="575" t="s">
        <v>1846</v>
      </c>
      <c r="F598" s="561" t="s">
        <v>109</v>
      </c>
      <c r="G598" s="562" t="s">
        <v>944</v>
      </c>
      <c r="H598" s="563" t="s">
        <v>945</v>
      </c>
      <c r="I598" s="578" t="s">
        <v>925</v>
      </c>
      <c r="J598" s="564" t="s">
        <v>757</v>
      </c>
      <c r="K598" s="561">
        <v>0</v>
      </c>
      <c r="L598" s="338" t="s">
        <v>926</v>
      </c>
      <c r="M598" s="565">
        <v>1</v>
      </c>
      <c r="N598" s="565">
        <v>1</v>
      </c>
      <c r="O598" s="566">
        <f t="shared" si="28"/>
        <v>1</v>
      </c>
      <c r="P598" s="567">
        <f t="shared" si="29"/>
        <v>0</v>
      </c>
      <c r="Q598" s="568" t="e">
        <f t="shared" si="27"/>
        <v>#DIV/0!</v>
      </c>
      <c r="R598" s="676" t="s">
        <v>926</v>
      </c>
    </row>
    <row r="599" spans="1:18" x14ac:dyDescent="0.2">
      <c r="A599" s="558" t="s">
        <v>277</v>
      </c>
      <c r="B599" s="559" t="s">
        <v>914</v>
      </c>
      <c r="C599" s="573" t="s">
        <v>296</v>
      </c>
      <c r="D599" s="327" t="s">
        <v>300</v>
      </c>
      <c r="E599" s="575" t="s">
        <v>1847</v>
      </c>
      <c r="F599" s="561" t="s">
        <v>109</v>
      </c>
      <c r="G599" s="562" t="s">
        <v>944</v>
      </c>
      <c r="H599" s="563" t="s">
        <v>945</v>
      </c>
      <c r="I599" s="578" t="s">
        <v>925</v>
      </c>
      <c r="J599" s="564" t="s">
        <v>757</v>
      </c>
      <c r="K599" s="561">
        <v>13</v>
      </c>
      <c r="L599" s="338"/>
      <c r="M599" s="565">
        <v>0</v>
      </c>
      <c r="N599" s="565">
        <v>0</v>
      </c>
      <c r="O599" s="566">
        <f t="shared" si="28"/>
        <v>0</v>
      </c>
      <c r="P599" s="567">
        <f t="shared" si="29"/>
        <v>0</v>
      </c>
      <c r="Q599" s="568" t="e">
        <f t="shared" si="27"/>
        <v>#DIV/0!</v>
      </c>
      <c r="R599" s="676" t="s">
        <v>1919</v>
      </c>
    </row>
    <row r="600" spans="1:18" x14ac:dyDescent="0.2">
      <c r="A600" s="558" t="s">
        <v>277</v>
      </c>
      <c r="B600" s="559" t="s">
        <v>914</v>
      </c>
      <c r="C600" s="573" t="s">
        <v>296</v>
      </c>
      <c r="D600" s="327" t="s">
        <v>292</v>
      </c>
      <c r="E600" s="575" t="s">
        <v>1847</v>
      </c>
      <c r="F600" s="561" t="s">
        <v>109</v>
      </c>
      <c r="G600" s="562" t="s">
        <v>944</v>
      </c>
      <c r="H600" s="563" t="s">
        <v>945</v>
      </c>
      <c r="I600" s="578" t="s">
        <v>925</v>
      </c>
      <c r="J600" s="564" t="s">
        <v>757</v>
      </c>
      <c r="K600" s="561">
        <v>0</v>
      </c>
      <c r="L600" s="338" t="s">
        <v>926</v>
      </c>
      <c r="M600" s="565">
        <v>3</v>
      </c>
      <c r="N600" s="565">
        <v>3</v>
      </c>
      <c r="O600" s="566">
        <f t="shared" si="28"/>
        <v>1</v>
      </c>
      <c r="P600" s="567">
        <f t="shared" si="29"/>
        <v>0</v>
      </c>
      <c r="Q600" s="568" t="e">
        <f t="shared" si="27"/>
        <v>#DIV/0!</v>
      </c>
      <c r="R600" s="676" t="s">
        <v>926</v>
      </c>
    </row>
    <row r="601" spans="1:18" x14ac:dyDescent="0.2">
      <c r="A601" s="558" t="s">
        <v>277</v>
      </c>
      <c r="B601" s="559" t="s">
        <v>914</v>
      </c>
      <c r="C601" s="573" t="s">
        <v>296</v>
      </c>
      <c r="D601" s="327" t="s">
        <v>294</v>
      </c>
      <c r="E601" s="575" t="s">
        <v>1848</v>
      </c>
      <c r="F601" s="561" t="s">
        <v>109</v>
      </c>
      <c r="G601" s="562" t="s">
        <v>944</v>
      </c>
      <c r="H601" s="563" t="s">
        <v>945</v>
      </c>
      <c r="I601" s="578" t="s">
        <v>925</v>
      </c>
      <c r="J601" s="564" t="s">
        <v>757</v>
      </c>
      <c r="K601" s="561">
        <v>0</v>
      </c>
      <c r="L601" s="338" t="s">
        <v>926</v>
      </c>
      <c r="M601" s="565">
        <v>1</v>
      </c>
      <c r="N601" s="565">
        <v>1</v>
      </c>
      <c r="O601" s="566">
        <f t="shared" si="28"/>
        <v>1</v>
      </c>
      <c r="P601" s="567">
        <f t="shared" si="29"/>
        <v>0</v>
      </c>
      <c r="Q601" s="568" t="e">
        <f t="shared" si="27"/>
        <v>#DIV/0!</v>
      </c>
      <c r="R601" s="676" t="s">
        <v>926</v>
      </c>
    </row>
    <row r="602" spans="1:18" x14ac:dyDescent="0.2">
      <c r="A602" s="558" t="s">
        <v>277</v>
      </c>
      <c r="B602" s="559" t="s">
        <v>914</v>
      </c>
      <c r="C602" s="573" t="s">
        <v>296</v>
      </c>
      <c r="D602" s="327" t="s">
        <v>282</v>
      </c>
      <c r="E602" s="575" t="s">
        <v>1848</v>
      </c>
      <c r="F602" s="561" t="s">
        <v>109</v>
      </c>
      <c r="G602" s="562" t="s">
        <v>944</v>
      </c>
      <c r="H602" s="563" t="s">
        <v>945</v>
      </c>
      <c r="I602" s="578" t="s">
        <v>925</v>
      </c>
      <c r="J602" s="564" t="s">
        <v>757</v>
      </c>
      <c r="K602" s="561">
        <v>0</v>
      </c>
      <c r="L602" s="338" t="s">
        <v>926</v>
      </c>
      <c r="M602" s="565">
        <v>2</v>
      </c>
      <c r="N602" s="565">
        <v>2</v>
      </c>
      <c r="O602" s="566">
        <f t="shared" si="28"/>
        <v>1</v>
      </c>
      <c r="P602" s="567">
        <f t="shared" si="29"/>
        <v>0</v>
      </c>
      <c r="Q602" s="568" t="e">
        <f t="shared" si="27"/>
        <v>#DIV/0!</v>
      </c>
      <c r="R602" s="676" t="s">
        <v>926</v>
      </c>
    </row>
    <row r="603" spans="1:18" x14ac:dyDescent="0.2">
      <c r="A603" s="558" t="s">
        <v>277</v>
      </c>
      <c r="B603" s="559" t="s">
        <v>914</v>
      </c>
      <c r="C603" s="573" t="s">
        <v>296</v>
      </c>
      <c r="D603" s="327" t="s">
        <v>285</v>
      </c>
      <c r="E603" s="575" t="s">
        <v>1715</v>
      </c>
      <c r="F603" s="561" t="s">
        <v>109</v>
      </c>
      <c r="G603" s="562" t="s">
        <v>944</v>
      </c>
      <c r="H603" s="563" t="s">
        <v>945</v>
      </c>
      <c r="I603" s="578" t="s">
        <v>925</v>
      </c>
      <c r="J603" s="564" t="s">
        <v>757</v>
      </c>
      <c r="K603" s="561">
        <v>25</v>
      </c>
      <c r="L603" s="338"/>
      <c r="M603" s="565">
        <v>11</v>
      </c>
      <c r="N603" s="565">
        <v>11</v>
      </c>
      <c r="O603" s="566">
        <f t="shared" si="28"/>
        <v>1</v>
      </c>
      <c r="P603" s="567">
        <f t="shared" si="29"/>
        <v>4</v>
      </c>
      <c r="Q603" s="568">
        <f t="shared" si="27"/>
        <v>4</v>
      </c>
      <c r="R603" s="676" t="s">
        <v>1854</v>
      </c>
    </row>
    <row r="604" spans="1:18" x14ac:dyDescent="0.2">
      <c r="A604" s="558" t="s">
        <v>277</v>
      </c>
      <c r="B604" s="559" t="s">
        <v>914</v>
      </c>
      <c r="C604" s="573" t="s">
        <v>296</v>
      </c>
      <c r="D604" s="327" t="s">
        <v>298</v>
      </c>
      <c r="E604" s="575" t="s">
        <v>1715</v>
      </c>
      <c r="F604" s="561" t="s">
        <v>109</v>
      </c>
      <c r="G604" s="562" t="s">
        <v>944</v>
      </c>
      <c r="H604" s="563" t="s">
        <v>945</v>
      </c>
      <c r="I604" s="578" t="s">
        <v>925</v>
      </c>
      <c r="J604" s="564" t="s">
        <v>757</v>
      </c>
      <c r="K604" s="561">
        <v>10</v>
      </c>
      <c r="L604" s="338"/>
      <c r="M604" s="565">
        <v>20</v>
      </c>
      <c r="N604" s="565">
        <v>20</v>
      </c>
      <c r="O604" s="566">
        <f t="shared" si="28"/>
        <v>1</v>
      </c>
      <c r="P604" s="567">
        <f t="shared" si="29"/>
        <v>10</v>
      </c>
      <c r="Q604" s="568">
        <f t="shared" si="27"/>
        <v>10</v>
      </c>
      <c r="R604" s="676" t="s">
        <v>1854</v>
      </c>
    </row>
    <row r="605" spans="1:18" x14ac:dyDescent="0.2">
      <c r="A605" s="558" t="s">
        <v>277</v>
      </c>
      <c r="B605" s="559" t="s">
        <v>914</v>
      </c>
      <c r="C605" s="573" t="s">
        <v>316</v>
      </c>
      <c r="D605" s="327" t="s">
        <v>292</v>
      </c>
      <c r="E605" s="575" t="s">
        <v>1849</v>
      </c>
      <c r="F605" s="561" t="s">
        <v>109</v>
      </c>
      <c r="G605" s="562" t="s">
        <v>944</v>
      </c>
      <c r="H605" s="563" t="s">
        <v>945</v>
      </c>
      <c r="I605" s="578" t="s">
        <v>925</v>
      </c>
      <c r="J605" s="564" t="s">
        <v>757</v>
      </c>
      <c r="K605" s="561">
        <v>0</v>
      </c>
      <c r="L605" s="338" t="s">
        <v>926</v>
      </c>
      <c r="M605" s="565">
        <v>0</v>
      </c>
      <c r="N605" s="565">
        <v>0</v>
      </c>
      <c r="O605" s="566">
        <f t="shared" si="28"/>
        <v>0</v>
      </c>
      <c r="P605" s="567">
        <f t="shared" si="29"/>
        <v>0</v>
      </c>
      <c r="Q605" s="568" t="e">
        <f t="shared" si="27"/>
        <v>#DIV/0!</v>
      </c>
      <c r="R605" s="676" t="s">
        <v>1919</v>
      </c>
    </row>
    <row r="606" spans="1:18" x14ac:dyDescent="0.2">
      <c r="A606" s="558" t="s">
        <v>277</v>
      </c>
      <c r="B606" s="559" t="s">
        <v>914</v>
      </c>
      <c r="C606" s="573" t="s">
        <v>316</v>
      </c>
      <c r="D606" s="327" t="s">
        <v>294</v>
      </c>
      <c r="E606" s="575" t="s">
        <v>1849</v>
      </c>
      <c r="F606" s="561" t="s">
        <v>109</v>
      </c>
      <c r="G606" s="562" t="s">
        <v>944</v>
      </c>
      <c r="H606" s="563" t="s">
        <v>945</v>
      </c>
      <c r="I606" s="578" t="s">
        <v>925</v>
      </c>
      <c r="J606" s="564" t="s">
        <v>757</v>
      </c>
      <c r="K606" s="561">
        <v>0</v>
      </c>
      <c r="L606" s="338" t="s">
        <v>926</v>
      </c>
      <c r="M606" s="565">
        <v>0</v>
      </c>
      <c r="N606" s="565">
        <v>0</v>
      </c>
      <c r="O606" s="566">
        <f t="shared" si="28"/>
        <v>0</v>
      </c>
      <c r="P606" s="567">
        <f t="shared" si="29"/>
        <v>0</v>
      </c>
      <c r="Q606" s="568" t="e">
        <f t="shared" si="27"/>
        <v>#DIV/0!</v>
      </c>
      <c r="R606" s="676" t="s">
        <v>1919</v>
      </c>
    </row>
    <row r="607" spans="1:18" x14ac:dyDescent="0.2">
      <c r="A607" s="558" t="s">
        <v>277</v>
      </c>
      <c r="B607" s="559" t="s">
        <v>914</v>
      </c>
      <c r="C607" s="573" t="s">
        <v>308</v>
      </c>
      <c r="D607" s="327" t="s">
        <v>300</v>
      </c>
      <c r="E607" s="575" t="s">
        <v>1715</v>
      </c>
      <c r="F607" s="561" t="s">
        <v>109</v>
      </c>
      <c r="G607" s="562" t="s">
        <v>944</v>
      </c>
      <c r="H607" s="563" t="s">
        <v>945</v>
      </c>
      <c r="I607" s="578" t="s">
        <v>925</v>
      </c>
      <c r="J607" s="564" t="s">
        <v>757</v>
      </c>
      <c r="K607" s="561">
        <v>38</v>
      </c>
      <c r="L607" s="338"/>
      <c r="M607" s="565">
        <v>51</v>
      </c>
      <c r="N607" s="565">
        <v>51</v>
      </c>
      <c r="O607" s="566">
        <f t="shared" si="28"/>
        <v>1</v>
      </c>
      <c r="P607" s="567">
        <f t="shared" si="29"/>
        <v>2.6315789473684212</v>
      </c>
      <c r="Q607" s="568">
        <f t="shared" si="27"/>
        <v>2.6315789473684212</v>
      </c>
      <c r="R607" s="676" t="s">
        <v>1854</v>
      </c>
    </row>
    <row r="608" spans="1:18" x14ac:dyDescent="0.2">
      <c r="A608" s="558" t="s">
        <v>277</v>
      </c>
      <c r="B608" s="559" t="s">
        <v>914</v>
      </c>
      <c r="C608" s="573" t="s">
        <v>308</v>
      </c>
      <c r="D608" s="327" t="s">
        <v>292</v>
      </c>
      <c r="E608" s="575" t="s">
        <v>1850</v>
      </c>
      <c r="F608" s="561" t="s">
        <v>109</v>
      </c>
      <c r="G608" s="562" t="s">
        <v>944</v>
      </c>
      <c r="H608" s="563" t="s">
        <v>945</v>
      </c>
      <c r="I608" s="578" t="s">
        <v>925</v>
      </c>
      <c r="J608" s="564" t="s">
        <v>757</v>
      </c>
      <c r="K608" s="561">
        <v>0</v>
      </c>
      <c r="L608" s="338" t="s">
        <v>926</v>
      </c>
      <c r="M608" s="565">
        <v>7</v>
      </c>
      <c r="N608" s="565">
        <v>7</v>
      </c>
      <c r="O608" s="566">
        <f t="shared" si="28"/>
        <v>1</v>
      </c>
      <c r="P608" s="567">
        <f t="shared" si="29"/>
        <v>0</v>
      </c>
      <c r="Q608" s="568" t="e">
        <f t="shared" si="27"/>
        <v>#DIV/0!</v>
      </c>
      <c r="R608" s="676" t="s">
        <v>926</v>
      </c>
    </row>
    <row r="609" spans="1:18" x14ac:dyDescent="0.2">
      <c r="A609" s="558" t="s">
        <v>277</v>
      </c>
      <c r="B609" s="559" t="s">
        <v>914</v>
      </c>
      <c r="C609" s="573" t="s">
        <v>308</v>
      </c>
      <c r="D609" s="327" t="s">
        <v>294</v>
      </c>
      <c r="E609" s="575" t="s">
        <v>1850</v>
      </c>
      <c r="F609" s="561" t="s">
        <v>109</v>
      </c>
      <c r="G609" s="562" t="s">
        <v>944</v>
      </c>
      <c r="H609" s="563" t="s">
        <v>945</v>
      </c>
      <c r="I609" s="578" t="s">
        <v>925</v>
      </c>
      <c r="J609" s="564" t="s">
        <v>757</v>
      </c>
      <c r="K609" s="561">
        <v>0</v>
      </c>
      <c r="L609" s="338" t="s">
        <v>926</v>
      </c>
      <c r="M609" s="565">
        <v>1</v>
      </c>
      <c r="N609" s="565">
        <v>1</v>
      </c>
      <c r="O609" s="566">
        <f t="shared" si="28"/>
        <v>1</v>
      </c>
      <c r="P609" s="567">
        <f t="shared" si="29"/>
        <v>0</v>
      </c>
      <c r="Q609" s="568" t="e">
        <f t="shared" si="27"/>
        <v>#DIV/0!</v>
      </c>
      <c r="R609" s="676" t="s">
        <v>926</v>
      </c>
    </row>
    <row r="610" spans="1:18" x14ac:dyDescent="0.2">
      <c r="A610" s="558" t="s">
        <v>277</v>
      </c>
      <c r="B610" s="559" t="s">
        <v>914</v>
      </c>
      <c r="C610" s="573" t="s">
        <v>305</v>
      </c>
      <c r="D610" s="327" t="s">
        <v>300</v>
      </c>
      <c r="E610" s="575" t="s">
        <v>1715</v>
      </c>
      <c r="F610" s="561" t="s">
        <v>109</v>
      </c>
      <c r="G610" s="562" t="s">
        <v>944</v>
      </c>
      <c r="H610" s="563" t="s">
        <v>945</v>
      </c>
      <c r="I610" s="578" t="s">
        <v>925</v>
      </c>
      <c r="J610" s="564" t="s">
        <v>757</v>
      </c>
      <c r="K610" s="561">
        <v>5</v>
      </c>
      <c r="L610" s="338"/>
      <c r="M610" s="565">
        <v>568</v>
      </c>
      <c r="N610" s="565">
        <v>568</v>
      </c>
      <c r="O610" s="566">
        <f t="shared" si="28"/>
        <v>1</v>
      </c>
      <c r="P610" s="567">
        <f t="shared" si="29"/>
        <v>20</v>
      </c>
      <c r="Q610" s="568">
        <f t="shared" si="27"/>
        <v>20</v>
      </c>
      <c r="R610" s="676" t="s">
        <v>1854</v>
      </c>
    </row>
    <row r="611" spans="1:18" x14ac:dyDescent="0.2">
      <c r="A611" s="558" t="s">
        <v>277</v>
      </c>
      <c r="B611" s="559" t="s">
        <v>914</v>
      </c>
      <c r="C611" s="573" t="s">
        <v>305</v>
      </c>
      <c r="D611" s="327" t="s">
        <v>292</v>
      </c>
      <c r="E611" s="575" t="s">
        <v>1715</v>
      </c>
      <c r="F611" s="561" t="s">
        <v>109</v>
      </c>
      <c r="G611" s="562" t="s">
        <v>944</v>
      </c>
      <c r="H611" s="563" t="s">
        <v>945</v>
      </c>
      <c r="I611" s="578" t="s">
        <v>925</v>
      </c>
      <c r="J611" s="564" t="s">
        <v>757</v>
      </c>
      <c r="K611" s="561">
        <v>32</v>
      </c>
      <c r="L611" s="338"/>
      <c r="M611" s="565">
        <v>85</v>
      </c>
      <c r="N611" s="565">
        <v>85</v>
      </c>
      <c r="O611" s="566">
        <f t="shared" si="28"/>
        <v>1</v>
      </c>
      <c r="P611" s="567">
        <f t="shared" si="29"/>
        <v>3.125</v>
      </c>
      <c r="Q611" s="568">
        <f t="shared" si="27"/>
        <v>3.125</v>
      </c>
      <c r="R611" s="676" t="s">
        <v>1854</v>
      </c>
    </row>
    <row r="612" spans="1:18" x14ac:dyDescent="0.2">
      <c r="A612" s="558" t="s">
        <v>277</v>
      </c>
      <c r="B612" s="559" t="s">
        <v>914</v>
      </c>
      <c r="C612" s="573" t="s">
        <v>305</v>
      </c>
      <c r="D612" s="327" t="s">
        <v>294</v>
      </c>
      <c r="E612" s="575" t="s">
        <v>1851</v>
      </c>
      <c r="F612" s="561" t="s">
        <v>109</v>
      </c>
      <c r="G612" s="562" t="s">
        <v>944</v>
      </c>
      <c r="H612" s="563" t="s">
        <v>945</v>
      </c>
      <c r="I612" s="578" t="s">
        <v>925</v>
      </c>
      <c r="J612" s="564" t="s">
        <v>757</v>
      </c>
      <c r="K612" s="561">
        <v>33</v>
      </c>
      <c r="L612" s="338"/>
      <c r="M612" s="565">
        <v>24</v>
      </c>
      <c r="N612" s="565">
        <v>24</v>
      </c>
      <c r="O612" s="566">
        <f t="shared" si="28"/>
        <v>1</v>
      </c>
      <c r="P612" s="567">
        <f t="shared" si="29"/>
        <v>3.0303030303030303</v>
      </c>
      <c r="Q612" s="568">
        <f t="shared" si="27"/>
        <v>3.0303030303030303</v>
      </c>
      <c r="R612" s="676" t="s">
        <v>1854</v>
      </c>
    </row>
    <row r="613" spans="1:18" x14ac:dyDescent="0.2">
      <c r="A613" s="558" t="s">
        <v>277</v>
      </c>
      <c r="B613" s="559" t="s">
        <v>914</v>
      </c>
      <c r="C613" s="573" t="s">
        <v>305</v>
      </c>
      <c r="D613" s="327" t="s">
        <v>285</v>
      </c>
      <c r="E613" s="575" t="s">
        <v>1851</v>
      </c>
      <c r="F613" s="561" t="s">
        <v>109</v>
      </c>
      <c r="G613" s="562" t="s">
        <v>944</v>
      </c>
      <c r="H613" s="563" t="s">
        <v>945</v>
      </c>
      <c r="I613" s="578" t="s">
        <v>925</v>
      </c>
      <c r="J613" s="564" t="s">
        <v>757</v>
      </c>
      <c r="K613" s="561">
        <v>0</v>
      </c>
      <c r="L613" s="338" t="s">
        <v>926</v>
      </c>
      <c r="M613" s="565">
        <v>2</v>
      </c>
      <c r="N613" s="565">
        <v>2</v>
      </c>
      <c r="O613" s="566">
        <f t="shared" si="28"/>
        <v>1</v>
      </c>
      <c r="P613" s="567">
        <f t="shared" si="29"/>
        <v>0</v>
      </c>
      <c r="Q613" s="568" t="e">
        <f t="shared" si="27"/>
        <v>#DIV/0!</v>
      </c>
      <c r="R613" s="676" t="s">
        <v>926</v>
      </c>
    </row>
    <row r="614" spans="1:18" x14ac:dyDescent="0.2">
      <c r="A614" s="558" t="s">
        <v>277</v>
      </c>
      <c r="B614" s="559" t="s">
        <v>914</v>
      </c>
      <c r="C614" s="573" t="s">
        <v>97</v>
      </c>
      <c r="D614" s="327" t="s">
        <v>282</v>
      </c>
      <c r="E614" s="575" t="s">
        <v>1843</v>
      </c>
      <c r="F614" s="561" t="s">
        <v>946</v>
      </c>
      <c r="G614" s="562" t="s">
        <v>947</v>
      </c>
      <c r="H614" s="563" t="s">
        <v>924</v>
      </c>
      <c r="I614" s="578" t="s">
        <v>925</v>
      </c>
      <c r="J614" s="564" t="s">
        <v>757</v>
      </c>
      <c r="K614" s="561">
        <v>33</v>
      </c>
      <c r="L614" s="338"/>
      <c r="M614" s="565">
        <v>6</v>
      </c>
      <c r="N614" s="579">
        <v>0</v>
      </c>
      <c r="O614" s="566">
        <f t="shared" si="28"/>
        <v>0</v>
      </c>
      <c r="P614" s="567">
        <f t="shared" si="29"/>
        <v>0</v>
      </c>
      <c r="Q614" s="568">
        <f t="shared" si="27"/>
        <v>0</v>
      </c>
      <c r="R614" s="676" t="s">
        <v>1855</v>
      </c>
    </row>
    <row r="615" spans="1:18" x14ac:dyDescent="0.2">
      <c r="A615" s="558" t="s">
        <v>277</v>
      </c>
      <c r="B615" s="559" t="s">
        <v>914</v>
      </c>
      <c r="C615" s="573" t="s">
        <v>97</v>
      </c>
      <c r="D615" s="327" t="s">
        <v>285</v>
      </c>
      <c r="E615" s="575" t="s">
        <v>1843</v>
      </c>
      <c r="F615" s="561" t="s">
        <v>946</v>
      </c>
      <c r="G615" s="562" t="s">
        <v>947</v>
      </c>
      <c r="H615" s="563" t="s">
        <v>924</v>
      </c>
      <c r="I615" s="578" t="s">
        <v>925</v>
      </c>
      <c r="J615" s="564" t="s">
        <v>757</v>
      </c>
      <c r="K615" s="561">
        <v>0</v>
      </c>
      <c r="L615" s="338" t="s">
        <v>926</v>
      </c>
      <c r="M615" s="565">
        <v>8</v>
      </c>
      <c r="N615" s="579">
        <v>0</v>
      </c>
      <c r="O615" s="566">
        <f t="shared" si="28"/>
        <v>0</v>
      </c>
      <c r="P615" s="567">
        <f t="shared" si="29"/>
        <v>0</v>
      </c>
      <c r="Q615" s="568" t="e">
        <f t="shared" si="27"/>
        <v>#DIV/0!</v>
      </c>
      <c r="R615" s="676" t="s">
        <v>926</v>
      </c>
    </row>
    <row r="616" spans="1:18" x14ac:dyDescent="0.2">
      <c r="A616" s="558" t="s">
        <v>277</v>
      </c>
      <c r="B616" s="559" t="s">
        <v>914</v>
      </c>
      <c r="C616" s="573" t="s">
        <v>286</v>
      </c>
      <c r="D616" s="327" t="s">
        <v>300</v>
      </c>
      <c r="E616" s="575" t="s">
        <v>1715</v>
      </c>
      <c r="F616" s="561" t="s">
        <v>946</v>
      </c>
      <c r="G616" s="562" t="s">
        <v>947</v>
      </c>
      <c r="H616" s="563" t="s">
        <v>927</v>
      </c>
      <c r="I616" s="578" t="s">
        <v>925</v>
      </c>
      <c r="J616" s="564" t="s">
        <v>757</v>
      </c>
      <c r="K616" s="561">
        <v>0</v>
      </c>
      <c r="L616" s="338" t="s">
        <v>926</v>
      </c>
      <c r="M616" s="565">
        <v>39</v>
      </c>
      <c r="N616" s="579">
        <v>4</v>
      </c>
      <c r="O616" s="566">
        <f t="shared" si="28"/>
        <v>0.10256410256410256</v>
      </c>
      <c r="P616" s="567">
        <f t="shared" si="29"/>
        <v>0</v>
      </c>
      <c r="Q616" s="568" t="e">
        <f t="shared" si="27"/>
        <v>#DIV/0!</v>
      </c>
      <c r="R616" s="676" t="s">
        <v>926</v>
      </c>
    </row>
    <row r="617" spans="1:18" x14ac:dyDescent="0.2">
      <c r="A617" s="558" t="s">
        <v>277</v>
      </c>
      <c r="B617" s="559" t="s">
        <v>914</v>
      </c>
      <c r="C617" s="573" t="s">
        <v>286</v>
      </c>
      <c r="D617" s="327" t="s">
        <v>292</v>
      </c>
      <c r="E617" s="575" t="s">
        <v>1715</v>
      </c>
      <c r="F617" s="561" t="s">
        <v>946</v>
      </c>
      <c r="G617" s="562" t="s">
        <v>947</v>
      </c>
      <c r="H617" s="563" t="s">
        <v>924</v>
      </c>
      <c r="I617" s="578" t="s">
        <v>925</v>
      </c>
      <c r="J617" s="564" t="s">
        <v>757</v>
      </c>
      <c r="K617" s="561">
        <v>26</v>
      </c>
      <c r="L617" s="338"/>
      <c r="M617" s="565">
        <v>12</v>
      </c>
      <c r="N617" s="579">
        <v>3</v>
      </c>
      <c r="O617" s="566">
        <f t="shared" si="28"/>
        <v>0.25</v>
      </c>
      <c r="P617" s="567">
        <f t="shared" si="29"/>
        <v>0.96153846153846145</v>
      </c>
      <c r="Q617" s="568">
        <f t="shared" si="27"/>
        <v>0.96153846153846145</v>
      </c>
      <c r="R617" s="675"/>
    </row>
    <row r="618" spans="1:18" x14ac:dyDescent="0.2">
      <c r="A618" s="558" t="s">
        <v>277</v>
      </c>
      <c r="B618" s="559" t="s">
        <v>914</v>
      </c>
      <c r="C618" s="573" t="s">
        <v>286</v>
      </c>
      <c r="D618" s="327" t="s">
        <v>294</v>
      </c>
      <c r="E618" s="575" t="s">
        <v>1715</v>
      </c>
      <c r="F618" s="561" t="s">
        <v>946</v>
      </c>
      <c r="G618" s="562" t="s">
        <v>947</v>
      </c>
      <c r="H618" s="563" t="s">
        <v>924</v>
      </c>
      <c r="I618" s="578" t="s">
        <v>925</v>
      </c>
      <c r="J618" s="564" t="s">
        <v>757</v>
      </c>
      <c r="K618" s="561">
        <v>16</v>
      </c>
      <c r="L618" s="338"/>
      <c r="M618" s="565">
        <v>40</v>
      </c>
      <c r="N618" s="579">
        <v>7</v>
      </c>
      <c r="O618" s="566">
        <f t="shared" si="28"/>
        <v>0.17499999999999999</v>
      </c>
      <c r="P618" s="567">
        <f t="shared" si="29"/>
        <v>1.09375</v>
      </c>
      <c r="Q618" s="568">
        <f t="shared" si="27"/>
        <v>1.09375</v>
      </c>
      <c r="R618" s="675"/>
    </row>
    <row r="619" spans="1:18" x14ac:dyDescent="0.2">
      <c r="A619" s="558" t="s">
        <v>277</v>
      </c>
      <c r="B619" s="559" t="s">
        <v>914</v>
      </c>
      <c r="C619" s="573" t="s">
        <v>286</v>
      </c>
      <c r="D619" s="327" t="s">
        <v>282</v>
      </c>
      <c r="E619" s="575" t="s">
        <v>1715</v>
      </c>
      <c r="F619" s="561" t="s">
        <v>946</v>
      </c>
      <c r="G619" s="562" t="s">
        <v>947</v>
      </c>
      <c r="H619" s="563" t="s">
        <v>924</v>
      </c>
      <c r="I619" s="578" t="s">
        <v>925</v>
      </c>
      <c r="J619" s="564" t="s">
        <v>757</v>
      </c>
      <c r="K619" s="561">
        <v>6</v>
      </c>
      <c r="L619" s="338"/>
      <c r="M619" s="565">
        <v>68</v>
      </c>
      <c r="N619" s="579">
        <v>11</v>
      </c>
      <c r="O619" s="566">
        <f t="shared" si="28"/>
        <v>0.16176470588235295</v>
      </c>
      <c r="P619" s="567">
        <f t="shared" si="29"/>
        <v>2.6960784313725488</v>
      </c>
      <c r="Q619" s="568">
        <f t="shared" si="27"/>
        <v>2.6960784313725488</v>
      </c>
      <c r="R619" s="675"/>
    </row>
    <row r="620" spans="1:18" x14ac:dyDescent="0.2">
      <c r="A620" s="558" t="s">
        <v>277</v>
      </c>
      <c r="B620" s="559" t="s">
        <v>914</v>
      </c>
      <c r="C620" s="573" t="s">
        <v>286</v>
      </c>
      <c r="D620" s="327" t="s">
        <v>285</v>
      </c>
      <c r="E620" s="575" t="s">
        <v>1715</v>
      </c>
      <c r="F620" s="561" t="s">
        <v>946</v>
      </c>
      <c r="G620" s="562" t="s">
        <v>947</v>
      </c>
      <c r="H620" s="563" t="s">
        <v>924</v>
      </c>
      <c r="I620" s="578" t="s">
        <v>925</v>
      </c>
      <c r="J620" s="564" t="s">
        <v>757</v>
      </c>
      <c r="K620" s="561">
        <v>8</v>
      </c>
      <c r="L620" s="338"/>
      <c r="M620" s="565">
        <v>47</v>
      </c>
      <c r="N620" s="579">
        <v>8</v>
      </c>
      <c r="O620" s="566">
        <f t="shared" si="28"/>
        <v>0.1702127659574468</v>
      </c>
      <c r="P620" s="567">
        <f t="shared" si="29"/>
        <v>2.1276595744680851</v>
      </c>
      <c r="Q620" s="568">
        <f t="shared" si="27"/>
        <v>2.1276595744680851</v>
      </c>
      <c r="R620" s="675"/>
    </row>
    <row r="621" spans="1:18" x14ac:dyDescent="0.2">
      <c r="A621" s="558" t="s">
        <v>277</v>
      </c>
      <c r="B621" s="559" t="s">
        <v>914</v>
      </c>
      <c r="C621" s="573" t="s">
        <v>303</v>
      </c>
      <c r="D621" s="327" t="s">
        <v>300</v>
      </c>
      <c r="E621" s="575" t="s">
        <v>1715</v>
      </c>
      <c r="F621" s="561" t="s">
        <v>946</v>
      </c>
      <c r="G621" s="562" t="s">
        <v>947</v>
      </c>
      <c r="H621" s="563" t="s">
        <v>927</v>
      </c>
      <c r="I621" s="578" t="s">
        <v>925</v>
      </c>
      <c r="J621" s="564" t="s">
        <v>757</v>
      </c>
      <c r="K621" s="561">
        <v>28.999999999999996</v>
      </c>
      <c r="L621" s="338"/>
      <c r="M621" s="565">
        <v>144</v>
      </c>
      <c r="N621" s="579">
        <v>4</v>
      </c>
      <c r="O621" s="566">
        <f t="shared" si="28"/>
        <v>2.7777777777777776E-2</v>
      </c>
      <c r="P621" s="567">
        <f t="shared" si="29"/>
        <v>9.5785440613026823E-2</v>
      </c>
      <c r="Q621" s="568">
        <f t="shared" si="27"/>
        <v>9.5785440613026837E-2</v>
      </c>
      <c r="R621" s="675"/>
    </row>
    <row r="622" spans="1:18" x14ac:dyDescent="0.2">
      <c r="A622" s="558" t="s">
        <v>277</v>
      </c>
      <c r="B622" s="559" t="s">
        <v>914</v>
      </c>
      <c r="C622" s="573" t="s">
        <v>303</v>
      </c>
      <c r="D622" s="327" t="s">
        <v>292</v>
      </c>
      <c r="E622" s="575" t="s">
        <v>1844</v>
      </c>
      <c r="F622" s="561" t="s">
        <v>946</v>
      </c>
      <c r="G622" s="562" t="s">
        <v>947</v>
      </c>
      <c r="H622" s="563" t="s">
        <v>924</v>
      </c>
      <c r="I622" s="578" t="s">
        <v>925</v>
      </c>
      <c r="J622" s="564" t="s">
        <v>757</v>
      </c>
      <c r="K622" s="561">
        <v>8</v>
      </c>
      <c r="L622" s="338"/>
      <c r="M622" s="565">
        <v>42</v>
      </c>
      <c r="N622" s="579">
        <v>1</v>
      </c>
      <c r="O622" s="566">
        <f t="shared" si="28"/>
        <v>2.3809523809523808E-2</v>
      </c>
      <c r="P622" s="567">
        <f t="shared" si="29"/>
        <v>0.29761904761904762</v>
      </c>
      <c r="Q622" s="568">
        <f t="shared" si="27"/>
        <v>0.29761904761904762</v>
      </c>
      <c r="R622" s="675"/>
    </row>
    <row r="623" spans="1:18" x14ac:dyDescent="0.2">
      <c r="A623" s="558" t="s">
        <v>277</v>
      </c>
      <c r="B623" s="559" t="s">
        <v>914</v>
      </c>
      <c r="C623" s="573" t="s">
        <v>303</v>
      </c>
      <c r="D623" s="327" t="s">
        <v>294</v>
      </c>
      <c r="E623" s="575" t="s">
        <v>1844</v>
      </c>
      <c r="F623" s="561" t="s">
        <v>946</v>
      </c>
      <c r="G623" s="562" t="s">
        <v>947</v>
      </c>
      <c r="H623" s="563" t="s">
        <v>924</v>
      </c>
      <c r="I623" s="578" t="s">
        <v>925</v>
      </c>
      <c r="J623" s="564" t="s">
        <v>757</v>
      </c>
      <c r="K623" s="561">
        <v>0</v>
      </c>
      <c r="L623" s="338" t="s">
        <v>926</v>
      </c>
      <c r="M623" s="565">
        <v>10</v>
      </c>
      <c r="N623" s="579">
        <v>1</v>
      </c>
      <c r="O623" s="566">
        <f t="shared" si="28"/>
        <v>0.1</v>
      </c>
      <c r="P623" s="567">
        <f t="shared" si="29"/>
        <v>0</v>
      </c>
      <c r="Q623" s="568" t="e">
        <f t="shared" si="27"/>
        <v>#DIV/0!</v>
      </c>
      <c r="R623" s="676" t="s">
        <v>926</v>
      </c>
    </row>
    <row r="624" spans="1:18" x14ac:dyDescent="0.2">
      <c r="A624" s="558" t="s">
        <v>277</v>
      </c>
      <c r="B624" s="559" t="s">
        <v>914</v>
      </c>
      <c r="C624" s="573" t="s">
        <v>303</v>
      </c>
      <c r="D624" s="327" t="s">
        <v>282</v>
      </c>
      <c r="E624" s="575" t="s">
        <v>1845</v>
      </c>
      <c r="F624" s="561" t="s">
        <v>946</v>
      </c>
      <c r="G624" s="562" t="s">
        <v>947</v>
      </c>
      <c r="H624" s="563" t="s">
        <v>924</v>
      </c>
      <c r="I624" s="578" t="s">
        <v>925</v>
      </c>
      <c r="J624" s="564" t="s">
        <v>757</v>
      </c>
      <c r="K624" s="561">
        <v>0</v>
      </c>
      <c r="L624" s="338" t="s">
        <v>926</v>
      </c>
      <c r="M624" s="565">
        <v>2</v>
      </c>
      <c r="N624" s="579">
        <v>0</v>
      </c>
      <c r="O624" s="566">
        <f t="shared" si="28"/>
        <v>0</v>
      </c>
      <c r="P624" s="567">
        <f t="shared" si="29"/>
        <v>0</v>
      </c>
      <c r="Q624" s="568" t="e">
        <f t="shared" si="27"/>
        <v>#DIV/0!</v>
      </c>
      <c r="R624" s="676" t="s">
        <v>926</v>
      </c>
    </row>
    <row r="625" spans="1:18" x14ac:dyDescent="0.2">
      <c r="A625" s="558" t="s">
        <v>277</v>
      </c>
      <c r="B625" s="559" t="s">
        <v>914</v>
      </c>
      <c r="C625" s="573" t="s">
        <v>303</v>
      </c>
      <c r="D625" s="327" t="s">
        <v>285</v>
      </c>
      <c r="E625" s="575" t="s">
        <v>1845</v>
      </c>
      <c r="F625" s="561" t="s">
        <v>946</v>
      </c>
      <c r="G625" s="562" t="s">
        <v>947</v>
      </c>
      <c r="H625" s="563" t="s">
        <v>924</v>
      </c>
      <c r="I625" s="578" t="s">
        <v>925</v>
      </c>
      <c r="J625" s="564" t="s">
        <v>757</v>
      </c>
      <c r="K625" s="561">
        <v>0</v>
      </c>
      <c r="L625" s="338" t="s">
        <v>926</v>
      </c>
      <c r="M625" s="565">
        <v>5</v>
      </c>
      <c r="N625" s="579">
        <v>0</v>
      </c>
      <c r="O625" s="566">
        <f t="shared" si="28"/>
        <v>0</v>
      </c>
      <c r="P625" s="567">
        <f t="shared" si="29"/>
        <v>0</v>
      </c>
      <c r="Q625" s="568" t="e">
        <f t="shared" si="27"/>
        <v>#DIV/0!</v>
      </c>
      <c r="R625" s="676" t="s">
        <v>926</v>
      </c>
    </row>
    <row r="626" spans="1:18" x14ac:dyDescent="0.2">
      <c r="A626" s="558" t="s">
        <v>277</v>
      </c>
      <c r="B626" s="559" t="s">
        <v>914</v>
      </c>
      <c r="C626" s="573" t="s">
        <v>99</v>
      </c>
      <c r="D626" s="327" t="s">
        <v>300</v>
      </c>
      <c r="E626" s="575" t="s">
        <v>1715</v>
      </c>
      <c r="F626" s="561" t="s">
        <v>946</v>
      </c>
      <c r="G626" s="562" t="s">
        <v>947</v>
      </c>
      <c r="H626" s="563" t="s">
        <v>927</v>
      </c>
      <c r="I626" s="578" t="s">
        <v>925</v>
      </c>
      <c r="J626" s="564" t="s">
        <v>757</v>
      </c>
      <c r="K626" s="561">
        <v>17</v>
      </c>
      <c r="L626" s="338"/>
      <c r="M626" s="565">
        <v>158</v>
      </c>
      <c r="N626" s="579">
        <v>5</v>
      </c>
      <c r="O626" s="566">
        <f t="shared" si="28"/>
        <v>3.1645569620253167E-2</v>
      </c>
      <c r="P626" s="567">
        <f t="shared" si="29"/>
        <v>0.18615040953090095</v>
      </c>
      <c r="Q626" s="568">
        <f t="shared" si="27"/>
        <v>0.18615040953090098</v>
      </c>
      <c r="R626" s="675"/>
    </row>
    <row r="627" spans="1:18" x14ac:dyDescent="0.2">
      <c r="A627" s="558" t="s">
        <v>277</v>
      </c>
      <c r="B627" s="559" t="s">
        <v>914</v>
      </c>
      <c r="C627" s="573" t="s">
        <v>99</v>
      </c>
      <c r="D627" s="327" t="s">
        <v>292</v>
      </c>
      <c r="E627" s="575" t="s">
        <v>1715</v>
      </c>
      <c r="F627" s="561" t="s">
        <v>946</v>
      </c>
      <c r="G627" s="562" t="s">
        <v>947</v>
      </c>
      <c r="H627" s="563" t="s">
        <v>924</v>
      </c>
      <c r="I627" s="578" t="s">
        <v>925</v>
      </c>
      <c r="J627" s="564" t="s">
        <v>757</v>
      </c>
      <c r="K627" s="561">
        <v>36</v>
      </c>
      <c r="L627" s="338"/>
      <c r="M627" s="565">
        <v>7</v>
      </c>
      <c r="N627" s="579">
        <v>1</v>
      </c>
      <c r="O627" s="566">
        <f t="shared" si="28"/>
        <v>0.14285714285714285</v>
      </c>
      <c r="P627" s="567">
        <f t="shared" si="29"/>
        <v>0.3968253968253968</v>
      </c>
      <c r="Q627" s="568">
        <f t="shared" si="27"/>
        <v>0.3968253968253968</v>
      </c>
      <c r="R627" s="675"/>
    </row>
    <row r="628" spans="1:18" x14ac:dyDescent="0.2">
      <c r="A628" s="558" t="s">
        <v>277</v>
      </c>
      <c r="B628" s="559" t="s">
        <v>914</v>
      </c>
      <c r="C628" s="573" t="s">
        <v>99</v>
      </c>
      <c r="D628" s="327" t="s">
        <v>294</v>
      </c>
      <c r="E628" s="575" t="s">
        <v>1846</v>
      </c>
      <c r="F628" s="561" t="s">
        <v>946</v>
      </c>
      <c r="G628" s="562" t="s">
        <v>947</v>
      </c>
      <c r="H628" s="563" t="s">
        <v>924</v>
      </c>
      <c r="I628" s="578" t="s">
        <v>925</v>
      </c>
      <c r="J628" s="564" t="s">
        <v>757</v>
      </c>
      <c r="K628" s="561">
        <v>80</v>
      </c>
      <c r="L628" s="338"/>
      <c r="M628" s="565">
        <v>8</v>
      </c>
      <c r="N628" s="579">
        <v>3</v>
      </c>
      <c r="O628" s="566">
        <f t="shared" si="28"/>
        <v>0.375</v>
      </c>
      <c r="P628" s="567">
        <f t="shared" si="29"/>
        <v>0.46875</v>
      </c>
      <c r="Q628" s="568">
        <f t="shared" si="27"/>
        <v>0.46875</v>
      </c>
      <c r="R628" s="675"/>
    </row>
    <row r="629" spans="1:18" x14ac:dyDescent="0.2">
      <c r="A629" s="558" t="s">
        <v>277</v>
      </c>
      <c r="B629" s="559" t="s">
        <v>914</v>
      </c>
      <c r="C629" s="573" t="s">
        <v>99</v>
      </c>
      <c r="D629" s="327" t="s">
        <v>282</v>
      </c>
      <c r="E629" s="575" t="s">
        <v>1846</v>
      </c>
      <c r="F629" s="561" t="s">
        <v>946</v>
      </c>
      <c r="G629" s="562" t="s">
        <v>947</v>
      </c>
      <c r="H629" s="563" t="s">
        <v>924</v>
      </c>
      <c r="I629" s="578" t="s">
        <v>925</v>
      </c>
      <c r="J629" s="564" t="s">
        <v>757</v>
      </c>
      <c r="K629" s="561">
        <v>0</v>
      </c>
      <c r="L629" s="338" t="s">
        <v>926</v>
      </c>
      <c r="M629" s="565">
        <v>4</v>
      </c>
      <c r="N629" s="579">
        <v>0</v>
      </c>
      <c r="O629" s="566">
        <f t="shared" si="28"/>
        <v>0</v>
      </c>
      <c r="P629" s="567">
        <f t="shared" si="29"/>
        <v>0</v>
      </c>
      <c r="Q629" s="568" t="e">
        <f t="shared" si="27"/>
        <v>#DIV/0!</v>
      </c>
      <c r="R629" s="676" t="s">
        <v>926</v>
      </c>
    </row>
    <row r="630" spans="1:18" x14ac:dyDescent="0.2">
      <c r="A630" s="558" t="s">
        <v>277</v>
      </c>
      <c r="B630" s="559" t="s">
        <v>914</v>
      </c>
      <c r="C630" s="573" t="s">
        <v>99</v>
      </c>
      <c r="D630" s="327" t="s">
        <v>285</v>
      </c>
      <c r="E630" s="575" t="s">
        <v>1846</v>
      </c>
      <c r="F630" s="561" t="s">
        <v>946</v>
      </c>
      <c r="G630" s="562" t="s">
        <v>947</v>
      </c>
      <c r="H630" s="563" t="s">
        <v>924</v>
      </c>
      <c r="I630" s="578" t="s">
        <v>925</v>
      </c>
      <c r="J630" s="564" t="s">
        <v>757</v>
      </c>
      <c r="K630" s="561">
        <v>0</v>
      </c>
      <c r="L630" s="338" t="s">
        <v>926</v>
      </c>
      <c r="M630" s="565">
        <v>1</v>
      </c>
      <c r="N630" s="579">
        <v>0</v>
      </c>
      <c r="O630" s="566">
        <f t="shared" si="28"/>
        <v>0</v>
      </c>
      <c r="P630" s="567">
        <f t="shared" si="29"/>
        <v>0</v>
      </c>
      <c r="Q630" s="568" t="e">
        <f t="shared" si="27"/>
        <v>#DIV/0!</v>
      </c>
      <c r="R630" s="676" t="s">
        <v>926</v>
      </c>
    </row>
    <row r="631" spans="1:18" x14ac:dyDescent="0.2">
      <c r="A631" s="558" t="s">
        <v>277</v>
      </c>
      <c r="B631" s="559" t="s">
        <v>914</v>
      </c>
      <c r="C631" s="573" t="s">
        <v>296</v>
      </c>
      <c r="D631" s="327" t="s">
        <v>300</v>
      </c>
      <c r="E631" s="575" t="s">
        <v>1847</v>
      </c>
      <c r="F631" s="561" t="s">
        <v>946</v>
      </c>
      <c r="G631" s="562" t="s">
        <v>947</v>
      </c>
      <c r="H631" s="563" t="s">
        <v>927</v>
      </c>
      <c r="I631" s="578" t="s">
        <v>925</v>
      </c>
      <c r="J631" s="564" t="s">
        <v>757</v>
      </c>
      <c r="K631" s="561">
        <v>13</v>
      </c>
      <c r="L631" s="338"/>
      <c r="M631" s="565">
        <v>0</v>
      </c>
      <c r="N631" s="579">
        <v>0</v>
      </c>
      <c r="O631" s="566">
        <f t="shared" si="28"/>
        <v>0</v>
      </c>
      <c r="P631" s="567">
        <f t="shared" si="29"/>
        <v>0</v>
      </c>
      <c r="Q631" s="568" t="e">
        <f t="shared" si="27"/>
        <v>#DIV/0!</v>
      </c>
      <c r="R631" s="676" t="s">
        <v>1919</v>
      </c>
    </row>
    <row r="632" spans="1:18" x14ac:dyDescent="0.2">
      <c r="A632" s="558" t="s">
        <v>277</v>
      </c>
      <c r="B632" s="559" t="s">
        <v>914</v>
      </c>
      <c r="C632" s="573" t="s">
        <v>296</v>
      </c>
      <c r="D632" s="327" t="s">
        <v>292</v>
      </c>
      <c r="E632" s="575" t="s">
        <v>1847</v>
      </c>
      <c r="F632" s="561" t="s">
        <v>946</v>
      </c>
      <c r="G632" s="562" t="s">
        <v>947</v>
      </c>
      <c r="H632" s="563" t="s">
        <v>924</v>
      </c>
      <c r="I632" s="578" t="s">
        <v>925</v>
      </c>
      <c r="J632" s="564" t="s">
        <v>757</v>
      </c>
      <c r="K632" s="561">
        <v>0</v>
      </c>
      <c r="L632" s="338" t="s">
        <v>926</v>
      </c>
      <c r="M632" s="565">
        <v>3</v>
      </c>
      <c r="N632" s="579">
        <v>0</v>
      </c>
      <c r="O632" s="566">
        <f t="shared" si="28"/>
        <v>0</v>
      </c>
      <c r="P632" s="567">
        <f t="shared" si="29"/>
        <v>0</v>
      </c>
      <c r="Q632" s="568" t="e">
        <f t="shared" si="27"/>
        <v>#DIV/0!</v>
      </c>
      <c r="R632" s="676" t="s">
        <v>926</v>
      </c>
    </row>
    <row r="633" spans="1:18" x14ac:dyDescent="0.2">
      <c r="A633" s="558" t="s">
        <v>277</v>
      </c>
      <c r="B633" s="559" t="s">
        <v>914</v>
      </c>
      <c r="C633" s="573" t="s">
        <v>296</v>
      </c>
      <c r="D633" s="327" t="s">
        <v>294</v>
      </c>
      <c r="E633" s="575" t="s">
        <v>1848</v>
      </c>
      <c r="F633" s="561" t="s">
        <v>946</v>
      </c>
      <c r="G633" s="562" t="s">
        <v>947</v>
      </c>
      <c r="H633" s="563" t="s">
        <v>924</v>
      </c>
      <c r="I633" s="578" t="s">
        <v>925</v>
      </c>
      <c r="J633" s="564" t="s">
        <v>757</v>
      </c>
      <c r="K633" s="561">
        <v>0</v>
      </c>
      <c r="L633" s="338" t="s">
        <v>926</v>
      </c>
      <c r="M633" s="565">
        <v>1</v>
      </c>
      <c r="N633" s="579">
        <v>0</v>
      </c>
      <c r="O633" s="566">
        <f t="shared" si="28"/>
        <v>0</v>
      </c>
      <c r="P633" s="567">
        <f t="shared" si="29"/>
        <v>0</v>
      </c>
      <c r="Q633" s="568" t="e">
        <f t="shared" si="27"/>
        <v>#DIV/0!</v>
      </c>
      <c r="R633" s="676" t="s">
        <v>926</v>
      </c>
    </row>
    <row r="634" spans="1:18" x14ac:dyDescent="0.2">
      <c r="A634" s="558" t="s">
        <v>277</v>
      </c>
      <c r="B634" s="559" t="s">
        <v>914</v>
      </c>
      <c r="C634" s="573" t="s">
        <v>296</v>
      </c>
      <c r="D634" s="327" t="s">
        <v>282</v>
      </c>
      <c r="E634" s="575" t="s">
        <v>1848</v>
      </c>
      <c r="F634" s="561" t="s">
        <v>946</v>
      </c>
      <c r="G634" s="562" t="s">
        <v>947</v>
      </c>
      <c r="H634" s="563" t="s">
        <v>924</v>
      </c>
      <c r="I634" s="578" t="s">
        <v>925</v>
      </c>
      <c r="J634" s="564" t="s">
        <v>757</v>
      </c>
      <c r="K634" s="561">
        <v>0</v>
      </c>
      <c r="L634" s="338" t="s">
        <v>926</v>
      </c>
      <c r="M634" s="565">
        <v>2</v>
      </c>
      <c r="N634" s="579">
        <v>0</v>
      </c>
      <c r="O634" s="566">
        <f t="shared" si="28"/>
        <v>0</v>
      </c>
      <c r="P634" s="567">
        <f t="shared" si="29"/>
        <v>0</v>
      </c>
      <c r="Q634" s="568" t="e">
        <f t="shared" si="27"/>
        <v>#DIV/0!</v>
      </c>
      <c r="R634" s="676" t="s">
        <v>926</v>
      </c>
    </row>
    <row r="635" spans="1:18" x14ac:dyDescent="0.2">
      <c r="A635" s="558" t="s">
        <v>277</v>
      </c>
      <c r="B635" s="559" t="s">
        <v>914</v>
      </c>
      <c r="C635" s="573" t="s">
        <v>296</v>
      </c>
      <c r="D635" s="327" t="s">
        <v>285</v>
      </c>
      <c r="E635" s="575" t="s">
        <v>1715</v>
      </c>
      <c r="F635" s="561" t="s">
        <v>946</v>
      </c>
      <c r="G635" s="562" t="s">
        <v>947</v>
      </c>
      <c r="H635" s="563" t="s">
        <v>924</v>
      </c>
      <c r="I635" s="578" t="s">
        <v>925</v>
      </c>
      <c r="J635" s="564" t="s">
        <v>757</v>
      </c>
      <c r="K635" s="561">
        <v>25</v>
      </c>
      <c r="L635" s="338"/>
      <c r="M635" s="565">
        <v>11</v>
      </c>
      <c r="N635" s="579">
        <v>4</v>
      </c>
      <c r="O635" s="566">
        <f t="shared" si="28"/>
        <v>0.36363636363636365</v>
      </c>
      <c r="P635" s="567">
        <f t="shared" si="29"/>
        <v>1.4545454545454546</v>
      </c>
      <c r="Q635" s="568">
        <f t="shared" si="27"/>
        <v>1.4545454545454546</v>
      </c>
      <c r="R635" s="675"/>
    </row>
    <row r="636" spans="1:18" x14ac:dyDescent="0.2">
      <c r="A636" s="558" t="s">
        <v>277</v>
      </c>
      <c r="B636" s="559" t="s">
        <v>914</v>
      </c>
      <c r="C636" s="573" t="s">
        <v>296</v>
      </c>
      <c r="D636" s="327" t="s">
        <v>298</v>
      </c>
      <c r="E636" s="575" t="s">
        <v>1715</v>
      </c>
      <c r="F636" s="561" t="s">
        <v>946</v>
      </c>
      <c r="G636" s="562" t="s">
        <v>947</v>
      </c>
      <c r="H636" s="563" t="s">
        <v>924</v>
      </c>
      <c r="I636" s="578" t="s">
        <v>925</v>
      </c>
      <c r="J636" s="564" t="s">
        <v>757</v>
      </c>
      <c r="K636" s="561">
        <v>10</v>
      </c>
      <c r="L636" s="338"/>
      <c r="M636" s="565">
        <v>20</v>
      </c>
      <c r="N636" s="579">
        <v>7</v>
      </c>
      <c r="O636" s="566">
        <f t="shared" si="28"/>
        <v>0.35</v>
      </c>
      <c r="P636" s="567">
        <f t="shared" si="29"/>
        <v>3.5</v>
      </c>
      <c r="Q636" s="568">
        <f t="shared" si="27"/>
        <v>3.5</v>
      </c>
      <c r="R636" s="675"/>
    </row>
    <row r="637" spans="1:18" x14ac:dyDescent="0.2">
      <c r="A637" s="558" t="s">
        <v>277</v>
      </c>
      <c r="B637" s="559" t="s">
        <v>914</v>
      </c>
      <c r="C637" s="573" t="s">
        <v>316</v>
      </c>
      <c r="D637" s="327" t="s">
        <v>292</v>
      </c>
      <c r="E637" s="575" t="s">
        <v>1849</v>
      </c>
      <c r="F637" s="561" t="s">
        <v>946</v>
      </c>
      <c r="G637" s="562" t="s">
        <v>947</v>
      </c>
      <c r="H637" s="563" t="s">
        <v>924</v>
      </c>
      <c r="I637" s="578" t="s">
        <v>925</v>
      </c>
      <c r="J637" s="564" t="s">
        <v>757</v>
      </c>
      <c r="K637" s="561">
        <v>0</v>
      </c>
      <c r="L637" s="338" t="s">
        <v>926</v>
      </c>
      <c r="M637" s="565">
        <v>0</v>
      </c>
      <c r="N637" s="579">
        <v>0</v>
      </c>
      <c r="O637" s="566">
        <f t="shared" si="28"/>
        <v>0</v>
      </c>
      <c r="P637" s="567">
        <f t="shared" si="29"/>
        <v>0</v>
      </c>
      <c r="Q637" s="568" t="e">
        <f t="shared" si="27"/>
        <v>#DIV/0!</v>
      </c>
      <c r="R637" s="676" t="s">
        <v>1919</v>
      </c>
    </row>
    <row r="638" spans="1:18" x14ac:dyDescent="0.2">
      <c r="A638" s="558" t="s">
        <v>277</v>
      </c>
      <c r="B638" s="559" t="s">
        <v>914</v>
      </c>
      <c r="C638" s="573" t="s">
        <v>316</v>
      </c>
      <c r="D638" s="327" t="s">
        <v>294</v>
      </c>
      <c r="E638" s="575" t="s">
        <v>1849</v>
      </c>
      <c r="F638" s="561" t="s">
        <v>946</v>
      </c>
      <c r="G638" s="562" t="s">
        <v>947</v>
      </c>
      <c r="H638" s="563" t="s">
        <v>924</v>
      </c>
      <c r="I638" s="578" t="s">
        <v>925</v>
      </c>
      <c r="J638" s="564" t="s">
        <v>757</v>
      </c>
      <c r="K638" s="561">
        <v>0</v>
      </c>
      <c r="L638" s="338" t="s">
        <v>926</v>
      </c>
      <c r="M638" s="565">
        <v>0</v>
      </c>
      <c r="N638" s="579">
        <v>0</v>
      </c>
      <c r="O638" s="566">
        <f t="shared" si="28"/>
        <v>0</v>
      </c>
      <c r="P638" s="567">
        <f t="shared" si="29"/>
        <v>0</v>
      </c>
      <c r="Q638" s="568" t="e">
        <f t="shared" si="27"/>
        <v>#DIV/0!</v>
      </c>
      <c r="R638" s="676" t="s">
        <v>1919</v>
      </c>
    </row>
    <row r="639" spans="1:18" x14ac:dyDescent="0.2">
      <c r="A639" s="558" t="s">
        <v>277</v>
      </c>
      <c r="B639" s="559" t="s">
        <v>914</v>
      </c>
      <c r="C639" s="573" t="s">
        <v>308</v>
      </c>
      <c r="D639" s="327" t="s">
        <v>300</v>
      </c>
      <c r="E639" s="575" t="s">
        <v>1715</v>
      </c>
      <c r="F639" s="561" t="s">
        <v>946</v>
      </c>
      <c r="G639" s="562" t="s">
        <v>947</v>
      </c>
      <c r="H639" s="563" t="s">
        <v>927</v>
      </c>
      <c r="I639" s="578" t="s">
        <v>925</v>
      </c>
      <c r="J639" s="564" t="s">
        <v>757</v>
      </c>
      <c r="K639" s="561">
        <v>38</v>
      </c>
      <c r="L639" s="338"/>
      <c r="M639" s="565">
        <v>51</v>
      </c>
      <c r="N639" s="579">
        <v>1</v>
      </c>
      <c r="O639" s="566">
        <f t="shared" si="28"/>
        <v>1.9607843137254902E-2</v>
      </c>
      <c r="P639" s="567">
        <f t="shared" si="29"/>
        <v>5.1599587203302377E-2</v>
      </c>
      <c r="Q639" s="568">
        <f t="shared" si="27"/>
        <v>5.1599587203302377E-2</v>
      </c>
      <c r="R639" s="675"/>
    </row>
    <row r="640" spans="1:18" x14ac:dyDescent="0.2">
      <c r="A640" s="558" t="s">
        <v>277</v>
      </c>
      <c r="B640" s="559" t="s">
        <v>914</v>
      </c>
      <c r="C640" s="573" t="s">
        <v>308</v>
      </c>
      <c r="D640" s="327" t="s">
        <v>292</v>
      </c>
      <c r="E640" s="575" t="s">
        <v>1850</v>
      </c>
      <c r="F640" s="561" t="s">
        <v>946</v>
      </c>
      <c r="G640" s="562" t="s">
        <v>947</v>
      </c>
      <c r="H640" s="563" t="s">
        <v>924</v>
      </c>
      <c r="I640" s="578" t="s">
        <v>925</v>
      </c>
      <c r="J640" s="564" t="s">
        <v>757</v>
      </c>
      <c r="K640" s="561">
        <v>0</v>
      </c>
      <c r="L640" s="338" t="s">
        <v>926</v>
      </c>
      <c r="M640" s="565">
        <v>7</v>
      </c>
      <c r="N640" s="579">
        <v>2</v>
      </c>
      <c r="O640" s="566">
        <f t="shared" si="28"/>
        <v>0.2857142857142857</v>
      </c>
      <c r="P640" s="567">
        <f t="shared" si="29"/>
        <v>0</v>
      </c>
      <c r="Q640" s="568" t="e">
        <f t="shared" si="27"/>
        <v>#DIV/0!</v>
      </c>
      <c r="R640" s="676" t="s">
        <v>926</v>
      </c>
    </row>
    <row r="641" spans="1:18" x14ac:dyDescent="0.2">
      <c r="A641" s="558" t="s">
        <v>277</v>
      </c>
      <c r="B641" s="559" t="s">
        <v>914</v>
      </c>
      <c r="C641" s="573" t="s">
        <v>308</v>
      </c>
      <c r="D641" s="327" t="s">
        <v>294</v>
      </c>
      <c r="E641" s="575" t="s">
        <v>1850</v>
      </c>
      <c r="F641" s="561" t="s">
        <v>946</v>
      </c>
      <c r="G641" s="562" t="s">
        <v>947</v>
      </c>
      <c r="H641" s="563" t="s">
        <v>924</v>
      </c>
      <c r="I641" s="578" t="s">
        <v>925</v>
      </c>
      <c r="J641" s="564" t="s">
        <v>757</v>
      </c>
      <c r="K641" s="561">
        <v>0</v>
      </c>
      <c r="L641" s="338" t="s">
        <v>926</v>
      </c>
      <c r="M641" s="565">
        <v>1</v>
      </c>
      <c r="N641" s="579">
        <v>0</v>
      </c>
      <c r="O641" s="566">
        <f t="shared" si="28"/>
        <v>0</v>
      </c>
      <c r="P641" s="567">
        <f t="shared" si="29"/>
        <v>0</v>
      </c>
      <c r="Q641" s="568" t="e">
        <f t="shared" si="27"/>
        <v>#DIV/0!</v>
      </c>
      <c r="R641" s="676" t="s">
        <v>926</v>
      </c>
    </row>
    <row r="642" spans="1:18" x14ac:dyDescent="0.2">
      <c r="A642" s="558" t="s">
        <v>277</v>
      </c>
      <c r="B642" s="559" t="s">
        <v>914</v>
      </c>
      <c r="C642" s="573" t="s">
        <v>305</v>
      </c>
      <c r="D642" s="327" t="s">
        <v>300</v>
      </c>
      <c r="E642" s="575" t="s">
        <v>1715</v>
      </c>
      <c r="F642" s="561" t="s">
        <v>946</v>
      </c>
      <c r="G642" s="562" t="s">
        <v>947</v>
      </c>
      <c r="H642" s="563" t="s">
        <v>927</v>
      </c>
      <c r="I642" s="578" t="s">
        <v>925</v>
      </c>
      <c r="J642" s="564" t="s">
        <v>757</v>
      </c>
      <c r="K642" s="561">
        <v>5</v>
      </c>
      <c r="L642" s="338"/>
      <c r="M642" s="565">
        <v>568</v>
      </c>
      <c r="N642" s="579">
        <v>15</v>
      </c>
      <c r="O642" s="566">
        <f t="shared" si="28"/>
        <v>2.6408450704225352E-2</v>
      </c>
      <c r="P642" s="567">
        <f t="shared" si="29"/>
        <v>0.528169014084507</v>
      </c>
      <c r="Q642" s="568">
        <f t="shared" si="27"/>
        <v>0.52816901408450712</v>
      </c>
      <c r="R642" s="675"/>
    </row>
    <row r="643" spans="1:18" x14ac:dyDescent="0.2">
      <c r="A643" s="558" t="s">
        <v>277</v>
      </c>
      <c r="B643" s="559" t="s">
        <v>914</v>
      </c>
      <c r="C643" s="573" t="s">
        <v>305</v>
      </c>
      <c r="D643" s="327" t="s">
        <v>292</v>
      </c>
      <c r="E643" s="575" t="s">
        <v>1715</v>
      </c>
      <c r="F643" s="561" t="s">
        <v>946</v>
      </c>
      <c r="G643" s="562" t="s">
        <v>947</v>
      </c>
      <c r="H643" s="563" t="s">
        <v>924</v>
      </c>
      <c r="I643" s="578" t="s">
        <v>925</v>
      </c>
      <c r="J643" s="564" t="s">
        <v>757</v>
      </c>
      <c r="K643" s="561">
        <v>32</v>
      </c>
      <c r="L643" s="338"/>
      <c r="M643" s="565">
        <v>85</v>
      </c>
      <c r="N643" s="579">
        <v>16</v>
      </c>
      <c r="O643" s="566">
        <f t="shared" si="28"/>
        <v>0.18823529411764706</v>
      </c>
      <c r="P643" s="567">
        <f t="shared" si="29"/>
        <v>0.58823529411764708</v>
      </c>
      <c r="Q643" s="568">
        <f t="shared" si="27"/>
        <v>0.58823529411764708</v>
      </c>
      <c r="R643" s="675"/>
    </row>
    <row r="644" spans="1:18" x14ac:dyDescent="0.2">
      <c r="A644" s="558" t="s">
        <v>277</v>
      </c>
      <c r="B644" s="559" t="s">
        <v>914</v>
      </c>
      <c r="C644" s="573" t="s">
        <v>305</v>
      </c>
      <c r="D644" s="327" t="s">
        <v>294</v>
      </c>
      <c r="E644" s="575" t="s">
        <v>1851</v>
      </c>
      <c r="F644" s="561" t="s">
        <v>946</v>
      </c>
      <c r="G644" s="562" t="s">
        <v>947</v>
      </c>
      <c r="H644" s="563" t="s">
        <v>924</v>
      </c>
      <c r="I644" s="578" t="s">
        <v>925</v>
      </c>
      <c r="J644" s="564" t="s">
        <v>757</v>
      </c>
      <c r="K644" s="561">
        <v>33</v>
      </c>
      <c r="L644" s="338"/>
      <c r="M644" s="565">
        <v>24</v>
      </c>
      <c r="N644" s="579">
        <v>4</v>
      </c>
      <c r="O644" s="566">
        <f t="shared" si="28"/>
        <v>0.16666666666666666</v>
      </c>
      <c r="P644" s="567">
        <f t="shared" si="29"/>
        <v>0.50505050505050508</v>
      </c>
      <c r="Q644" s="568">
        <f t="shared" si="27"/>
        <v>0.50505050505050508</v>
      </c>
      <c r="R644" s="675"/>
    </row>
    <row r="645" spans="1:18" x14ac:dyDescent="0.2">
      <c r="A645" s="558" t="s">
        <v>277</v>
      </c>
      <c r="B645" s="559" t="s">
        <v>914</v>
      </c>
      <c r="C645" s="573" t="s">
        <v>305</v>
      </c>
      <c r="D645" s="327" t="s">
        <v>285</v>
      </c>
      <c r="E645" s="575" t="s">
        <v>1851</v>
      </c>
      <c r="F645" s="561" t="s">
        <v>946</v>
      </c>
      <c r="G645" s="562" t="s">
        <v>947</v>
      </c>
      <c r="H645" s="563" t="s">
        <v>924</v>
      </c>
      <c r="I645" s="578" t="s">
        <v>925</v>
      </c>
      <c r="J645" s="564" t="s">
        <v>757</v>
      </c>
      <c r="K645" s="561">
        <v>0</v>
      </c>
      <c r="L645" s="338" t="s">
        <v>926</v>
      </c>
      <c r="M645" s="565">
        <v>2</v>
      </c>
      <c r="N645" s="579">
        <v>0</v>
      </c>
      <c r="O645" s="566">
        <f t="shared" si="28"/>
        <v>0</v>
      </c>
      <c r="P645" s="567">
        <f t="shared" si="29"/>
        <v>0</v>
      </c>
      <c r="Q645" s="568" t="e">
        <f t="shared" ref="Q645:Q708" si="30">N645/(M645*K645/100)</f>
        <v>#DIV/0!</v>
      </c>
      <c r="R645" s="676" t="s">
        <v>926</v>
      </c>
    </row>
    <row r="646" spans="1:18" x14ac:dyDescent="0.2">
      <c r="A646" s="558" t="s">
        <v>277</v>
      </c>
      <c r="B646" s="559" t="s">
        <v>914</v>
      </c>
      <c r="C646" s="573" t="s">
        <v>97</v>
      </c>
      <c r="D646" s="327" t="s">
        <v>282</v>
      </c>
      <c r="E646" s="575" t="s">
        <v>1843</v>
      </c>
      <c r="F646" s="561" t="s">
        <v>946</v>
      </c>
      <c r="G646" s="562" t="s">
        <v>948</v>
      </c>
      <c r="H646" s="563" t="s">
        <v>924</v>
      </c>
      <c r="I646" s="578" t="s">
        <v>925</v>
      </c>
      <c r="J646" s="564" t="s">
        <v>757</v>
      </c>
      <c r="K646" s="561">
        <v>33</v>
      </c>
      <c r="L646" s="338"/>
      <c r="M646" s="565">
        <v>6</v>
      </c>
      <c r="N646" s="579">
        <v>0</v>
      </c>
      <c r="O646" s="566">
        <f t="shared" ref="O646:O709" si="31">IFERROR(N646/M646,0)</f>
        <v>0</v>
      </c>
      <c r="P646" s="567">
        <f t="shared" ref="P646:P709" si="32">IFERROR(N646/(M646*(K646/100)),0)</f>
        <v>0</v>
      </c>
      <c r="Q646" s="568">
        <f t="shared" si="30"/>
        <v>0</v>
      </c>
      <c r="R646" s="676" t="s">
        <v>1855</v>
      </c>
    </row>
    <row r="647" spans="1:18" x14ac:dyDescent="0.2">
      <c r="A647" s="558" t="s">
        <v>277</v>
      </c>
      <c r="B647" s="559" t="s">
        <v>914</v>
      </c>
      <c r="C647" s="573" t="s">
        <v>97</v>
      </c>
      <c r="D647" s="327" t="s">
        <v>285</v>
      </c>
      <c r="E647" s="575" t="s">
        <v>1843</v>
      </c>
      <c r="F647" s="561" t="s">
        <v>946</v>
      </c>
      <c r="G647" s="562" t="s">
        <v>948</v>
      </c>
      <c r="H647" s="563" t="s">
        <v>924</v>
      </c>
      <c r="I647" s="578" t="s">
        <v>925</v>
      </c>
      <c r="J647" s="564" t="s">
        <v>757</v>
      </c>
      <c r="K647" s="561">
        <v>0</v>
      </c>
      <c r="L647" s="338" t="s">
        <v>926</v>
      </c>
      <c r="M647" s="565">
        <v>8</v>
      </c>
      <c r="N647" s="579">
        <v>0</v>
      </c>
      <c r="O647" s="566">
        <f t="shared" si="31"/>
        <v>0</v>
      </c>
      <c r="P647" s="567">
        <f t="shared" si="32"/>
        <v>0</v>
      </c>
      <c r="Q647" s="568" t="e">
        <f t="shared" si="30"/>
        <v>#DIV/0!</v>
      </c>
      <c r="R647" s="676" t="s">
        <v>926</v>
      </c>
    </row>
    <row r="648" spans="1:18" x14ac:dyDescent="0.2">
      <c r="A648" s="558" t="s">
        <v>277</v>
      </c>
      <c r="B648" s="559" t="s">
        <v>914</v>
      </c>
      <c r="C648" s="573" t="s">
        <v>286</v>
      </c>
      <c r="D648" s="327" t="s">
        <v>300</v>
      </c>
      <c r="E648" s="575" t="s">
        <v>1715</v>
      </c>
      <c r="F648" s="561" t="s">
        <v>946</v>
      </c>
      <c r="G648" s="562" t="s">
        <v>948</v>
      </c>
      <c r="H648" s="563" t="s">
        <v>927</v>
      </c>
      <c r="I648" s="578" t="s">
        <v>925</v>
      </c>
      <c r="J648" s="564" t="s">
        <v>757</v>
      </c>
      <c r="K648" s="561">
        <v>0</v>
      </c>
      <c r="L648" s="338" t="s">
        <v>926</v>
      </c>
      <c r="M648" s="565">
        <v>39</v>
      </c>
      <c r="N648" s="579">
        <v>4</v>
      </c>
      <c r="O648" s="566">
        <f t="shared" si="31"/>
        <v>0.10256410256410256</v>
      </c>
      <c r="P648" s="567">
        <f t="shared" si="32"/>
        <v>0</v>
      </c>
      <c r="Q648" s="568" t="e">
        <f t="shared" si="30"/>
        <v>#DIV/0!</v>
      </c>
      <c r="R648" s="676" t="s">
        <v>926</v>
      </c>
    </row>
    <row r="649" spans="1:18" x14ac:dyDescent="0.2">
      <c r="A649" s="558" t="s">
        <v>277</v>
      </c>
      <c r="B649" s="559" t="s">
        <v>914</v>
      </c>
      <c r="C649" s="573" t="s">
        <v>286</v>
      </c>
      <c r="D649" s="327" t="s">
        <v>292</v>
      </c>
      <c r="E649" s="575" t="s">
        <v>1715</v>
      </c>
      <c r="F649" s="561" t="s">
        <v>946</v>
      </c>
      <c r="G649" s="562" t="s">
        <v>948</v>
      </c>
      <c r="H649" s="563" t="s">
        <v>924</v>
      </c>
      <c r="I649" s="578" t="s">
        <v>925</v>
      </c>
      <c r="J649" s="564" t="s">
        <v>757</v>
      </c>
      <c r="K649" s="561">
        <v>26</v>
      </c>
      <c r="L649" s="338"/>
      <c r="M649" s="565">
        <v>12</v>
      </c>
      <c r="N649" s="579">
        <v>3</v>
      </c>
      <c r="O649" s="566">
        <f t="shared" si="31"/>
        <v>0.25</v>
      </c>
      <c r="P649" s="567">
        <f t="shared" si="32"/>
        <v>0.96153846153846145</v>
      </c>
      <c r="Q649" s="568">
        <f t="shared" si="30"/>
        <v>0.96153846153846145</v>
      </c>
      <c r="R649" s="675"/>
    </row>
    <row r="650" spans="1:18" x14ac:dyDescent="0.2">
      <c r="A650" s="558" t="s">
        <v>277</v>
      </c>
      <c r="B650" s="559" t="s">
        <v>914</v>
      </c>
      <c r="C650" s="573" t="s">
        <v>286</v>
      </c>
      <c r="D650" s="327" t="s">
        <v>294</v>
      </c>
      <c r="E650" s="575" t="s">
        <v>1715</v>
      </c>
      <c r="F650" s="561" t="s">
        <v>946</v>
      </c>
      <c r="G650" s="562" t="s">
        <v>948</v>
      </c>
      <c r="H650" s="563" t="s">
        <v>924</v>
      </c>
      <c r="I650" s="578" t="s">
        <v>925</v>
      </c>
      <c r="J650" s="564" t="s">
        <v>757</v>
      </c>
      <c r="K650" s="561">
        <v>16</v>
      </c>
      <c r="L650" s="338"/>
      <c r="M650" s="565">
        <v>40</v>
      </c>
      <c r="N650" s="579">
        <v>7</v>
      </c>
      <c r="O650" s="566">
        <f t="shared" si="31"/>
        <v>0.17499999999999999</v>
      </c>
      <c r="P650" s="567">
        <f t="shared" si="32"/>
        <v>1.09375</v>
      </c>
      <c r="Q650" s="568">
        <f t="shared" si="30"/>
        <v>1.09375</v>
      </c>
      <c r="R650" s="675"/>
    </row>
    <row r="651" spans="1:18" x14ac:dyDescent="0.2">
      <c r="A651" s="558" t="s">
        <v>277</v>
      </c>
      <c r="B651" s="559" t="s">
        <v>914</v>
      </c>
      <c r="C651" s="573" t="s">
        <v>286</v>
      </c>
      <c r="D651" s="327" t="s">
        <v>282</v>
      </c>
      <c r="E651" s="575" t="s">
        <v>1715</v>
      </c>
      <c r="F651" s="561" t="s">
        <v>946</v>
      </c>
      <c r="G651" s="562" t="s">
        <v>948</v>
      </c>
      <c r="H651" s="563" t="s">
        <v>924</v>
      </c>
      <c r="I651" s="578" t="s">
        <v>925</v>
      </c>
      <c r="J651" s="564" t="s">
        <v>757</v>
      </c>
      <c r="K651" s="561">
        <v>6</v>
      </c>
      <c r="L651" s="338"/>
      <c r="M651" s="565">
        <v>68</v>
      </c>
      <c r="N651" s="579">
        <v>11</v>
      </c>
      <c r="O651" s="566">
        <f t="shared" si="31"/>
        <v>0.16176470588235295</v>
      </c>
      <c r="P651" s="567">
        <f t="shared" si="32"/>
        <v>2.6960784313725488</v>
      </c>
      <c r="Q651" s="568">
        <f t="shared" si="30"/>
        <v>2.6960784313725488</v>
      </c>
      <c r="R651" s="675"/>
    </row>
    <row r="652" spans="1:18" x14ac:dyDescent="0.2">
      <c r="A652" s="558" t="s">
        <v>277</v>
      </c>
      <c r="B652" s="559" t="s">
        <v>914</v>
      </c>
      <c r="C652" s="573" t="s">
        <v>286</v>
      </c>
      <c r="D652" s="327" t="s">
        <v>285</v>
      </c>
      <c r="E652" s="575" t="s">
        <v>1715</v>
      </c>
      <c r="F652" s="561" t="s">
        <v>946</v>
      </c>
      <c r="G652" s="562" t="s">
        <v>948</v>
      </c>
      <c r="H652" s="563" t="s">
        <v>924</v>
      </c>
      <c r="I652" s="578" t="s">
        <v>925</v>
      </c>
      <c r="J652" s="564" t="s">
        <v>757</v>
      </c>
      <c r="K652" s="561">
        <v>8</v>
      </c>
      <c r="L652" s="338"/>
      <c r="M652" s="565">
        <v>47</v>
      </c>
      <c r="N652" s="579">
        <v>8</v>
      </c>
      <c r="O652" s="566">
        <f t="shared" si="31"/>
        <v>0.1702127659574468</v>
      </c>
      <c r="P652" s="567">
        <f t="shared" si="32"/>
        <v>2.1276595744680851</v>
      </c>
      <c r="Q652" s="568">
        <f t="shared" si="30"/>
        <v>2.1276595744680851</v>
      </c>
      <c r="R652" s="675"/>
    </row>
    <row r="653" spans="1:18" x14ac:dyDescent="0.2">
      <c r="A653" s="558" t="s">
        <v>277</v>
      </c>
      <c r="B653" s="559" t="s">
        <v>914</v>
      </c>
      <c r="C653" s="573" t="s">
        <v>303</v>
      </c>
      <c r="D653" s="327" t="s">
        <v>300</v>
      </c>
      <c r="E653" s="575" t="s">
        <v>1715</v>
      </c>
      <c r="F653" s="561" t="s">
        <v>946</v>
      </c>
      <c r="G653" s="562" t="s">
        <v>948</v>
      </c>
      <c r="H653" s="563" t="s">
        <v>927</v>
      </c>
      <c r="I653" s="578" t="s">
        <v>925</v>
      </c>
      <c r="J653" s="564" t="s">
        <v>757</v>
      </c>
      <c r="K653" s="561">
        <v>28.999999999999996</v>
      </c>
      <c r="L653" s="338"/>
      <c r="M653" s="565">
        <v>144</v>
      </c>
      <c r="N653" s="579">
        <v>4</v>
      </c>
      <c r="O653" s="566">
        <f t="shared" si="31"/>
        <v>2.7777777777777776E-2</v>
      </c>
      <c r="P653" s="567">
        <f t="shared" si="32"/>
        <v>9.5785440613026823E-2</v>
      </c>
      <c r="Q653" s="568">
        <f t="shared" si="30"/>
        <v>9.5785440613026837E-2</v>
      </c>
      <c r="R653" s="675"/>
    </row>
    <row r="654" spans="1:18" x14ac:dyDescent="0.2">
      <c r="A654" s="558" t="s">
        <v>277</v>
      </c>
      <c r="B654" s="559" t="s">
        <v>914</v>
      </c>
      <c r="C654" s="573" t="s">
        <v>303</v>
      </c>
      <c r="D654" s="327" t="s">
        <v>292</v>
      </c>
      <c r="E654" s="575" t="s">
        <v>1844</v>
      </c>
      <c r="F654" s="561" t="s">
        <v>946</v>
      </c>
      <c r="G654" s="562" t="s">
        <v>948</v>
      </c>
      <c r="H654" s="563" t="s">
        <v>924</v>
      </c>
      <c r="I654" s="578" t="s">
        <v>925</v>
      </c>
      <c r="J654" s="564" t="s">
        <v>757</v>
      </c>
      <c r="K654" s="561">
        <v>8</v>
      </c>
      <c r="L654" s="338"/>
      <c r="M654" s="565">
        <v>42</v>
      </c>
      <c r="N654" s="579">
        <v>1</v>
      </c>
      <c r="O654" s="566">
        <f t="shared" si="31"/>
        <v>2.3809523809523808E-2</v>
      </c>
      <c r="P654" s="567">
        <f t="shared" si="32"/>
        <v>0.29761904761904762</v>
      </c>
      <c r="Q654" s="568">
        <f t="shared" si="30"/>
        <v>0.29761904761904762</v>
      </c>
      <c r="R654" s="675"/>
    </row>
    <row r="655" spans="1:18" x14ac:dyDescent="0.2">
      <c r="A655" s="558" t="s">
        <v>277</v>
      </c>
      <c r="B655" s="559" t="s">
        <v>914</v>
      </c>
      <c r="C655" s="573" t="s">
        <v>303</v>
      </c>
      <c r="D655" s="327" t="s">
        <v>294</v>
      </c>
      <c r="E655" s="575" t="s">
        <v>1844</v>
      </c>
      <c r="F655" s="561" t="s">
        <v>946</v>
      </c>
      <c r="G655" s="562" t="s">
        <v>948</v>
      </c>
      <c r="H655" s="563" t="s">
        <v>924</v>
      </c>
      <c r="I655" s="578" t="s">
        <v>925</v>
      </c>
      <c r="J655" s="564" t="s">
        <v>757</v>
      </c>
      <c r="K655" s="561">
        <v>0</v>
      </c>
      <c r="L655" s="338" t="s">
        <v>926</v>
      </c>
      <c r="M655" s="565">
        <v>10</v>
      </c>
      <c r="N655" s="579">
        <v>1</v>
      </c>
      <c r="O655" s="566">
        <f t="shared" si="31"/>
        <v>0.1</v>
      </c>
      <c r="P655" s="567">
        <f t="shared" si="32"/>
        <v>0</v>
      </c>
      <c r="Q655" s="568" t="e">
        <f t="shared" si="30"/>
        <v>#DIV/0!</v>
      </c>
      <c r="R655" s="676" t="s">
        <v>926</v>
      </c>
    </row>
    <row r="656" spans="1:18" x14ac:dyDescent="0.2">
      <c r="A656" s="558" t="s">
        <v>277</v>
      </c>
      <c r="B656" s="559" t="s">
        <v>914</v>
      </c>
      <c r="C656" s="573" t="s">
        <v>303</v>
      </c>
      <c r="D656" s="327" t="s">
        <v>282</v>
      </c>
      <c r="E656" s="575" t="s">
        <v>1845</v>
      </c>
      <c r="F656" s="561" t="s">
        <v>946</v>
      </c>
      <c r="G656" s="562" t="s">
        <v>948</v>
      </c>
      <c r="H656" s="563" t="s">
        <v>924</v>
      </c>
      <c r="I656" s="578" t="s">
        <v>925</v>
      </c>
      <c r="J656" s="564" t="s">
        <v>757</v>
      </c>
      <c r="K656" s="561">
        <v>0</v>
      </c>
      <c r="L656" s="338" t="s">
        <v>926</v>
      </c>
      <c r="M656" s="565">
        <v>2</v>
      </c>
      <c r="N656" s="579">
        <v>0</v>
      </c>
      <c r="O656" s="566">
        <f t="shared" si="31"/>
        <v>0</v>
      </c>
      <c r="P656" s="567">
        <f t="shared" si="32"/>
        <v>0</v>
      </c>
      <c r="Q656" s="568" t="e">
        <f t="shared" si="30"/>
        <v>#DIV/0!</v>
      </c>
      <c r="R656" s="676" t="s">
        <v>926</v>
      </c>
    </row>
    <row r="657" spans="1:18" x14ac:dyDescent="0.2">
      <c r="A657" s="558" t="s">
        <v>277</v>
      </c>
      <c r="B657" s="559" t="s">
        <v>914</v>
      </c>
      <c r="C657" s="573" t="s">
        <v>303</v>
      </c>
      <c r="D657" s="327" t="s">
        <v>285</v>
      </c>
      <c r="E657" s="575" t="s">
        <v>1845</v>
      </c>
      <c r="F657" s="561" t="s">
        <v>946</v>
      </c>
      <c r="G657" s="562" t="s">
        <v>948</v>
      </c>
      <c r="H657" s="563" t="s">
        <v>924</v>
      </c>
      <c r="I657" s="578" t="s">
        <v>925</v>
      </c>
      <c r="J657" s="564" t="s">
        <v>757</v>
      </c>
      <c r="K657" s="561">
        <v>0</v>
      </c>
      <c r="L657" s="338" t="s">
        <v>926</v>
      </c>
      <c r="M657" s="565">
        <v>5</v>
      </c>
      <c r="N657" s="579">
        <v>0</v>
      </c>
      <c r="O657" s="566">
        <f t="shared" si="31"/>
        <v>0</v>
      </c>
      <c r="P657" s="567">
        <f t="shared" si="32"/>
        <v>0</v>
      </c>
      <c r="Q657" s="568" t="e">
        <f t="shared" si="30"/>
        <v>#DIV/0!</v>
      </c>
      <c r="R657" s="676" t="s">
        <v>926</v>
      </c>
    </row>
    <row r="658" spans="1:18" x14ac:dyDescent="0.2">
      <c r="A658" s="558" t="s">
        <v>277</v>
      </c>
      <c r="B658" s="559" t="s">
        <v>914</v>
      </c>
      <c r="C658" s="573" t="s">
        <v>99</v>
      </c>
      <c r="D658" s="327" t="s">
        <v>300</v>
      </c>
      <c r="E658" s="575" t="s">
        <v>1715</v>
      </c>
      <c r="F658" s="561" t="s">
        <v>946</v>
      </c>
      <c r="G658" s="562" t="s">
        <v>948</v>
      </c>
      <c r="H658" s="563" t="s">
        <v>927</v>
      </c>
      <c r="I658" s="578" t="s">
        <v>925</v>
      </c>
      <c r="J658" s="564" t="s">
        <v>757</v>
      </c>
      <c r="K658" s="561">
        <v>17</v>
      </c>
      <c r="L658" s="338"/>
      <c r="M658" s="565">
        <v>158</v>
      </c>
      <c r="N658" s="579">
        <v>5</v>
      </c>
      <c r="O658" s="566">
        <f t="shared" si="31"/>
        <v>3.1645569620253167E-2</v>
      </c>
      <c r="P658" s="567">
        <f t="shared" si="32"/>
        <v>0.18615040953090095</v>
      </c>
      <c r="Q658" s="568">
        <f t="shared" si="30"/>
        <v>0.18615040953090098</v>
      </c>
      <c r="R658" s="675"/>
    </row>
    <row r="659" spans="1:18" x14ac:dyDescent="0.2">
      <c r="A659" s="558" t="s">
        <v>277</v>
      </c>
      <c r="B659" s="559" t="s">
        <v>914</v>
      </c>
      <c r="C659" s="573" t="s">
        <v>99</v>
      </c>
      <c r="D659" s="327" t="s">
        <v>292</v>
      </c>
      <c r="E659" s="575" t="s">
        <v>1715</v>
      </c>
      <c r="F659" s="561" t="s">
        <v>946</v>
      </c>
      <c r="G659" s="562" t="s">
        <v>948</v>
      </c>
      <c r="H659" s="563" t="s">
        <v>924</v>
      </c>
      <c r="I659" s="578" t="s">
        <v>925</v>
      </c>
      <c r="J659" s="564" t="s">
        <v>757</v>
      </c>
      <c r="K659" s="561">
        <v>36</v>
      </c>
      <c r="L659" s="338"/>
      <c r="M659" s="565">
        <v>7</v>
      </c>
      <c r="N659" s="579">
        <v>1</v>
      </c>
      <c r="O659" s="566">
        <f t="shared" si="31"/>
        <v>0.14285714285714285</v>
      </c>
      <c r="P659" s="567">
        <f t="shared" si="32"/>
        <v>0.3968253968253968</v>
      </c>
      <c r="Q659" s="568">
        <f t="shared" si="30"/>
        <v>0.3968253968253968</v>
      </c>
      <c r="R659" s="675"/>
    </row>
    <row r="660" spans="1:18" x14ac:dyDescent="0.2">
      <c r="A660" s="558" t="s">
        <v>277</v>
      </c>
      <c r="B660" s="559" t="s">
        <v>914</v>
      </c>
      <c r="C660" s="573" t="s">
        <v>99</v>
      </c>
      <c r="D660" s="327" t="s">
        <v>294</v>
      </c>
      <c r="E660" s="575" t="s">
        <v>1846</v>
      </c>
      <c r="F660" s="561" t="s">
        <v>946</v>
      </c>
      <c r="G660" s="562" t="s">
        <v>948</v>
      </c>
      <c r="H660" s="563" t="s">
        <v>924</v>
      </c>
      <c r="I660" s="578" t="s">
        <v>925</v>
      </c>
      <c r="J660" s="564" t="s">
        <v>757</v>
      </c>
      <c r="K660" s="561">
        <v>80</v>
      </c>
      <c r="L660" s="338"/>
      <c r="M660" s="565">
        <v>8</v>
      </c>
      <c r="N660" s="579">
        <v>3</v>
      </c>
      <c r="O660" s="566">
        <f t="shared" si="31"/>
        <v>0.375</v>
      </c>
      <c r="P660" s="567">
        <f t="shared" si="32"/>
        <v>0.46875</v>
      </c>
      <c r="Q660" s="568">
        <f t="shared" si="30"/>
        <v>0.46875</v>
      </c>
      <c r="R660" s="675"/>
    </row>
    <row r="661" spans="1:18" x14ac:dyDescent="0.2">
      <c r="A661" s="558" t="s">
        <v>277</v>
      </c>
      <c r="B661" s="559" t="s">
        <v>914</v>
      </c>
      <c r="C661" s="573" t="s">
        <v>99</v>
      </c>
      <c r="D661" s="327" t="s">
        <v>282</v>
      </c>
      <c r="E661" s="575" t="s">
        <v>1846</v>
      </c>
      <c r="F661" s="561" t="s">
        <v>946</v>
      </c>
      <c r="G661" s="562" t="s">
        <v>948</v>
      </c>
      <c r="H661" s="563" t="s">
        <v>924</v>
      </c>
      <c r="I661" s="578" t="s">
        <v>925</v>
      </c>
      <c r="J661" s="564" t="s">
        <v>757</v>
      </c>
      <c r="K661" s="561">
        <v>0</v>
      </c>
      <c r="L661" s="338" t="s">
        <v>926</v>
      </c>
      <c r="M661" s="565">
        <v>4</v>
      </c>
      <c r="N661" s="579">
        <v>0</v>
      </c>
      <c r="O661" s="566">
        <f t="shared" si="31"/>
        <v>0</v>
      </c>
      <c r="P661" s="567">
        <f t="shared" si="32"/>
        <v>0</v>
      </c>
      <c r="Q661" s="568" t="e">
        <f t="shared" si="30"/>
        <v>#DIV/0!</v>
      </c>
      <c r="R661" s="676" t="s">
        <v>926</v>
      </c>
    </row>
    <row r="662" spans="1:18" x14ac:dyDescent="0.2">
      <c r="A662" s="558" t="s">
        <v>277</v>
      </c>
      <c r="B662" s="559" t="s">
        <v>914</v>
      </c>
      <c r="C662" s="573" t="s">
        <v>99</v>
      </c>
      <c r="D662" s="327" t="s">
        <v>285</v>
      </c>
      <c r="E662" s="575" t="s">
        <v>1846</v>
      </c>
      <c r="F662" s="561" t="s">
        <v>946</v>
      </c>
      <c r="G662" s="562" t="s">
        <v>948</v>
      </c>
      <c r="H662" s="563" t="s">
        <v>924</v>
      </c>
      <c r="I662" s="578" t="s">
        <v>925</v>
      </c>
      <c r="J662" s="564" t="s">
        <v>757</v>
      </c>
      <c r="K662" s="561">
        <v>0</v>
      </c>
      <c r="L662" s="338" t="s">
        <v>926</v>
      </c>
      <c r="M662" s="565">
        <v>1</v>
      </c>
      <c r="N662" s="579">
        <v>0</v>
      </c>
      <c r="O662" s="566">
        <f t="shared" si="31"/>
        <v>0</v>
      </c>
      <c r="P662" s="567">
        <f t="shared" si="32"/>
        <v>0</v>
      </c>
      <c r="Q662" s="568" t="e">
        <f t="shared" si="30"/>
        <v>#DIV/0!</v>
      </c>
      <c r="R662" s="676" t="s">
        <v>926</v>
      </c>
    </row>
    <row r="663" spans="1:18" x14ac:dyDescent="0.2">
      <c r="A663" s="558" t="s">
        <v>277</v>
      </c>
      <c r="B663" s="559" t="s">
        <v>914</v>
      </c>
      <c r="C663" s="573" t="s">
        <v>296</v>
      </c>
      <c r="D663" s="327" t="s">
        <v>300</v>
      </c>
      <c r="E663" s="575" t="s">
        <v>1847</v>
      </c>
      <c r="F663" s="561" t="s">
        <v>946</v>
      </c>
      <c r="G663" s="562" t="s">
        <v>948</v>
      </c>
      <c r="H663" s="563" t="s">
        <v>927</v>
      </c>
      <c r="I663" s="578" t="s">
        <v>925</v>
      </c>
      <c r="J663" s="564" t="s">
        <v>757</v>
      </c>
      <c r="K663" s="561">
        <v>13</v>
      </c>
      <c r="L663" s="338"/>
      <c r="M663" s="565">
        <v>0</v>
      </c>
      <c r="N663" s="579">
        <v>0</v>
      </c>
      <c r="O663" s="566">
        <f t="shared" si="31"/>
        <v>0</v>
      </c>
      <c r="P663" s="567">
        <f t="shared" si="32"/>
        <v>0</v>
      </c>
      <c r="Q663" s="568" t="e">
        <f t="shared" si="30"/>
        <v>#DIV/0!</v>
      </c>
      <c r="R663" s="676" t="s">
        <v>1919</v>
      </c>
    </row>
    <row r="664" spans="1:18" x14ac:dyDescent="0.2">
      <c r="A664" s="558" t="s">
        <v>277</v>
      </c>
      <c r="B664" s="559" t="s">
        <v>914</v>
      </c>
      <c r="C664" s="573" t="s">
        <v>296</v>
      </c>
      <c r="D664" s="327" t="s">
        <v>292</v>
      </c>
      <c r="E664" s="575" t="s">
        <v>1847</v>
      </c>
      <c r="F664" s="561" t="s">
        <v>946</v>
      </c>
      <c r="G664" s="562" t="s">
        <v>948</v>
      </c>
      <c r="H664" s="563" t="s">
        <v>924</v>
      </c>
      <c r="I664" s="578" t="s">
        <v>925</v>
      </c>
      <c r="J664" s="564" t="s">
        <v>757</v>
      </c>
      <c r="K664" s="561">
        <v>0</v>
      </c>
      <c r="L664" s="338" t="s">
        <v>926</v>
      </c>
      <c r="M664" s="565">
        <v>3</v>
      </c>
      <c r="N664" s="579">
        <v>0</v>
      </c>
      <c r="O664" s="566">
        <f t="shared" si="31"/>
        <v>0</v>
      </c>
      <c r="P664" s="567">
        <f t="shared" si="32"/>
        <v>0</v>
      </c>
      <c r="Q664" s="568" t="e">
        <f t="shared" si="30"/>
        <v>#DIV/0!</v>
      </c>
      <c r="R664" s="676" t="s">
        <v>926</v>
      </c>
    </row>
    <row r="665" spans="1:18" x14ac:dyDescent="0.2">
      <c r="A665" s="558" t="s">
        <v>277</v>
      </c>
      <c r="B665" s="559" t="s">
        <v>914</v>
      </c>
      <c r="C665" s="573" t="s">
        <v>296</v>
      </c>
      <c r="D665" s="327" t="s">
        <v>294</v>
      </c>
      <c r="E665" s="575" t="s">
        <v>1848</v>
      </c>
      <c r="F665" s="561" t="s">
        <v>946</v>
      </c>
      <c r="G665" s="562" t="s">
        <v>948</v>
      </c>
      <c r="H665" s="563" t="s">
        <v>924</v>
      </c>
      <c r="I665" s="578" t="s">
        <v>925</v>
      </c>
      <c r="J665" s="564" t="s">
        <v>757</v>
      </c>
      <c r="K665" s="561">
        <v>0</v>
      </c>
      <c r="L665" s="338" t="s">
        <v>926</v>
      </c>
      <c r="M665" s="565">
        <v>1</v>
      </c>
      <c r="N665" s="579">
        <v>0</v>
      </c>
      <c r="O665" s="566">
        <f t="shared" si="31"/>
        <v>0</v>
      </c>
      <c r="P665" s="567">
        <f t="shared" si="32"/>
        <v>0</v>
      </c>
      <c r="Q665" s="568" t="e">
        <f t="shared" si="30"/>
        <v>#DIV/0!</v>
      </c>
      <c r="R665" s="676" t="s">
        <v>926</v>
      </c>
    </row>
    <row r="666" spans="1:18" x14ac:dyDescent="0.2">
      <c r="A666" s="558" t="s">
        <v>277</v>
      </c>
      <c r="B666" s="559" t="s">
        <v>914</v>
      </c>
      <c r="C666" s="573" t="s">
        <v>296</v>
      </c>
      <c r="D666" s="327" t="s">
        <v>282</v>
      </c>
      <c r="E666" s="575" t="s">
        <v>1848</v>
      </c>
      <c r="F666" s="561" t="s">
        <v>946</v>
      </c>
      <c r="G666" s="562" t="s">
        <v>948</v>
      </c>
      <c r="H666" s="563" t="s">
        <v>924</v>
      </c>
      <c r="I666" s="578" t="s">
        <v>925</v>
      </c>
      <c r="J666" s="564" t="s">
        <v>757</v>
      </c>
      <c r="K666" s="561">
        <v>0</v>
      </c>
      <c r="L666" s="338" t="s">
        <v>926</v>
      </c>
      <c r="M666" s="565">
        <v>2</v>
      </c>
      <c r="N666" s="579">
        <v>0</v>
      </c>
      <c r="O666" s="566">
        <f t="shared" si="31"/>
        <v>0</v>
      </c>
      <c r="P666" s="567">
        <f t="shared" si="32"/>
        <v>0</v>
      </c>
      <c r="Q666" s="568" t="e">
        <f t="shared" si="30"/>
        <v>#DIV/0!</v>
      </c>
      <c r="R666" s="676" t="s">
        <v>926</v>
      </c>
    </row>
    <row r="667" spans="1:18" x14ac:dyDescent="0.2">
      <c r="A667" s="558" t="s">
        <v>277</v>
      </c>
      <c r="B667" s="559" t="s">
        <v>914</v>
      </c>
      <c r="C667" s="573" t="s">
        <v>296</v>
      </c>
      <c r="D667" s="327" t="s">
        <v>285</v>
      </c>
      <c r="E667" s="575" t="s">
        <v>1715</v>
      </c>
      <c r="F667" s="561" t="s">
        <v>946</v>
      </c>
      <c r="G667" s="562" t="s">
        <v>948</v>
      </c>
      <c r="H667" s="563" t="s">
        <v>924</v>
      </c>
      <c r="I667" s="578" t="s">
        <v>925</v>
      </c>
      <c r="J667" s="564" t="s">
        <v>757</v>
      </c>
      <c r="K667" s="561">
        <v>25</v>
      </c>
      <c r="L667" s="338"/>
      <c r="M667" s="565">
        <v>11</v>
      </c>
      <c r="N667" s="579">
        <v>4</v>
      </c>
      <c r="O667" s="566">
        <f t="shared" si="31"/>
        <v>0.36363636363636365</v>
      </c>
      <c r="P667" s="567">
        <f t="shared" si="32"/>
        <v>1.4545454545454546</v>
      </c>
      <c r="Q667" s="568">
        <f t="shared" si="30"/>
        <v>1.4545454545454546</v>
      </c>
      <c r="R667" s="675"/>
    </row>
    <row r="668" spans="1:18" x14ac:dyDescent="0.2">
      <c r="A668" s="558" t="s">
        <v>277</v>
      </c>
      <c r="B668" s="559" t="s">
        <v>914</v>
      </c>
      <c r="C668" s="573" t="s">
        <v>296</v>
      </c>
      <c r="D668" s="327" t="s">
        <v>298</v>
      </c>
      <c r="E668" s="575" t="s">
        <v>1715</v>
      </c>
      <c r="F668" s="561" t="s">
        <v>946</v>
      </c>
      <c r="G668" s="562" t="s">
        <v>948</v>
      </c>
      <c r="H668" s="563" t="s">
        <v>924</v>
      </c>
      <c r="I668" s="578" t="s">
        <v>925</v>
      </c>
      <c r="J668" s="564" t="s">
        <v>757</v>
      </c>
      <c r="K668" s="561">
        <v>10</v>
      </c>
      <c r="L668" s="338"/>
      <c r="M668" s="565">
        <v>20</v>
      </c>
      <c r="N668" s="579">
        <v>7</v>
      </c>
      <c r="O668" s="566">
        <f t="shared" si="31"/>
        <v>0.35</v>
      </c>
      <c r="P668" s="567">
        <f t="shared" si="32"/>
        <v>3.5</v>
      </c>
      <c r="Q668" s="568">
        <f t="shared" si="30"/>
        <v>3.5</v>
      </c>
      <c r="R668" s="675"/>
    </row>
    <row r="669" spans="1:18" x14ac:dyDescent="0.2">
      <c r="A669" s="558" t="s">
        <v>277</v>
      </c>
      <c r="B669" s="559" t="s">
        <v>914</v>
      </c>
      <c r="C669" s="573" t="s">
        <v>316</v>
      </c>
      <c r="D669" s="327" t="s">
        <v>292</v>
      </c>
      <c r="E669" s="575" t="s">
        <v>1849</v>
      </c>
      <c r="F669" s="561" t="s">
        <v>946</v>
      </c>
      <c r="G669" s="562" t="s">
        <v>948</v>
      </c>
      <c r="H669" s="563" t="s">
        <v>924</v>
      </c>
      <c r="I669" s="578" t="s">
        <v>925</v>
      </c>
      <c r="J669" s="564" t="s">
        <v>757</v>
      </c>
      <c r="K669" s="561">
        <v>0</v>
      </c>
      <c r="L669" s="338" t="s">
        <v>926</v>
      </c>
      <c r="M669" s="565">
        <v>0</v>
      </c>
      <c r="N669" s="579">
        <v>0</v>
      </c>
      <c r="O669" s="566">
        <f t="shared" si="31"/>
        <v>0</v>
      </c>
      <c r="P669" s="567">
        <f t="shared" si="32"/>
        <v>0</v>
      </c>
      <c r="Q669" s="568" t="e">
        <f t="shared" si="30"/>
        <v>#DIV/0!</v>
      </c>
      <c r="R669" s="676" t="s">
        <v>1919</v>
      </c>
    </row>
    <row r="670" spans="1:18" x14ac:dyDescent="0.2">
      <c r="A670" s="558" t="s">
        <v>277</v>
      </c>
      <c r="B670" s="559" t="s">
        <v>914</v>
      </c>
      <c r="C670" s="573" t="s">
        <v>316</v>
      </c>
      <c r="D670" s="327" t="s">
        <v>294</v>
      </c>
      <c r="E670" s="575" t="s">
        <v>1849</v>
      </c>
      <c r="F670" s="561" t="s">
        <v>946</v>
      </c>
      <c r="G670" s="562" t="s">
        <v>948</v>
      </c>
      <c r="H670" s="563" t="s">
        <v>924</v>
      </c>
      <c r="I670" s="578" t="s">
        <v>925</v>
      </c>
      <c r="J670" s="564" t="s">
        <v>757</v>
      </c>
      <c r="K670" s="561">
        <v>0</v>
      </c>
      <c r="L670" s="338" t="s">
        <v>926</v>
      </c>
      <c r="M670" s="565">
        <v>0</v>
      </c>
      <c r="N670" s="579">
        <v>0</v>
      </c>
      <c r="O670" s="566">
        <f t="shared" si="31"/>
        <v>0</v>
      </c>
      <c r="P670" s="567">
        <f t="shared" si="32"/>
        <v>0</v>
      </c>
      <c r="Q670" s="568" t="e">
        <f t="shared" si="30"/>
        <v>#DIV/0!</v>
      </c>
      <c r="R670" s="676" t="s">
        <v>1919</v>
      </c>
    </row>
    <row r="671" spans="1:18" x14ac:dyDescent="0.2">
      <c r="A671" s="558" t="s">
        <v>277</v>
      </c>
      <c r="B671" s="559" t="s">
        <v>914</v>
      </c>
      <c r="C671" s="573" t="s">
        <v>308</v>
      </c>
      <c r="D671" s="327" t="s">
        <v>300</v>
      </c>
      <c r="E671" s="575" t="s">
        <v>1715</v>
      </c>
      <c r="F671" s="561" t="s">
        <v>946</v>
      </c>
      <c r="G671" s="562" t="s">
        <v>948</v>
      </c>
      <c r="H671" s="563" t="s">
        <v>927</v>
      </c>
      <c r="I671" s="578" t="s">
        <v>925</v>
      </c>
      <c r="J671" s="564" t="s">
        <v>757</v>
      </c>
      <c r="K671" s="561">
        <v>38</v>
      </c>
      <c r="L671" s="338"/>
      <c r="M671" s="565">
        <v>51</v>
      </c>
      <c r="N671" s="579">
        <v>1</v>
      </c>
      <c r="O671" s="566">
        <f t="shared" si="31"/>
        <v>1.9607843137254902E-2</v>
      </c>
      <c r="P671" s="567">
        <f t="shared" si="32"/>
        <v>5.1599587203302377E-2</v>
      </c>
      <c r="Q671" s="568">
        <f t="shared" si="30"/>
        <v>5.1599587203302377E-2</v>
      </c>
      <c r="R671" s="675"/>
    </row>
    <row r="672" spans="1:18" x14ac:dyDescent="0.2">
      <c r="A672" s="558" t="s">
        <v>277</v>
      </c>
      <c r="B672" s="559" t="s">
        <v>914</v>
      </c>
      <c r="C672" s="573" t="s">
        <v>308</v>
      </c>
      <c r="D672" s="327" t="s">
        <v>292</v>
      </c>
      <c r="E672" s="575" t="s">
        <v>1850</v>
      </c>
      <c r="F672" s="561" t="s">
        <v>946</v>
      </c>
      <c r="G672" s="562" t="s">
        <v>948</v>
      </c>
      <c r="H672" s="563" t="s">
        <v>924</v>
      </c>
      <c r="I672" s="578" t="s">
        <v>925</v>
      </c>
      <c r="J672" s="564" t="s">
        <v>757</v>
      </c>
      <c r="K672" s="561">
        <v>0</v>
      </c>
      <c r="L672" s="338" t="s">
        <v>926</v>
      </c>
      <c r="M672" s="565">
        <v>7</v>
      </c>
      <c r="N672" s="579">
        <v>2</v>
      </c>
      <c r="O672" s="566">
        <f t="shared" si="31"/>
        <v>0.2857142857142857</v>
      </c>
      <c r="P672" s="567">
        <f t="shared" si="32"/>
        <v>0</v>
      </c>
      <c r="Q672" s="568" t="e">
        <f t="shared" si="30"/>
        <v>#DIV/0!</v>
      </c>
      <c r="R672" s="676" t="s">
        <v>926</v>
      </c>
    </row>
    <row r="673" spans="1:18" x14ac:dyDescent="0.2">
      <c r="A673" s="558" t="s">
        <v>277</v>
      </c>
      <c r="B673" s="559" t="s">
        <v>914</v>
      </c>
      <c r="C673" s="573" t="s">
        <v>308</v>
      </c>
      <c r="D673" s="327" t="s">
        <v>294</v>
      </c>
      <c r="E673" s="575" t="s">
        <v>1850</v>
      </c>
      <c r="F673" s="561" t="s">
        <v>946</v>
      </c>
      <c r="G673" s="562" t="s">
        <v>948</v>
      </c>
      <c r="H673" s="563" t="s">
        <v>924</v>
      </c>
      <c r="I673" s="578" t="s">
        <v>925</v>
      </c>
      <c r="J673" s="564" t="s">
        <v>757</v>
      </c>
      <c r="K673" s="561">
        <v>0</v>
      </c>
      <c r="L673" s="338" t="s">
        <v>926</v>
      </c>
      <c r="M673" s="565">
        <v>1</v>
      </c>
      <c r="N673" s="579">
        <v>0</v>
      </c>
      <c r="O673" s="566">
        <f t="shared" si="31"/>
        <v>0</v>
      </c>
      <c r="P673" s="567">
        <f t="shared" si="32"/>
        <v>0</v>
      </c>
      <c r="Q673" s="568" t="e">
        <f t="shared" si="30"/>
        <v>#DIV/0!</v>
      </c>
      <c r="R673" s="676" t="s">
        <v>926</v>
      </c>
    </row>
    <row r="674" spans="1:18" x14ac:dyDescent="0.2">
      <c r="A674" s="558" t="s">
        <v>277</v>
      </c>
      <c r="B674" s="559" t="s">
        <v>914</v>
      </c>
      <c r="C674" s="573" t="s">
        <v>305</v>
      </c>
      <c r="D674" s="327" t="s">
        <v>300</v>
      </c>
      <c r="E674" s="575" t="s">
        <v>1715</v>
      </c>
      <c r="F674" s="561" t="s">
        <v>946</v>
      </c>
      <c r="G674" s="562" t="s">
        <v>948</v>
      </c>
      <c r="H674" s="563" t="s">
        <v>927</v>
      </c>
      <c r="I674" s="578" t="s">
        <v>925</v>
      </c>
      <c r="J674" s="564" t="s">
        <v>757</v>
      </c>
      <c r="K674" s="561">
        <v>5</v>
      </c>
      <c r="L674" s="338"/>
      <c r="M674" s="565">
        <v>568</v>
      </c>
      <c r="N674" s="579">
        <v>15</v>
      </c>
      <c r="O674" s="566">
        <f t="shared" si="31"/>
        <v>2.6408450704225352E-2</v>
      </c>
      <c r="P674" s="567">
        <f t="shared" si="32"/>
        <v>0.528169014084507</v>
      </c>
      <c r="Q674" s="568">
        <f t="shared" si="30"/>
        <v>0.52816901408450712</v>
      </c>
      <c r="R674" s="675"/>
    </row>
    <row r="675" spans="1:18" x14ac:dyDescent="0.2">
      <c r="A675" s="558" t="s">
        <v>277</v>
      </c>
      <c r="B675" s="559" t="s">
        <v>914</v>
      </c>
      <c r="C675" s="573" t="s">
        <v>305</v>
      </c>
      <c r="D675" s="327" t="s">
        <v>292</v>
      </c>
      <c r="E675" s="575" t="s">
        <v>1715</v>
      </c>
      <c r="F675" s="561" t="s">
        <v>946</v>
      </c>
      <c r="G675" s="562" t="s">
        <v>948</v>
      </c>
      <c r="H675" s="563" t="s">
        <v>924</v>
      </c>
      <c r="I675" s="578" t="s">
        <v>925</v>
      </c>
      <c r="J675" s="564" t="s">
        <v>757</v>
      </c>
      <c r="K675" s="561">
        <v>32</v>
      </c>
      <c r="L675" s="338"/>
      <c r="M675" s="565">
        <v>85</v>
      </c>
      <c r="N675" s="579">
        <v>16</v>
      </c>
      <c r="O675" s="566">
        <f t="shared" si="31"/>
        <v>0.18823529411764706</v>
      </c>
      <c r="P675" s="567">
        <f t="shared" si="32"/>
        <v>0.58823529411764708</v>
      </c>
      <c r="Q675" s="568">
        <f t="shared" si="30"/>
        <v>0.58823529411764708</v>
      </c>
      <c r="R675" s="675"/>
    </row>
    <row r="676" spans="1:18" x14ac:dyDescent="0.2">
      <c r="A676" s="558" t="s">
        <v>277</v>
      </c>
      <c r="B676" s="559" t="s">
        <v>914</v>
      </c>
      <c r="C676" s="573" t="s">
        <v>305</v>
      </c>
      <c r="D676" s="327" t="s">
        <v>294</v>
      </c>
      <c r="E676" s="575" t="s">
        <v>1851</v>
      </c>
      <c r="F676" s="561" t="s">
        <v>946</v>
      </c>
      <c r="G676" s="562" t="s">
        <v>948</v>
      </c>
      <c r="H676" s="563" t="s">
        <v>924</v>
      </c>
      <c r="I676" s="578" t="s">
        <v>925</v>
      </c>
      <c r="J676" s="564" t="s">
        <v>757</v>
      </c>
      <c r="K676" s="561">
        <v>33</v>
      </c>
      <c r="L676" s="338"/>
      <c r="M676" s="565">
        <v>24</v>
      </c>
      <c r="N676" s="579">
        <v>4</v>
      </c>
      <c r="O676" s="566">
        <f t="shared" si="31"/>
        <v>0.16666666666666666</v>
      </c>
      <c r="P676" s="567">
        <f t="shared" si="32"/>
        <v>0.50505050505050508</v>
      </c>
      <c r="Q676" s="568">
        <f t="shared" si="30"/>
        <v>0.50505050505050508</v>
      </c>
      <c r="R676" s="675"/>
    </row>
    <row r="677" spans="1:18" x14ac:dyDescent="0.2">
      <c r="A677" s="558" t="s">
        <v>277</v>
      </c>
      <c r="B677" s="559" t="s">
        <v>914</v>
      </c>
      <c r="C677" s="573" t="s">
        <v>305</v>
      </c>
      <c r="D677" s="327" t="s">
        <v>285</v>
      </c>
      <c r="E677" s="575" t="s">
        <v>1851</v>
      </c>
      <c r="F677" s="561" t="s">
        <v>946</v>
      </c>
      <c r="G677" s="562" t="s">
        <v>948</v>
      </c>
      <c r="H677" s="563" t="s">
        <v>924</v>
      </c>
      <c r="I677" s="578" t="s">
        <v>925</v>
      </c>
      <c r="J677" s="564" t="s">
        <v>757</v>
      </c>
      <c r="K677" s="561">
        <v>0</v>
      </c>
      <c r="L677" s="338" t="s">
        <v>926</v>
      </c>
      <c r="M677" s="565">
        <v>2</v>
      </c>
      <c r="N677" s="579">
        <v>0</v>
      </c>
      <c r="O677" s="566">
        <f t="shared" si="31"/>
        <v>0</v>
      </c>
      <c r="P677" s="567">
        <f t="shared" si="32"/>
        <v>0</v>
      </c>
      <c r="Q677" s="568" t="e">
        <f t="shared" si="30"/>
        <v>#DIV/0!</v>
      </c>
      <c r="R677" s="676" t="s">
        <v>926</v>
      </c>
    </row>
    <row r="678" spans="1:18" x14ac:dyDescent="0.2">
      <c r="A678" s="558" t="s">
        <v>277</v>
      </c>
      <c r="B678" s="559" t="s">
        <v>914</v>
      </c>
      <c r="C678" s="573" t="s">
        <v>97</v>
      </c>
      <c r="D678" s="327" t="s">
        <v>282</v>
      </c>
      <c r="E678" s="575" t="s">
        <v>1843</v>
      </c>
      <c r="F678" s="561" t="s">
        <v>946</v>
      </c>
      <c r="G678" s="562" t="s">
        <v>949</v>
      </c>
      <c r="H678" s="563" t="s">
        <v>924</v>
      </c>
      <c r="I678" s="578" t="s">
        <v>925</v>
      </c>
      <c r="J678" s="564" t="s">
        <v>757</v>
      </c>
      <c r="K678" s="561">
        <v>33</v>
      </c>
      <c r="L678" s="338"/>
      <c r="M678" s="565">
        <v>6</v>
      </c>
      <c r="N678" s="579">
        <v>0</v>
      </c>
      <c r="O678" s="566">
        <f t="shared" si="31"/>
        <v>0</v>
      </c>
      <c r="P678" s="567">
        <f t="shared" si="32"/>
        <v>0</v>
      </c>
      <c r="Q678" s="568">
        <f t="shared" si="30"/>
        <v>0</v>
      </c>
      <c r="R678" s="676" t="s">
        <v>1855</v>
      </c>
    </row>
    <row r="679" spans="1:18" x14ac:dyDescent="0.2">
      <c r="A679" s="558" t="s">
        <v>277</v>
      </c>
      <c r="B679" s="559" t="s">
        <v>914</v>
      </c>
      <c r="C679" s="573" t="s">
        <v>97</v>
      </c>
      <c r="D679" s="327" t="s">
        <v>285</v>
      </c>
      <c r="E679" s="575" t="s">
        <v>1843</v>
      </c>
      <c r="F679" s="561" t="s">
        <v>946</v>
      </c>
      <c r="G679" s="562" t="s">
        <v>949</v>
      </c>
      <c r="H679" s="563" t="s">
        <v>924</v>
      </c>
      <c r="I679" s="578" t="s">
        <v>925</v>
      </c>
      <c r="J679" s="564" t="s">
        <v>757</v>
      </c>
      <c r="K679" s="561">
        <v>0</v>
      </c>
      <c r="L679" s="338" t="s">
        <v>926</v>
      </c>
      <c r="M679" s="565">
        <v>8</v>
      </c>
      <c r="N679" s="579">
        <v>0</v>
      </c>
      <c r="O679" s="566">
        <f t="shared" si="31"/>
        <v>0</v>
      </c>
      <c r="P679" s="567">
        <f t="shared" si="32"/>
        <v>0</v>
      </c>
      <c r="Q679" s="568" t="e">
        <f t="shared" si="30"/>
        <v>#DIV/0!</v>
      </c>
      <c r="R679" s="676" t="s">
        <v>926</v>
      </c>
    </row>
    <row r="680" spans="1:18" x14ac:dyDescent="0.2">
      <c r="A680" s="558" t="s">
        <v>277</v>
      </c>
      <c r="B680" s="559" t="s">
        <v>914</v>
      </c>
      <c r="C680" s="573" t="s">
        <v>286</v>
      </c>
      <c r="D680" s="327" t="s">
        <v>300</v>
      </c>
      <c r="E680" s="575" t="s">
        <v>1715</v>
      </c>
      <c r="F680" s="561" t="s">
        <v>946</v>
      </c>
      <c r="G680" s="562" t="s">
        <v>949</v>
      </c>
      <c r="H680" s="563" t="s">
        <v>927</v>
      </c>
      <c r="I680" s="578" t="s">
        <v>925</v>
      </c>
      <c r="J680" s="564" t="s">
        <v>757</v>
      </c>
      <c r="K680" s="561">
        <v>0</v>
      </c>
      <c r="L680" s="338" t="s">
        <v>926</v>
      </c>
      <c r="M680" s="565">
        <v>39</v>
      </c>
      <c r="N680" s="579">
        <v>4</v>
      </c>
      <c r="O680" s="566">
        <f t="shared" si="31"/>
        <v>0.10256410256410256</v>
      </c>
      <c r="P680" s="567">
        <f t="shared" si="32"/>
        <v>0</v>
      </c>
      <c r="Q680" s="568" t="e">
        <f t="shared" si="30"/>
        <v>#DIV/0!</v>
      </c>
      <c r="R680" s="676" t="s">
        <v>926</v>
      </c>
    </row>
    <row r="681" spans="1:18" x14ac:dyDescent="0.2">
      <c r="A681" s="558" t="s">
        <v>277</v>
      </c>
      <c r="B681" s="559" t="s">
        <v>914</v>
      </c>
      <c r="C681" s="573" t="s">
        <v>286</v>
      </c>
      <c r="D681" s="327" t="s">
        <v>292</v>
      </c>
      <c r="E681" s="575" t="s">
        <v>1715</v>
      </c>
      <c r="F681" s="561" t="s">
        <v>946</v>
      </c>
      <c r="G681" s="562" t="s">
        <v>949</v>
      </c>
      <c r="H681" s="563" t="s">
        <v>924</v>
      </c>
      <c r="I681" s="578" t="s">
        <v>925</v>
      </c>
      <c r="J681" s="564" t="s">
        <v>757</v>
      </c>
      <c r="K681" s="561">
        <v>26</v>
      </c>
      <c r="L681" s="338"/>
      <c r="M681" s="565">
        <v>12</v>
      </c>
      <c r="N681" s="579">
        <v>3</v>
      </c>
      <c r="O681" s="566">
        <f t="shared" si="31"/>
        <v>0.25</v>
      </c>
      <c r="P681" s="567">
        <f t="shared" si="32"/>
        <v>0.96153846153846145</v>
      </c>
      <c r="Q681" s="568">
        <f t="shared" si="30"/>
        <v>0.96153846153846145</v>
      </c>
      <c r="R681" s="675"/>
    </row>
    <row r="682" spans="1:18" x14ac:dyDescent="0.2">
      <c r="A682" s="558" t="s">
        <v>277</v>
      </c>
      <c r="B682" s="559" t="s">
        <v>914</v>
      </c>
      <c r="C682" s="573" t="s">
        <v>286</v>
      </c>
      <c r="D682" s="327" t="s">
        <v>294</v>
      </c>
      <c r="E682" s="575" t="s">
        <v>1715</v>
      </c>
      <c r="F682" s="561" t="s">
        <v>946</v>
      </c>
      <c r="G682" s="562" t="s">
        <v>949</v>
      </c>
      <c r="H682" s="563" t="s">
        <v>924</v>
      </c>
      <c r="I682" s="578" t="s">
        <v>925</v>
      </c>
      <c r="J682" s="564" t="s">
        <v>757</v>
      </c>
      <c r="K682" s="561">
        <v>16</v>
      </c>
      <c r="L682" s="338"/>
      <c r="M682" s="565">
        <v>40</v>
      </c>
      <c r="N682" s="579">
        <v>7</v>
      </c>
      <c r="O682" s="566">
        <f t="shared" si="31"/>
        <v>0.17499999999999999</v>
      </c>
      <c r="P682" s="567">
        <f t="shared" si="32"/>
        <v>1.09375</v>
      </c>
      <c r="Q682" s="568">
        <f t="shared" si="30"/>
        <v>1.09375</v>
      </c>
      <c r="R682" s="675"/>
    </row>
    <row r="683" spans="1:18" x14ac:dyDescent="0.2">
      <c r="A683" s="558" t="s">
        <v>277</v>
      </c>
      <c r="B683" s="559" t="s">
        <v>914</v>
      </c>
      <c r="C683" s="573" t="s">
        <v>286</v>
      </c>
      <c r="D683" s="327" t="s">
        <v>282</v>
      </c>
      <c r="E683" s="575" t="s">
        <v>1715</v>
      </c>
      <c r="F683" s="561" t="s">
        <v>946</v>
      </c>
      <c r="G683" s="562" t="s">
        <v>949</v>
      </c>
      <c r="H683" s="563" t="s">
        <v>924</v>
      </c>
      <c r="I683" s="578" t="s">
        <v>925</v>
      </c>
      <c r="J683" s="564" t="s">
        <v>757</v>
      </c>
      <c r="K683" s="561">
        <v>6</v>
      </c>
      <c r="L683" s="338"/>
      <c r="M683" s="565">
        <v>68</v>
      </c>
      <c r="N683" s="579">
        <v>11</v>
      </c>
      <c r="O683" s="566">
        <f t="shared" si="31"/>
        <v>0.16176470588235295</v>
      </c>
      <c r="P683" s="567">
        <f t="shared" si="32"/>
        <v>2.6960784313725488</v>
      </c>
      <c r="Q683" s="568">
        <f t="shared" si="30"/>
        <v>2.6960784313725488</v>
      </c>
      <c r="R683" s="675"/>
    </row>
    <row r="684" spans="1:18" x14ac:dyDescent="0.2">
      <c r="A684" s="558" t="s">
        <v>277</v>
      </c>
      <c r="B684" s="559" t="s">
        <v>914</v>
      </c>
      <c r="C684" s="573" t="s">
        <v>286</v>
      </c>
      <c r="D684" s="327" t="s">
        <v>285</v>
      </c>
      <c r="E684" s="575" t="s">
        <v>1715</v>
      </c>
      <c r="F684" s="561" t="s">
        <v>946</v>
      </c>
      <c r="G684" s="562" t="s">
        <v>949</v>
      </c>
      <c r="H684" s="563" t="s">
        <v>924</v>
      </c>
      <c r="I684" s="578" t="s">
        <v>925</v>
      </c>
      <c r="J684" s="564" t="s">
        <v>757</v>
      </c>
      <c r="K684" s="561">
        <v>8</v>
      </c>
      <c r="L684" s="338"/>
      <c r="M684" s="565">
        <v>47</v>
      </c>
      <c r="N684" s="579">
        <v>8</v>
      </c>
      <c r="O684" s="566">
        <f t="shared" si="31"/>
        <v>0.1702127659574468</v>
      </c>
      <c r="P684" s="567">
        <f t="shared" si="32"/>
        <v>2.1276595744680851</v>
      </c>
      <c r="Q684" s="568">
        <f t="shared" si="30"/>
        <v>2.1276595744680851</v>
      </c>
      <c r="R684" s="675"/>
    </row>
    <row r="685" spans="1:18" x14ac:dyDescent="0.2">
      <c r="A685" s="558" t="s">
        <v>277</v>
      </c>
      <c r="B685" s="559" t="s">
        <v>914</v>
      </c>
      <c r="C685" s="573" t="s">
        <v>303</v>
      </c>
      <c r="D685" s="327" t="s">
        <v>300</v>
      </c>
      <c r="E685" s="575" t="s">
        <v>1715</v>
      </c>
      <c r="F685" s="561" t="s">
        <v>946</v>
      </c>
      <c r="G685" s="562" t="s">
        <v>949</v>
      </c>
      <c r="H685" s="563" t="s">
        <v>927</v>
      </c>
      <c r="I685" s="578" t="s">
        <v>925</v>
      </c>
      <c r="J685" s="564" t="s">
        <v>757</v>
      </c>
      <c r="K685" s="561">
        <v>28.999999999999996</v>
      </c>
      <c r="L685" s="338"/>
      <c r="M685" s="565">
        <v>144</v>
      </c>
      <c r="N685" s="579">
        <v>4</v>
      </c>
      <c r="O685" s="566">
        <f t="shared" si="31"/>
        <v>2.7777777777777776E-2</v>
      </c>
      <c r="P685" s="567">
        <f t="shared" si="32"/>
        <v>9.5785440613026823E-2</v>
      </c>
      <c r="Q685" s="568">
        <f t="shared" si="30"/>
        <v>9.5785440613026837E-2</v>
      </c>
      <c r="R685" s="675"/>
    </row>
    <row r="686" spans="1:18" x14ac:dyDescent="0.2">
      <c r="A686" s="558" t="s">
        <v>277</v>
      </c>
      <c r="B686" s="559" t="s">
        <v>914</v>
      </c>
      <c r="C686" s="573" t="s">
        <v>303</v>
      </c>
      <c r="D686" s="327" t="s">
        <v>292</v>
      </c>
      <c r="E686" s="575" t="s">
        <v>1844</v>
      </c>
      <c r="F686" s="561" t="s">
        <v>946</v>
      </c>
      <c r="G686" s="562" t="s">
        <v>949</v>
      </c>
      <c r="H686" s="563" t="s">
        <v>924</v>
      </c>
      <c r="I686" s="578" t="s">
        <v>925</v>
      </c>
      <c r="J686" s="564" t="s">
        <v>757</v>
      </c>
      <c r="K686" s="561">
        <v>8</v>
      </c>
      <c r="L686" s="338"/>
      <c r="M686" s="565">
        <v>42</v>
      </c>
      <c r="N686" s="579">
        <v>1</v>
      </c>
      <c r="O686" s="566">
        <f t="shared" si="31"/>
        <v>2.3809523809523808E-2</v>
      </c>
      <c r="P686" s="567">
        <f t="shared" si="32"/>
        <v>0.29761904761904762</v>
      </c>
      <c r="Q686" s="568">
        <f t="shared" si="30"/>
        <v>0.29761904761904762</v>
      </c>
      <c r="R686" s="675"/>
    </row>
    <row r="687" spans="1:18" x14ac:dyDescent="0.2">
      <c r="A687" s="558" t="s">
        <v>277</v>
      </c>
      <c r="B687" s="559" t="s">
        <v>914</v>
      </c>
      <c r="C687" s="573" t="s">
        <v>303</v>
      </c>
      <c r="D687" s="327" t="s">
        <v>294</v>
      </c>
      <c r="E687" s="575" t="s">
        <v>1844</v>
      </c>
      <c r="F687" s="561" t="s">
        <v>946</v>
      </c>
      <c r="G687" s="562" t="s">
        <v>949</v>
      </c>
      <c r="H687" s="563" t="s">
        <v>924</v>
      </c>
      <c r="I687" s="578" t="s">
        <v>925</v>
      </c>
      <c r="J687" s="564" t="s">
        <v>757</v>
      </c>
      <c r="K687" s="561">
        <v>0</v>
      </c>
      <c r="L687" s="338" t="s">
        <v>926</v>
      </c>
      <c r="M687" s="565">
        <v>10</v>
      </c>
      <c r="N687" s="579">
        <v>1</v>
      </c>
      <c r="O687" s="566">
        <f t="shared" si="31"/>
        <v>0.1</v>
      </c>
      <c r="P687" s="567">
        <f t="shared" si="32"/>
        <v>0</v>
      </c>
      <c r="Q687" s="568" t="e">
        <f t="shared" si="30"/>
        <v>#DIV/0!</v>
      </c>
      <c r="R687" s="676" t="s">
        <v>926</v>
      </c>
    </row>
    <row r="688" spans="1:18" x14ac:dyDescent="0.2">
      <c r="A688" s="558" t="s">
        <v>277</v>
      </c>
      <c r="B688" s="559" t="s">
        <v>914</v>
      </c>
      <c r="C688" s="573" t="s">
        <v>303</v>
      </c>
      <c r="D688" s="327" t="s">
        <v>282</v>
      </c>
      <c r="E688" s="575" t="s">
        <v>1845</v>
      </c>
      <c r="F688" s="561" t="s">
        <v>946</v>
      </c>
      <c r="G688" s="562" t="s">
        <v>949</v>
      </c>
      <c r="H688" s="563" t="s">
        <v>924</v>
      </c>
      <c r="I688" s="578" t="s">
        <v>925</v>
      </c>
      <c r="J688" s="564" t="s">
        <v>757</v>
      </c>
      <c r="K688" s="561">
        <v>0</v>
      </c>
      <c r="L688" s="338" t="s">
        <v>926</v>
      </c>
      <c r="M688" s="565">
        <v>2</v>
      </c>
      <c r="N688" s="579">
        <v>0</v>
      </c>
      <c r="O688" s="566">
        <f t="shared" si="31"/>
        <v>0</v>
      </c>
      <c r="P688" s="567">
        <f t="shared" si="32"/>
        <v>0</v>
      </c>
      <c r="Q688" s="568" t="e">
        <f t="shared" si="30"/>
        <v>#DIV/0!</v>
      </c>
      <c r="R688" s="676" t="s">
        <v>926</v>
      </c>
    </row>
    <row r="689" spans="1:18" x14ac:dyDescent="0.2">
      <c r="A689" s="558" t="s">
        <v>277</v>
      </c>
      <c r="B689" s="559" t="s">
        <v>914</v>
      </c>
      <c r="C689" s="573" t="s">
        <v>303</v>
      </c>
      <c r="D689" s="327" t="s">
        <v>285</v>
      </c>
      <c r="E689" s="575" t="s">
        <v>1845</v>
      </c>
      <c r="F689" s="561" t="s">
        <v>946</v>
      </c>
      <c r="G689" s="562" t="s">
        <v>949</v>
      </c>
      <c r="H689" s="563" t="s">
        <v>924</v>
      </c>
      <c r="I689" s="578" t="s">
        <v>925</v>
      </c>
      <c r="J689" s="564" t="s">
        <v>757</v>
      </c>
      <c r="K689" s="561">
        <v>0</v>
      </c>
      <c r="L689" s="338" t="s">
        <v>926</v>
      </c>
      <c r="M689" s="565">
        <v>5</v>
      </c>
      <c r="N689" s="579">
        <v>0</v>
      </c>
      <c r="O689" s="566">
        <f t="shared" si="31"/>
        <v>0</v>
      </c>
      <c r="P689" s="567">
        <f t="shared" si="32"/>
        <v>0</v>
      </c>
      <c r="Q689" s="568" t="e">
        <f t="shared" si="30"/>
        <v>#DIV/0!</v>
      </c>
      <c r="R689" s="676" t="s">
        <v>926</v>
      </c>
    </row>
    <row r="690" spans="1:18" x14ac:dyDescent="0.2">
      <c r="A690" s="558" t="s">
        <v>277</v>
      </c>
      <c r="B690" s="559" t="s">
        <v>914</v>
      </c>
      <c r="C690" s="573" t="s">
        <v>99</v>
      </c>
      <c r="D690" s="327" t="s">
        <v>300</v>
      </c>
      <c r="E690" s="575" t="s">
        <v>1715</v>
      </c>
      <c r="F690" s="561" t="s">
        <v>946</v>
      </c>
      <c r="G690" s="562" t="s">
        <v>949</v>
      </c>
      <c r="H690" s="563" t="s">
        <v>927</v>
      </c>
      <c r="I690" s="578" t="s">
        <v>925</v>
      </c>
      <c r="J690" s="564" t="s">
        <v>757</v>
      </c>
      <c r="K690" s="561">
        <v>17</v>
      </c>
      <c r="L690" s="338"/>
      <c r="M690" s="565">
        <v>158</v>
      </c>
      <c r="N690" s="579">
        <v>5</v>
      </c>
      <c r="O690" s="566">
        <f t="shared" si="31"/>
        <v>3.1645569620253167E-2</v>
      </c>
      <c r="P690" s="567">
        <f t="shared" si="32"/>
        <v>0.18615040953090095</v>
      </c>
      <c r="Q690" s="568">
        <f t="shared" si="30"/>
        <v>0.18615040953090098</v>
      </c>
      <c r="R690" s="675"/>
    </row>
    <row r="691" spans="1:18" x14ac:dyDescent="0.2">
      <c r="A691" s="558" t="s">
        <v>277</v>
      </c>
      <c r="B691" s="559" t="s">
        <v>914</v>
      </c>
      <c r="C691" s="573" t="s">
        <v>99</v>
      </c>
      <c r="D691" s="327" t="s">
        <v>292</v>
      </c>
      <c r="E691" s="575" t="s">
        <v>1715</v>
      </c>
      <c r="F691" s="561" t="s">
        <v>946</v>
      </c>
      <c r="G691" s="562" t="s">
        <v>949</v>
      </c>
      <c r="H691" s="563" t="s">
        <v>924</v>
      </c>
      <c r="I691" s="578" t="s">
        <v>925</v>
      </c>
      <c r="J691" s="564" t="s">
        <v>757</v>
      </c>
      <c r="K691" s="561">
        <v>36</v>
      </c>
      <c r="L691" s="338"/>
      <c r="M691" s="565">
        <v>7</v>
      </c>
      <c r="N691" s="579">
        <v>1</v>
      </c>
      <c r="O691" s="566">
        <f t="shared" si="31"/>
        <v>0.14285714285714285</v>
      </c>
      <c r="P691" s="567">
        <f t="shared" si="32"/>
        <v>0.3968253968253968</v>
      </c>
      <c r="Q691" s="568">
        <f t="shared" si="30"/>
        <v>0.3968253968253968</v>
      </c>
      <c r="R691" s="675"/>
    </row>
    <row r="692" spans="1:18" x14ac:dyDescent="0.2">
      <c r="A692" s="558" t="s">
        <v>277</v>
      </c>
      <c r="B692" s="559" t="s">
        <v>914</v>
      </c>
      <c r="C692" s="573" t="s">
        <v>99</v>
      </c>
      <c r="D692" s="327" t="s">
        <v>294</v>
      </c>
      <c r="E692" s="575" t="s">
        <v>1846</v>
      </c>
      <c r="F692" s="561" t="s">
        <v>946</v>
      </c>
      <c r="G692" s="562" t="s">
        <v>949</v>
      </c>
      <c r="H692" s="563" t="s">
        <v>924</v>
      </c>
      <c r="I692" s="578" t="s">
        <v>925</v>
      </c>
      <c r="J692" s="564" t="s">
        <v>757</v>
      </c>
      <c r="K692" s="561">
        <v>80</v>
      </c>
      <c r="L692" s="338"/>
      <c r="M692" s="565">
        <v>8</v>
      </c>
      <c r="N692" s="579">
        <v>3</v>
      </c>
      <c r="O692" s="566">
        <f t="shared" si="31"/>
        <v>0.375</v>
      </c>
      <c r="P692" s="567">
        <f t="shared" si="32"/>
        <v>0.46875</v>
      </c>
      <c r="Q692" s="568">
        <f t="shared" si="30"/>
        <v>0.46875</v>
      </c>
      <c r="R692" s="675"/>
    </row>
    <row r="693" spans="1:18" x14ac:dyDescent="0.2">
      <c r="A693" s="558" t="s">
        <v>277</v>
      </c>
      <c r="B693" s="559" t="s">
        <v>914</v>
      </c>
      <c r="C693" s="573" t="s">
        <v>99</v>
      </c>
      <c r="D693" s="327" t="s">
        <v>282</v>
      </c>
      <c r="E693" s="575" t="s">
        <v>1846</v>
      </c>
      <c r="F693" s="561" t="s">
        <v>946</v>
      </c>
      <c r="G693" s="562" t="s">
        <v>949</v>
      </c>
      <c r="H693" s="563" t="s">
        <v>924</v>
      </c>
      <c r="I693" s="578" t="s">
        <v>925</v>
      </c>
      <c r="J693" s="564" t="s">
        <v>757</v>
      </c>
      <c r="K693" s="561">
        <v>0</v>
      </c>
      <c r="L693" s="338" t="s">
        <v>926</v>
      </c>
      <c r="M693" s="565">
        <v>4</v>
      </c>
      <c r="N693" s="579">
        <v>0</v>
      </c>
      <c r="O693" s="566">
        <f t="shared" si="31"/>
        <v>0</v>
      </c>
      <c r="P693" s="567">
        <f t="shared" si="32"/>
        <v>0</v>
      </c>
      <c r="Q693" s="568" t="e">
        <f t="shared" si="30"/>
        <v>#DIV/0!</v>
      </c>
      <c r="R693" s="676" t="s">
        <v>926</v>
      </c>
    </row>
    <row r="694" spans="1:18" x14ac:dyDescent="0.2">
      <c r="A694" s="558" t="s">
        <v>277</v>
      </c>
      <c r="B694" s="559" t="s">
        <v>914</v>
      </c>
      <c r="C694" s="573" t="s">
        <v>99</v>
      </c>
      <c r="D694" s="327" t="s">
        <v>285</v>
      </c>
      <c r="E694" s="575" t="s">
        <v>1846</v>
      </c>
      <c r="F694" s="561" t="s">
        <v>946</v>
      </c>
      <c r="G694" s="562" t="s">
        <v>949</v>
      </c>
      <c r="H694" s="563" t="s">
        <v>924</v>
      </c>
      <c r="I694" s="578" t="s">
        <v>925</v>
      </c>
      <c r="J694" s="564" t="s">
        <v>757</v>
      </c>
      <c r="K694" s="561">
        <v>0</v>
      </c>
      <c r="L694" s="338" t="s">
        <v>926</v>
      </c>
      <c r="M694" s="565">
        <v>1</v>
      </c>
      <c r="N694" s="579">
        <v>0</v>
      </c>
      <c r="O694" s="566">
        <f t="shared" si="31"/>
        <v>0</v>
      </c>
      <c r="P694" s="567">
        <f t="shared" si="32"/>
        <v>0</v>
      </c>
      <c r="Q694" s="568" t="e">
        <f t="shared" si="30"/>
        <v>#DIV/0!</v>
      </c>
      <c r="R694" s="676" t="s">
        <v>926</v>
      </c>
    </row>
    <row r="695" spans="1:18" x14ac:dyDescent="0.2">
      <c r="A695" s="558" t="s">
        <v>277</v>
      </c>
      <c r="B695" s="559" t="s">
        <v>914</v>
      </c>
      <c r="C695" s="573" t="s">
        <v>296</v>
      </c>
      <c r="D695" s="327" t="s">
        <v>300</v>
      </c>
      <c r="E695" s="575" t="s">
        <v>1847</v>
      </c>
      <c r="F695" s="561" t="s">
        <v>946</v>
      </c>
      <c r="G695" s="562" t="s">
        <v>949</v>
      </c>
      <c r="H695" s="563" t="s">
        <v>927</v>
      </c>
      <c r="I695" s="578" t="s">
        <v>925</v>
      </c>
      <c r="J695" s="564" t="s">
        <v>757</v>
      </c>
      <c r="K695" s="561">
        <v>13</v>
      </c>
      <c r="L695" s="338"/>
      <c r="M695" s="565">
        <v>0</v>
      </c>
      <c r="N695" s="579">
        <v>0</v>
      </c>
      <c r="O695" s="566">
        <f t="shared" si="31"/>
        <v>0</v>
      </c>
      <c r="P695" s="567">
        <f t="shared" si="32"/>
        <v>0</v>
      </c>
      <c r="Q695" s="568" t="e">
        <f t="shared" si="30"/>
        <v>#DIV/0!</v>
      </c>
      <c r="R695" s="676" t="s">
        <v>1919</v>
      </c>
    </row>
    <row r="696" spans="1:18" x14ac:dyDescent="0.2">
      <c r="A696" s="558" t="s">
        <v>277</v>
      </c>
      <c r="B696" s="559" t="s">
        <v>914</v>
      </c>
      <c r="C696" s="573" t="s">
        <v>296</v>
      </c>
      <c r="D696" s="327" t="s">
        <v>292</v>
      </c>
      <c r="E696" s="575" t="s">
        <v>1847</v>
      </c>
      <c r="F696" s="561" t="s">
        <v>946</v>
      </c>
      <c r="G696" s="562" t="s">
        <v>949</v>
      </c>
      <c r="H696" s="563" t="s">
        <v>924</v>
      </c>
      <c r="I696" s="578" t="s">
        <v>925</v>
      </c>
      <c r="J696" s="564" t="s">
        <v>757</v>
      </c>
      <c r="K696" s="561">
        <v>0</v>
      </c>
      <c r="L696" s="338" t="s">
        <v>926</v>
      </c>
      <c r="M696" s="565">
        <v>3</v>
      </c>
      <c r="N696" s="579">
        <v>0</v>
      </c>
      <c r="O696" s="566">
        <f t="shared" si="31"/>
        <v>0</v>
      </c>
      <c r="P696" s="567">
        <f t="shared" si="32"/>
        <v>0</v>
      </c>
      <c r="Q696" s="568" t="e">
        <f t="shared" si="30"/>
        <v>#DIV/0!</v>
      </c>
      <c r="R696" s="676" t="s">
        <v>926</v>
      </c>
    </row>
    <row r="697" spans="1:18" x14ac:dyDescent="0.2">
      <c r="A697" s="558" t="s">
        <v>277</v>
      </c>
      <c r="B697" s="559" t="s">
        <v>914</v>
      </c>
      <c r="C697" s="573" t="s">
        <v>296</v>
      </c>
      <c r="D697" s="327" t="s">
        <v>294</v>
      </c>
      <c r="E697" s="575" t="s">
        <v>1848</v>
      </c>
      <c r="F697" s="561" t="s">
        <v>946</v>
      </c>
      <c r="G697" s="562" t="s">
        <v>949</v>
      </c>
      <c r="H697" s="563" t="s">
        <v>924</v>
      </c>
      <c r="I697" s="578" t="s">
        <v>925</v>
      </c>
      <c r="J697" s="564" t="s">
        <v>757</v>
      </c>
      <c r="K697" s="561">
        <v>0</v>
      </c>
      <c r="L697" s="338" t="s">
        <v>926</v>
      </c>
      <c r="M697" s="565">
        <v>1</v>
      </c>
      <c r="N697" s="579">
        <v>0</v>
      </c>
      <c r="O697" s="566">
        <f t="shared" si="31"/>
        <v>0</v>
      </c>
      <c r="P697" s="567">
        <f t="shared" si="32"/>
        <v>0</v>
      </c>
      <c r="Q697" s="568" t="e">
        <f t="shared" si="30"/>
        <v>#DIV/0!</v>
      </c>
      <c r="R697" s="676" t="s">
        <v>926</v>
      </c>
    </row>
    <row r="698" spans="1:18" x14ac:dyDescent="0.2">
      <c r="A698" s="558" t="s">
        <v>277</v>
      </c>
      <c r="B698" s="559" t="s">
        <v>914</v>
      </c>
      <c r="C698" s="573" t="s">
        <v>296</v>
      </c>
      <c r="D698" s="327" t="s">
        <v>282</v>
      </c>
      <c r="E698" s="575" t="s">
        <v>1848</v>
      </c>
      <c r="F698" s="561" t="s">
        <v>946</v>
      </c>
      <c r="G698" s="562" t="s">
        <v>949</v>
      </c>
      <c r="H698" s="563" t="s">
        <v>924</v>
      </c>
      <c r="I698" s="578" t="s">
        <v>925</v>
      </c>
      <c r="J698" s="564" t="s">
        <v>757</v>
      </c>
      <c r="K698" s="561">
        <v>0</v>
      </c>
      <c r="L698" s="338" t="s">
        <v>926</v>
      </c>
      <c r="M698" s="565">
        <v>2</v>
      </c>
      <c r="N698" s="579">
        <v>0</v>
      </c>
      <c r="O698" s="566">
        <f t="shared" si="31"/>
        <v>0</v>
      </c>
      <c r="P698" s="567">
        <f t="shared" si="32"/>
        <v>0</v>
      </c>
      <c r="Q698" s="568" t="e">
        <f t="shared" si="30"/>
        <v>#DIV/0!</v>
      </c>
      <c r="R698" s="676" t="s">
        <v>926</v>
      </c>
    </row>
    <row r="699" spans="1:18" x14ac:dyDescent="0.2">
      <c r="A699" s="558" t="s">
        <v>277</v>
      </c>
      <c r="B699" s="559" t="s">
        <v>914</v>
      </c>
      <c r="C699" s="573" t="s">
        <v>296</v>
      </c>
      <c r="D699" s="327" t="s">
        <v>285</v>
      </c>
      <c r="E699" s="575" t="s">
        <v>1715</v>
      </c>
      <c r="F699" s="561" t="s">
        <v>946</v>
      </c>
      <c r="G699" s="562" t="s">
        <v>949</v>
      </c>
      <c r="H699" s="563" t="s">
        <v>924</v>
      </c>
      <c r="I699" s="578" t="s">
        <v>925</v>
      </c>
      <c r="J699" s="564" t="s">
        <v>757</v>
      </c>
      <c r="K699" s="561">
        <v>25</v>
      </c>
      <c r="L699" s="338"/>
      <c r="M699" s="565">
        <v>11</v>
      </c>
      <c r="N699" s="579">
        <v>4</v>
      </c>
      <c r="O699" s="566">
        <f t="shared" si="31"/>
        <v>0.36363636363636365</v>
      </c>
      <c r="P699" s="567">
        <f t="shared" si="32"/>
        <v>1.4545454545454546</v>
      </c>
      <c r="Q699" s="568">
        <f t="shared" si="30"/>
        <v>1.4545454545454546</v>
      </c>
      <c r="R699" s="675"/>
    </row>
    <row r="700" spans="1:18" x14ac:dyDescent="0.2">
      <c r="A700" s="558" t="s">
        <v>277</v>
      </c>
      <c r="B700" s="559" t="s">
        <v>914</v>
      </c>
      <c r="C700" s="573" t="s">
        <v>296</v>
      </c>
      <c r="D700" s="327" t="s">
        <v>298</v>
      </c>
      <c r="E700" s="575" t="s">
        <v>1715</v>
      </c>
      <c r="F700" s="561" t="s">
        <v>946</v>
      </c>
      <c r="G700" s="562" t="s">
        <v>949</v>
      </c>
      <c r="H700" s="563" t="s">
        <v>924</v>
      </c>
      <c r="I700" s="578" t="s">
        <v>925</v>
      </c>
      <c r="J700" s="564" t="s">
        <v>757</v>
      </c>
      <c r="K700" s="561">
        <v>10</v>
      </c>
      <c r="L700" s="338"/>
      <c r="M700" s="565">
        <v>20</v>
      </c>
      <c r="N700" s="579">
        <v>7</v>
      </c>
      <c r="O700" s="566">
        <f t="shared" si="31"/>
        <v>0.35</v>
      </c>
      <c r="P700" s="567">
        <f t="shared" si="32"/>
        <v>3.5</v>
      </c>
      <c r="Q700" s="568">
        <f t="shared" si="30"/>
        <v>3.5</v>
      </c>
      <c r="R700" s="675"/>
    </row>
    <row r="701" spans="1:18" x14ac:dyDescent="0.2">
      <c r="A701" s="558" t="s">
        <v>277</v>
      </c>
      <c r="B701" s="559" t="s">
        <v>914</v>
      </c>
      <c r="C701" s="573" t="s">
        <v>316</v>
      </c>
      <c r="D701" s="327" t="s">
        <v>292</v>
      </c>
      <c r="E701" s="575" t="s">
        <v>1849</v>
      </c>
      <c r="F701" s="561" t="s">
        <v>946</v>
      </c>
      <c r="G701" s="562" t="s">
        <v>949</v>
      </c>
      <c r="H701" s="563" t="s">
        <v>924</v>
      </c>
      <c r="I701" s="578" t="s">
        <v>925</v>
      </c>
      <c r="J701" s="564" t="s">
        <v>757</v>
      </c>
      <c r="K701" s="561">
        <v>0</v>
      </c>
      <c r="L701" s="338" t="s">
        <v>926</v>
      </c>
      <c r="M701" s="565">
        <v>0</v>
      </c>
      <c r="N701" s="579">
        <v>0</v>
      </c>
      <c r="O701" s="566">
        <f t="shared" si="31"/>
        <v>0</v>
      </c>
      <c r="P701" s="567">
        <f t="shared" si="32"/>
        <v>0</v>
      </c>
      <c r="Q701" s="568" t="e">
        <f t="shared" si="30"/>
        <v>#DIV/0!</v>
      </c>
      <c r="R701" s="676" t="s">
        <v>1919</v>
      </c>
    </row>
    <row r="702" spans="1:18" x14ac:dyDescent="0.2">
      <c r="A702" s="558" t="s">
        <v>277</v>
      </c>
      <c r="B702" s="559" t="s">
        <v>914</v>
      </c>
      <c r="C702" s="573" t="s">
        <v>316</v>
      </c>
      <c r="D702" s="327" t="s">
        <v>294</v>
      </c>
      <c r="E702" s="575" t="s">
        <v>1849</v>
      </c>
      <c r="F702" s="561" t="s">
        <v>946</v>
      </c>
      <c r="G702" s="562" t="s">
        <v>949</v>
      </c>
      <c r="H702" s="563" t="s">
        <v>924</v>
      </c>
      <c r="I702" s="578" t="s">
        <v>925</v>
      </c>
      <c r="J702" s="564" t="s">
        <v>757</v>
      </c>
      <c r="K702" s="561">
        <v>0</v>
      </c>
      <c r="L702" s="338" t="s">
        <v>926</v>
      </c>
      <c r="M702" s="565">
        <v>0</v>
      </c>
      <c r="N702" s="579">
        <v>0</v>
      </c>
      <c r="O702" s="566">
        <f t="shared" si="31"/>
        <v>0</v>
      </c>
      <c r="P702" s="567">
        <f t="shared" si="32"/>
        <v>0</v>
      </c>
      <c r="Q702" s="568" t="e">
        <f t="shared" si="30"/>
        <v>#DIV/0!</v>
      </c>
      <c r="R702" s="676" t="s">
        <v>1919</v>
      </c>
    </row>
    <row r="703" spans="1:18" x14ac:dyDescent="0.2">
      <c r="A703" s="558" t="s">
        <v>277</v>
      </c>
      <c r="B703" s="559" t="s">
        <v>914</v>
      </c>
      <c r="C703" s="573" t="s">
        <v>308</v>
      </c>
      <c r="D703" s="327" t="s">
        <v>300</v>
      </c>
      <c r="E703" s="575" t="s">
        <v>1715</v>
      </c>
      <c r="F703" s="561" t="s">
        <v>946</v>
      </c>
      <c r="G703" s="562" t="s">
        <v>949</v>
      </c>
      <c r="H703" s="563" t="s">
        <v>927</v>
      </c>
      <c r="I703" s="578" t="s">
        <v>925</v>
      </c>
      <c r="J703" s="564" t="s">
        <v>757</v>
      </c>
      <c r="K703" s="561">
        <v>38</v>
      </c>
      <c r="L703" s="338"/>
      <c r="M703" s="565">
        <v>51</v>
      </c>
      <c r="N703" s="579">
        <v>1</v>
      </c>
      <c r="O703" s="566">
        <f t="shared" si="31"/>
        <v>1.9607843137254902E-2</v>
      </c>
      <c r="P703" s="567">
        <f t="shared" si="32"/>
        <v>5.1599587203302377E-2</v>
      </c>
      <c r="Q703" s="568">
        <f t="shared" si="30"/>
        <v>5.1599587203302377E-2</v>
      </c>
      <c r="R703" s="675"/>
    </row>
    <row r="704" spans="1:18" x14ac:dyDescent="0.2">
      <c r="A704" s="558" t="s">
        <v>277</v>
      </c>
      <c r="B704" s="559" t="s">
        <v>914</v>
      </c>
      <c r="C704" s="573" t="s">
        <v>308</v>
      </c>
      <c r="D704" s="327" t="s">
        <v>292</v>
      </c>
      <c r="E704" s="575" t="s">
        <v>1850</v>
      </c>
      <c r="F704" s="561" t="s">
        <v>946</v>
      </c>
      <c r="G704" s="562" t="s">
        <v>949</v>
      </c>
      <c r="H704" s="563" t="s">
        <v>924</v>
      </c>
      <c r="I704" s="578" t="s">
        <v>925</v>
      </c>
      <c r="J704" s="564" t="s">
        <v>757</v>
      </c>
      <c r="K704" s="561">
        <v>0</v>
      </c>
      <c r="L704" s="338" t="s">
        <v>926</v>
      </c>
      <c r="M704" s="565">
        <v>7</v>
      </c>
      <c r="N704" s="579">
        <v>2</v>
      </c>
      <c r="O704" s="566">
        <f t="shared" si="31"/>
        <v>0.2857142857142857</v>
      </c>
      <c r="P704" s="567">
        <f t="shared" si="32"/>
        <v>0</v>
      </c>
      <c r="Q704" s="568" t="e">
        <f t="shared" si="30"/>
        <v>#DIV/0!</v>
      </c>
      <c r="R704" s="676" t="s">
        <v>926</v>
      </c>
    </row>
    <row r="705" spans="1:18" x14ac:dyDescent="0.2">
      <c r="A705" s="558" t="s">
        <v>277</v>
      </c>
      <c r="B705" s="559" t="s">
        <v>914</v>
      </c>
      <c r="C705" s="573" t="s">
        <v>308</v>
      </c>
      <c r="D705" s="327" t="s">
        <v>294</v>
      </c>
      <c r="E705" s="575" t="s">
        <v>1850</v>
      </c>
      <c r="F705" s="561" t="s">
        <v>946</v>
      </c>
      <c r="G705" s="562" t="s">
        <v>949</v>
      </c>
      <c r="H705" s="563" t="s">
        <v>924</v>
      </c>
      <c r="I705" s="578" t="s">
        <v>925</v>
      </c>
      <c r="J705" s="564" t="s">
        <v>757</v>
      </c>
      <c r="K705" s="561">
        <v>0</v>
      </c>
      <c r="L705" s="338" t="s">
        <v>926</v>
      </c>
      <c r="M705" s="565">
        <v>1</v>
      </c>
      <c r="N705" s="579">
        <v>0</v>
      </c>
      <c r="O705" s="566">
        <f t="shared" si="31"/>
        <v>0</v>
      </c>
      <c r="P705" s="567">
        <f t="shared" si="32"/>
        <v>0</v>
      </c>
      <c r="Q705" s="568" t="e">
        <f t="shared" si="30"/>
        <v>#DIV/0!</v>
      </c>
      <c r="R705" s="676" t="s">
        <v>926</v>
      </c>
    </row>
    <row r="706" spans="1:18" x14ac:dyDescent="0.2">
      <c r="A706" s="558" t="s">
        <v>277</v>
      </c>
      <c r="B706" s="559" t="s">
        <v>914</v>
      </c>
      <c r="C706" s="573" t="s">
        <v>305</v>
      </c>
      <c r="D706" s="327" t="s">
        <v>300</v>
      </c>
      <c r="E706" s="575" t="s">
        <v>1715</v>
      </c>
      <c r="F706" s="561" t="s">
        <v>946</v>
      </c>
      <c r="G706" s="562" t="s">
        <v>949</v>
      </c>
      <c r="H706" s="563" t="s">
        <v>927</v>
      </c>
      <c r="I706" s="578" t="s">
        <v>925</v>
      </c>
      <c r="J706" s="564" t="s">
        <v>757</v>
      </c>
      <c r="K706" s="561">
        <v>5</v>
      </c>
      <c r="L706" s="338"/>
      <c r="M706" s="565">
        <v>568</v>
      </c>
      <c r="N706" s="579">
        <v>15</v>
      </c>
      <c r="O706" s="566">
        <f t="shared" si="31"/>
        <v>2.6408450704225352E-2</v>
      </c>
      <c r="P706" s="567">
        <f t="shared" si="32"/>
        <v>0.528169014084507</v>
      </c>
      <c r="Q706" s="568">
        <f t="shared" si="30"/>
        <v>0.52816901408450712</v>
      </c>
      <c r="R706" s="675"/>
    </row>
    <row r="707" spans="1:18" x14ac:dyDescent="0.2">
      <c r="A707" s="558" t="s">
        <v>277</v>
      </c>
      <c r="B707" s="559" t="s">
        <v>914</v>
      </c>
      <c r="C707" s="573" t="s">
        <v>305</v>
      </c>
      <c r="D707" s="327" t="s">
        <v>292</v>
      </c>
      <c r="E707" s="575" t="s">
        <v>1715</v>
      </c>
      <c r="F707" s="561" t="s">
        <v>946</v>
      </c>
      <c r="G707" s="562" t="s">
        <v>949</v>
      </c>
      <c r="H707" s="563" t="s">
        <v>924</v>
      </c>
      <c r="I707" s="578" t="s">
        <v>925</v>
      </c>
      <c r="J707" s="564" t="s">
        <v>757</v>
      </c>
      <c r="K707" s="561">
        <v>32</v>
      </c>
      <c r="L707" s="338"/>
      <c r="M707" s="565">
        <v>85</v>
      </c>
      <c r="N707" s="579">
        <v>16</v>
      </c>
      <c r="O707" s="566">
        <f t="shared" si="31"/>
        <v>0.18823529411764706</v>
      </c>
      <c r="P707" s="567">
        <f t="shared" si="32"/>
        <v>0.58823529411764708</v>
      </c>
      <c r="Q707" s="568">
        <f t="shared" si="30"/>
        <v>0.58823529411764708</v>
      </c>
      <c r="R707" s="675"/>
    </row>
    <row r="708" spans="1:18" x14ac:dyDescent="0.2">
      <c r="A708" s="558" t="s">
        <v>277</v>
      </c>
      <c r="B708" s="559" t="s">
        <v>914</v>
      </c>
      <c r="C708" s="573" t="s">
        <v>305</v>
      </c>
      <c r="D708" s="327" t="s">
        <v>294</v>
      </c>
      <c r="E708" s="575" t="s">
        <v>1851</v>
      </c>
      <c r="F708" s="561" t="s">
        <v>946</v>
      </c>
      <c r="G708" s="562" t="s">
        <v>949</v>
      </c>
      <c r="H708" s="563" t="s">
        <v>924</v>
      </c>
      <c r="I708" s="578" t="s">
        <v>925</v>
      </c>
      <c r="J708" s="564" t="s">
        <v>757</v>
      </c>
      <c r="K708" s="561">
        <v>33</v>
      </c>
      <c r="L708" s="338"/>
      <c r="M708" s="565">
        <v>24</v>
      </c>
      <c r="N708" s="579">
        <v>4</v>
      </c>
      <c r="O708" s="566">
        <f t="shared" si="31"/>
        <v>0.16666666666666666</v>
      </c>
      <c r="P708" s="567">
        <f t="shared" si="32"/>
        <v>0.50505050505050508</v>
      </c>
      <c r="Q708" s="568">
        <f t="shared" si="30"/>
        <v>0.50505050505050508</v>
      </c>
      <c r="R708" s="675"/>
    </row>
    <row r="709" spans="1:18" x14ac:dyDescent="0.2">
      <c r="A709" s="558" t="s">
        <v>277</v>
      </c>
      <c r="B709" s="559" t="s">
        <v>914</v>
      </c>
      <c r="C709" s="573" t="s">
        <v>305</v>
      </c>
      <c r="D709" s="327" t="s">
        <v>285</v>
      </c>
      <c r="E709" s="575" t="s">
        <v>1851</v>
      </c>
      <c r="F709" s="561" t="s">
        <v>946</v>
      </c>
      <c r="G709" s="562" t="s">
        <v>949</v>
      </c>
      <c r="H709" s="563" t="s">
        <v>924</v>
      </c>
      <c r="I709" s="578" t="s">
        <v>925</v>
      </c>
      <c r="J709" s="564" t="s">
        <v>757</v>
      </c>
      <c r="K709" s="561">
        <v>0</v>
      </c>
      <c r="L709" s="338" t="s">
        <v>926</v>
      </c>
      <c r="M709" s="565">
        <v>2</v>
      </c>
      <c r="N709" s="579">
        <v>0</v>
      </c>
      <c r="O709" s="566">
        <f t="shared" si="31"/>
        <v>0</v>
      </c>
      <c r="P709" s="567">
        <f t="shared" si="32"/>
        <v>0</v>
      </c>
      <c r="Q709" s="568" t="e">
        <f t="shared" ref="Q709:Q772" si="33">N709/(M709*K709/100)</f>
        <v>#DIV/0!</v>
      </c>
      <c r="R709" s="676" t="s">
        <v>926</v>
      </c>
    </row>
    <row r="710" spans="1:18" x14ac:dyDescent="0.2">
      <c r="A710" s="558" t="s">
        <v>277</v>
      </c>
      <c r="B710" s="559" t="s">
        <v>914</v>
      </c>
      <c r="C710" s="573" t="s">
        <v>97</v>
      </c>
      <c r="D710" s="327" t="s">
        <v>282</v>
      </c>
      <c r="E710" s="575" t="s">
        <v>1843</v>
      </c>
      <c r="F710" s="561" t="s">
        <v>946</v>
      </c>
      <c r="G710" s="562" t="s">
        <v>950</v>
      </c>
      <c r="H710" s="563" t="s">
        <v>924</v>
      </c>
      <c r="I710" s="578" t="s">
        <v>925</v>
      </c>
      <c r="J710" s="564" t="s">
        <v>757</v>
      </c>
      <c r="K710" s="561">
        <v>33</v>
      </c>
      <c r="L710" s="338"/>
      <c r="M710" s="565">
        <v>6</v>
      </c>
      <c r="N710" s="579">
        <v>0</v>
      </c>
      <c r="O710" s="566">
        <f t="shared" ref="O710:O773" si="34">IFERROR(N710/M710,0)</f>
        <v>0</v>
      </c>
      <c r="P710" s="567">
        <f t="shared" ref="P710:P773" si="35">IFERROR(N710/(M710*(K710/100)),0)</f>
        <v>0</v>
      </c>
      <c r="Q710" s="568">
        <f t="shared" si="33"/>
        <v>0</v>
      </c>
      <c r="R710" s="676" t="s">
        <v>1855</v>
      </c>
    </row>
    <row r="711" spans="1:18" x14ac:dyDescent="0.2">
      <c r="A711" s="558" t="s">
        <v>277</v>
      </c>
      <c r="B711" s="559" t="s">
        <v>914</v>
      </c>
      <c r="C711" s="573" t="s">
        <v>97</v>
      </c>
      <c r="D711" s="327" t="s">
        <v>285</v>
      </c>
      <c r="E711" s="575" t="s">
        <v>1843</v>
      </c>
      <c r="F711" s="561" t="s">
        <v>946</v>
      </c>
      <c r="G711" s="562" t="s">
        <v>950</v>
      </c>
      <c r="H711" s="563" t="s">
        <v>924</v>
      </c>
      <c r="I711" s="578" t="s">
        <v>925</v>
      </c>
      <c r="J711" s="564" t="s">
        <v>757</v>
      </c>
      <c r="K711" s="561">
        <v>0</v>
      </c>
      <c r="L711" s="338" t="s">
        <v>926</v>
      </c>
      <c r="M711" s="565">
        <v>8</v>
      </c>
      <c r="N711" s="579">
        <v>0</v>
      </c>
      <c r="O711" s="566">
        <f t="shared" si="34"/>
        <v>0</v>
      </c>
      <c r="P711" s="567">
        <f t="shared" si="35"/>
        <v>0</v>
      </c>
      <c r="Q711" s="568" t="e">
        <f t="shared" si="33"/>
        <v>#DIV/0!</v>
      </c>
      <c r="R711" s="676" t="s">
        <v>926</v>
      </c>
    </row>
    <row r="712" spans="1:18" x14ac:dyDescent="0.2">
      <c r="A712" s="558" t="s">
        <v>277</v>
      </c>
      <c r="B712" s="559" t="s">
        <v>914</v>
      </c>
      <c r="C712" s="573" t="s">
        <v>286</v>
      </c>
      <c r="D712" s="327" t="s">
        <v>300</v>
      </c>
      <c r="E712" s="575" t="s">
        <v>1715</v>
      </c>
      <c r="F712" s="561" t="s">
        <v>946</v>
      </c>
      <c r="G712" s="562" t="s">
        <v>950</v>
      </c>
      <c r="H712" s="563" t="s">
        <v>927</v>
      </c>
      <c r="I712" s="578" t="s">
        <v>925</v>
      </c>
      <c r="J712" s="564" t="s">
        <v>757</v>
      </c>
      <c r="K712" s="561">
        <v>0</v>
      </c>
      <c r="L712" s="338" t="s">
        <v>926</v>
      </c>
      <c r="M712" s="565">
        <v>39</v>
      </c>
      <c r="N712" s="579">
        <v>4</v>
      </c>
      <c r="O712" s="566">
        <f t="shared" si="34"/>
        <v>0.10256410256410256</v>
      </c>
      <c r="P712" s="567">
        <f t="shared" si="35"/>
        <v>0</v>
      </c>
      <c r="Q712" s="568" t="e">
        <f t="shared" si="33"/>
        <v>#DIV/0!</v>
      </c>
      <c r="R712" s="676" t="s">
        <v>926</v>
      </c>
    </row>
    <row r="713" spans="1:18" x14ac:dyDescent="0.2">
      <c r="A713" s="558" t="s">
        <v>277</v>
      </c>
      <c r="B713" s="559" t="s">
        <v>914</v>
      </c>
      <c r="C713" s="573" t="s">
        <v>286</v>
      </c>
      <c r="D713" s="327" t="s">
        <v>292</v>
      </c>
      <c r="E713" s="575" t="s">
        <v>1715</v>
      </c>
      <c r="F713" s="561" t="s">
        <v>946</v>
      </c>
      <c r="G713" s="562" t="s">
        <v>950</v>
      </c>
      <c r="H713" s="563" t="s">
        <v>924</v>
      </c>
      <c r="I713" s="578" t="s">
        <v>925</v>
      </c>
      <c r="J713" s="564" t="s">
        <v>757</v>
      </c>
      <c r="K713" s="561">
        <v>26</v>
      </c>
      <c r="L713" s="338"/>
      <c r="M713" s="565">
        <v>12</v>
      </c>
      <c r="N713" s="579">
        <v>3</v>
      </c>
      <c r="O713" s="566">
        <f t="shared" si="34"/>
        <v>0.25</v>
      </c>
      <c r="P713" s="567">
        <f t="shared" si="35"/>
        <v>0.96153846153846145</v>
      </c>
      <c r="Q713" s="568">
        <f t="shared" si="33"/>
        <v>0.96153846153846145</v>
      </c>
      <c r="R713" s="675"/>
    </row>
    <row r="714" spans="1:18" x14ac:dyDescent="0.2">
      <c r="A714" s="558" t="s">
        <v>277</v>
      </c>
      <c r="B714" s="559" t="s">
        <v>914</v>
      </c>
      <c r="C714" s="573" t="s">
        <v>286</v>
      </c>
      <c r="D714" s="327" t="s">
        <v>294</v>
      </c>
      <c r="E714" s="575" t="s">
        <v>1715</v>
      </c>
      <c r="F714" s="561" t="s">
        <v>946</v>
      </c>
      <c r="G714" s="562" t="s">
        <v>950</v>
      </c>
      <c r="H714" s="563" t="s">
        <v>924</v>
      </c>
      <c r="I714" s="578" t="s">
        <v>925</v>
      </c>
      <c r="J714" s="564" t="s">
        <v>757</v>
      </c>
      <c r="K714" s="561">
        <v>16</v>
      </c>
      <c r="L714" s="338"/>
      <c r="M714" s="565">
        <v>40</v>
      </c>
      <c r="N714" s="579">
        <v>7</v>
      </c>
      <c r="O714" s="566">
        <f t="shared" si="34"/>
        <v>0.17499999999999999</v>
      </c>
      <c r="P714" s="567">
        <f t="shared" si="35"/>
        <v>1.09375</v>
      </c>
      <c r="Q714" s="568">
        <f t="shared" si="33"/>
        <v>1.09375</v>
      </c>
      <c r="R714" s="675"/>
    </row>
    <row r="715" spans="1:18" x14ac:dyDescent="0.2">
      <c r="A715" s="558" t="s">
        <v>277</v>
      </c>
      <c r="B715" s="559" t="s">
        <v>914</v>
      </c>
      <c r="C715" s="573" t="s">
        <v>286</v>
      </c>
      <c r="D715" s="327" t="s">
        <v>282</v>
      </c>
      <c r="E715" s="575" t="s">
        <v>1715</v>
      </c>
      <c r="F715" s="561" t="s">
        <v>946</v>
      </c>
      <c r="G715" s="562" t="s">
        <v>950</v>
      </c>
      <c r="H715" s="563" t="s">
        <v>924</v>
      </c>
      <c r="I715" s="578" t="s">
        <v>925</v>
      </c>
      <c r="J715" s="564" t="s">
        <v>757</v>
      </c>
      <c r="K715" s="561">
        <v>6</v>
      </c>
      <c r="L715" s="338"/>
      <c r="M715" s="565">
        <v>68</v>
      </c>
      <c r="N715" s="579">
        <v>11</v>
      </c>
      <c r="O715" s="566">
        <f t="shared" si="34"/>
        <v>0.16176470588235295</v>
      </c>
      <c r="P715" s="567">
        <f t="shared" si="35"/>
        <v>2.6960784313725488</v>
      </c>
      <c r="Q715" s="568">
        <f t="shared" si="33"/>
        <v>2.6960784313725488</v>
      </c>
      <c r="R715" s="675"/>
    </row>
    <row r="716" spans="1:18" x14ac:dyDescent="0.2">
      <c r="A716" s="558" t="s">
        <v>277</v>
      </c>
      <c r="B716" s="559" t="s">
        <v>914</v>
      </c>
      <c r="C716" s="573" t="s">
        <v>286</v>
      </c>
      <c r="D716" s="327" t="s">
        <v>285</v>
      </c>
      <c r="E716" s="575" t="s">
        <v>1715</v>
      </c>
      <c r="F716" s="561" t="s">
        <v>946</v>
      </c>
      <c r="G716" s="562" t="s">
        <v>950</v>
      </c>
      <c r="H716" s="563" t="s">
        <v>924</v>
      </c>
      <c r="I716" s="578" t="s">
        <v>925</v>
      </c>
      <c r="J716" s="564" t="s">
        <v>757</v>
      </c>
      <c r="K716" s="561">
        <v>8</v>
      </c>
      <c r="L716" s="338"/>
      <c r="M716" s="565">
        <v>47</v>
      </c>
      <c r="N716" s="579">
        <v>8</v>
      </c>
      <c r="O716" s="566">
        <f t="shared" si="34"/>
        <v>0.1702127659574468</v>
      </c>
      <c r="P716" s="567">
        <f t="shared" si="35"/>
        <v>2.1276595744680851</v>
      </c>
      <c r="Q716" s="568">
        <f t="shared" si="33"/>
        <v>2.1276595744680851</v>
      </c>
      <c r="R716" s="675"/>
    </row>
    <row r="717" spans="1:18" x14ac:dyDescent="0.2">
      <c r="A717" s="558" t="s">
        <v>277</v>
      </c>
      <c r="B717" s="559" t="s">
        <v>914</v>
      </c>
      <c r="C717" s="573" t="s">
        <v>303</v>
      </c>
      <c r="D717" s="327" t="s">
        <v>300</v>
      </c>
      <c r="E717" s="575" t="s">
        <v>1715</v>
      </c>
      <c r="F717" s="561" t="s">
        <v>946</v>
      </c>
      <c r="G717" s="562" t="s">
        <v>950</v>
      </c>
      <c r="H717" s="563" t="s">
        <v>927</v>
      </c>
      <c r="I717" s="578" t="s">
        <v>925</v>
      </c>
      <c r="J717" s="564" t="s">
        <v>757</v>
      </c>
      <c r="K717" s="561">
        <v>28.999999999999996</v>
      </c>
      <c r="L717" s="338"/>
      <c r="M717" s="565">
        <v>144</v>
      </c>
      <c r="N717" s="579">
        <v>4</v>
      </c>
      <c r="O717" s="566">
        <f t="shared" si="34"/>
        <v>2.7777777777777776E-2</v>
      </c>
      <c r="P717" s="567">
        <f t="shared" si="35"/>
        <v>9.5785440613026823E-2</v>
      </c>
      <c r="Q717" s="568">
        <f t="shared" si="33"/>
        <v>9.5785440613026837E-2</v>
      </c>
      <c r="R717" s="675"/>
    </row>
    <row r="718" spans="1:18" x14ac:dyDescent="0.2">
      <c r="A718" s="558" t="s">
        <v>277</v>
      </c>
      <c r="B718" s="559" t="s">
        <v>914</v>
      </c>
      <c r="C718" s="573" t="s">
        <v>303</v>
      </c>
      <c r="D718" s="327" t="s">
        <v>292</v>
      </c>
      <c r="E718" s="575" t="s">
        <v>1844</v>
      </c>
      <c r="F718" s="561" t="s">
        <v>946</v>
      </c>
      <c r="G718" s="562" t="s">
        <v>950</v>
      </c>
      <c r="H718" s="563" t="s">
        <v>924</v>
      </c>
      <c r="I718" s="578" t="s">
        <v>925</v>
      </c>
      <c r="J718" s="564" t="s">
        <v>757</v>
      </c>
      <c r="K718" s="561">
        <v>8</v>
      </c>
      <c r="L718" s="338"/>
      <c r="M718" s="565">
        <v>42</v>
      </c>
      <c r="N718" s="579">
        <v>1</v>
      </c>
      <c r="O718" s="566">
        <f t="shared" si="34"/>
        <v>2.3809523809523808E-2</v>
      </c>
      <c r="P718" s="567">
        <f t="shared" si="35"/>
        <v>0.29761904761904762</v>
      </c>
      <c r="Q718" s="568">
        <f t="shared" si="33"/>
        <v>0.29761904761904762</v>
      </c>
      <c r="R718" s="675"/>
    </row>
    <row r="719" spans="1:18" x14ac:dyDescent="0.2">
      <c r="A719" s="558" t="s">
        <v>277</v>
      </c>
      <c r="B719" s="559" t="s">
        <v>914</v>
      </c>
      <c r="C719" s="573" t="s">
        <v>303</v>
      </c>
      <c r="D719" s="327" t="s">
        <v>294</v>
      </c>
      <c r="E719" s="575" t="s">
        <v>1844</v>
      </c>
      <c r="F719" s="561" t="s">
        <v>946</v>
      </c>
      <c r="G719" s="562" t="s">
        <v>950</v>
      </c>
      <c r="H719" s="563" t="s">
        <v>924</v>
      </c>
      <c r="I719" s="578" t="s">
        <v>925</v>
      </c>
      <c r="J719" s="564" t="s">
        <v>757</v>
      </c>
      <c r="K719" s="561">
        <v>0</v>
      </c>
      <c r="L719" s="338" t="s">
        <v>926</v>
      </c>
      <c r="M719" s="565">
        <v>10</v>
      </c>
      <c r="N719" s="579">
        <v>1</v>
      </c>
      <c r="O719" s="566">
        <f t="shared" si="34"/>
        <v>0.1</v>
      </c>
      <c r="P719" s="567">
        <f t="shared" si="35"/>
        <v>0</v>
      </c>
      <c r="Q719" s="568" t="e">
        <f t="shared" si="33"/>
        <v>#DIV/0!</v>
      </c>
      <c r="R719" s="676" t="s">
        <v>926</v>
      </c>
    </row>
    <row r="720" spans="1:18" x14ac:dyDescent="0.2">
      <c r="A720" s="558" t="s">
        <v>277</v>
      </c>
      <c r="B720" s="559" t="s">
        <v>914</v>
      </c>
      <c r="C720" s="573" t="s">
        <v>303</v>
      </c>
      <c r="D720" s="327" t="s">
        <v>282</v>
      </c>
      <c r="E720" s="575" t="s">
        <v>1845</v>
      </c>
      <c r="F720" s="561" t="s">
        <v>946</v>
      </c>
      <c r="G720" s="562" t="s">
        <v>950</v>
      </c>
      <c r="H720" s="563" t="s">
        <v>924</v>
      </c>
      <c r="I720" s="578" t="s">
        <v>925</v>
      </c>
      <c r="J720" s="564" t="s">
        <v>757</v>
      </c>
      <c r="K720" s="561">
        <v>0</v>
      </c>
      <c r="L720" s="338" t="s">
        <v>926</v>
      </c>
      <c r="M720" s="565">
        <v>2</v>
      </c>
      <c r="N720" s="579">
        <v>0</v>
      </c>
      <c r="O720" s="566">
        <f t="shared" si="34"/>
        <v>0</v>
      </c>
      <c r="P720" s="567">
        <f t="shared" si="35"/>
        <v>0</v>
      </c>
      <c r="Q720" s="568" t="e">
        <f t="shared" si="33"/>
        <v>#DIV/0!</v>
      </c>
      <c r="R720" s="676" t="s">
        <v>926</v>
      </c>
    </row>
    <row r="721" spans="1:18" x14ac:dyDescent="0.2">
      <c r="A721" s="558" t="s">
        <v>277</v>
      </c>
      <c r="B721" s="559" t="s">
        <v>914</v>
      </c>
      <c r="C721" s="573" t="s">
        <v>303</v>
      </c>
      <c r="D721" s="327" t="s">
        <v>285</v>
      </c>
      <c r="E721" s="575" t="s">
        <v>1845</v>
      </c>
      <c r="F721" s="561" t="s">
        <v>946</v>
      </c>
      <c r="G721" s="562" t="s">
        <v>950</v>
      </c>
      <c r="H721" s="563" t="s">
        <v>924</v>
      </c>
      <c r="I721" s="578" t="s">
        <v>925</v>
      </c>
      <c r="J721" s="564" t="s">
        <v>757</v>
      </c>
      <c r="K721" s="561">
        <v>0</v>
      </c>
      <c r="L721" s="338" t="s">
        <v>926</v>
      </c>
      <c r="M721" s="565">
        <v>5</v>
      </c>
      <c r="N721" s="579">
        <v>0</v>
      </c>
      <c r="O721" s="566">
        <f t="shared" si="34"/>
        <v>0</v>
      </c>
      <c r="P721" s="567">
        <f t="shared" si="35"/>
        <v>0</v>
      </c>
      <c r="Q721" s="568" t="e">
        <f t="shared" si="33"/>
        <v>#DIV/0!</v>
      </c>
      <c r="R721" s="676" t="s">
        <v>926</v>
      </c>
    </row>
    <row r="722" spans="1:18" x14ac:dyDescent="0.2">
      <c r="A722" s="558" t="s">
        <v>277</v>
      </c>
      <c r="B722" s="559" t="s">
        <v>914</v>
      </c>
      <c r="C722" s="573" t="s">
        <v>99</v>
      </c>
      <c r="D722" s="327" t="s">
        <v>300</v>
      </c>
      <c r="E722" s="575" t="s">
        <v>1715</v>
      </c>
      <c r="F722" s="561" t="s">
        <v>946</v>
      </c>
      <c r="G722" s="562" t="s">
        <v>950</v>
      </c>
      <c r="H722" s="563" t="s">
        <v>927</v>
      </c>
      <c r="I722" s="578" t="s">
        <v>925</v>
      </c>
      <c r="J722" s="564" t="s">
        <v>757</v>
      </c>
      <c r="K722" s="561">
        <v>17</v>
      </c>
      <c r="L722" s="338"/>
      <c r="M722" s="565">
        <v>158</v>
      </c>
      <c r="N722" s="579">
        <v>5</v>
      </c>
      <c r="O722" s="566">
        <f t="shared" si="34"/>
        <v>3.1645569620253167E-2</v>
      </c>
      <c r="P722" s="567">
        <f t="shared" si="35"/>
        <v>0.18615040953090095</v>
      </c>
      <c r="Q722" s="568">
        <f t="shared" si="33"/>
        <v>0.18615040953090098</v>
      </c>
      <c r="R722" s="675"/>
    </row>
    <row r="723" spans="1:18" x14ac:dyDescent="0.2">
      <c r="A723" s="558" t="s">
        <v>277</v>
      </c>
      <c r="B723" s="559" t="s">
        <v>914</v>
      </c>
      <c r="C723" s="573" t="s">
        <v>99</v>
      </c>
      <c r="D723" s="327" t="s">
        <v>292</v>
      </c>
      <c r="E723" s="575" t="s">
        <v>1715</v>
      </c>
      <c r="F723" s="561" t="s">
        <v>946</v>
      </c>
      <c r="G723" s="562" t="s">
        <v>950</v>
      </c>
      <c r="H723" s="563" t="s">
        <v>924</v>
      </c>
      <c r="I723" s="578" t="s">
        <v>925</v>
      </c>
      <c r="J723" s="564" t="s">
        <v>757</v>
      </c>
      <c r="K723" s="561">
        <v>36</v>
      </c>
      <c r="L723" s="338"/>
      <c r="M723" s="565">
        <v>7</v>
      </c>
      <c r="N723" s="579">
        <v>1</v>
      </c>
      <c r="O723" s="566">
        <f t="shared" si="34"/>
        <v>0.14285714285714285</v>
      </c>
      <c r="P723" s="567">
        <f t="shared" si="35"/>
        <v>0.3968253968253968</v>
      </c>
      <c r="Q723" s="568">
        <f t="shared" si="33"/>
        <v>0.3968253968253968</v>
      </c>
      <c r="R723" s="675"/>
    </row>
    <row r="724" spans="1:18" x14ac:dyDescent="0.2">
      <c r="A724" s="558" t="s">
        <v>277</v>
      </c>
      <c r="B724" s="559" t="s">
        <v>914</v>
      </c>
      <c r="C724" s="573" t="s">
        <v>99</v>
      </c>
      <c r="D724" s="327" t="s">
        <v>294</v>
      </c>
      <c r="E724" s="575" t="s">
        <v>1846</v>
      </c>
      <c r="F724" s="561" t="s">
        <v>946</v>
      </c>
      <c r="G724" s="562" t="s">
        <v>950</v>
      </c>
      <c r="H724" s="563" t="s">
        <v>924</v>
      </c>
      <c r="I724" s="578" t="s">
        <v>925</v>
      </c>
      <c r="J724" s="564" t="s">
        <v>757</v>
      </c>
      <c r="K724" s="561">
        <v>80</v>
      </c>
      <c r="L724" s="338"/>
      <c r="M724" s="565">
        <v>8</v>
      </c>
      <c r="N724" s="579">
        <v>3</v>
      </c>
      <c r="O724" s="566">
        <f t="shared" si="34"/>
        <v>0.375</v>
      </c>
      <c r="P724" s="567">
        <f t="shared" si="35"/>
        <v>0.46875</v>
      </c>
      <c r="Q724" s="568">
        <f t="shared" si="33"/>
        <v>0.46875</v>
      </c>
      <c r="R724" s="675"/>
    </row>
    <row r="725" spans="1:18" x14ac:dyDescent="0.2">
      <c r="A725" s="558" t="s">
        <v>277</v>
      </c>
      <c r="B725" s="559" t="s">
        <v>914</v>
      </c>
      <c r="C725" s="573" t="s">
        <v>99</v>
      </c>
      <c r="D725" s="327" t="s">
        <v>282</v>
      </c>
      <c r="E725" s="575" t="s">
        <v>1846</v>
      </c>
      <c r="F725" s="561" t="s">
        <v>946</v>
      </c>
      <c r="G725" s="562" t="s">
        <v>950</v>
      </c>
      <c r="H725" s="563" t="s">
        <v>924</v>
      </c>
      <c r="I725" s="578" t="s">
        <v>925</v>
      </c>
      <c r="J725" s="564" t="s">
        <v>757</v>
      </c>
      <c r="K725" s="561">
        <v>0</v>
      </c>
      <c r="L725" s="338" t="s">
        <v>926</v>
      </c>
      <c r="M725" s="565">
        <v>4</v>
      </c>
      <c r="N725" s="579">
        <v>0</v>
      </c>
      <c r="O725" s="566">
        <f t="shared" si="34"/>
        <v>0</v>
      </c>
      <c r="P725" s="567">
        <f t="shared" si="35"/>
        <v>0</v>
      </c>
      <c r="Q725" s="568" t="e">
        <f t="shared" si="33"/>
        <v>#DIV/0!</v>
      </c>
      <c r="R725" s="676" t="s">
        <v>926</v>
      </c>
    </row>
    <row r="726" spans="1:18" x14ac:dyDescent="0.2">
      <c r="A726" s="558" t="s">
        <v>277</v>
      </c>
      <c r="B726" s="559" t="s">
        <v>914</v>
      </c>
      <c r="C726" s="573" t="s">
        <v>99</v>
      </c>
      <c r="D726" s="327" t="s">
        <v>285</v>
      </c>
      <c r="E726" s="575" t="s">
        <v>1846</v>
      </c>
      <c r="F726" s="561" t="s">
        <v>946</v>
      </c>
      <c r="G726" s="562" t="s">
        <v>950</v>
      </c>
      <c r="H726" s="563" t="s">
        <v>924</v>
      </c>
      <c r="I726" s="578" t="s">
        <v>925</v>
      </c>
      <c r="J726" s="564" t="s">
        <v>757</v>
      </c>
      <c r="K726" s="561">
        <v>0</v>
      </c>
      <c r="L726" s="338" t="s">
        <v>926</v>
      </c>
      <c r="M726" s="565">
        <v>1</v>
      </c>
      <c r="N726" s="579">
        <v>0</v>
      </c>
      <c r="O726" s="566">
        <f t="shared" si="34"/>
        <v>0</v>
      </c>
      <c r="P726" s="567">
        <f t="shared" si="35"/>
        <v>0</v>
      </c>
      <c r="Q726" s="568" t="e">
        <f t="shared" si="33"/>
        <v>#DIV/0!</v>
      </c>
      <c r="R726" s="676" t="s">
        <v>926</v>
      </c>
    </row>
    <row r="727" spans="1:18" x14ac:dyDescent="0.2">
      <c r="A727" s="558" t="s">
        <v>277</v>
      </c>
      <c r="B727" s="559" t="s">
        <v>914</v>
      </c>
      <c r="C727" s="573" t="s">
        <v>296</v>
      </c>
      <c r="D727" s="327" t="s">
        <v>300</v>
      </c>
      <c r="E727" s="575" t="s">
        <v>1847</v>
      </c>
      <c r="F727" s="561" t="s">
        <v>946</v>
      </c>
      <c r="G727" s="562" t="s">
        <v>950</v>
      </c>
      <c r="H727" s="563" t="s">
        <v>927</v>
      </c>
      <c r="I727" s="578" t="s">
        <v>925</v>
      </c>
      <c r="J727" s="564" t="s">
        <v>757</v>
      </c>
      <c r="K727" s="561">
        <v>13</v>
      </c>
      <c r="L727" s="338"/>
      <c r="M727" s="565">
        <v>0</v>
      </c>
      <c r="N727" s="579">
        <v>0</v>
      </c>
      <c r="O727" s="566">
        <f t="shared" si="34"/>
        <v>0</v>
      </c>
      <c r="P727" s="567">
        <f t="shared" si="35"/>
        <v>0</v>
      </c>
      <c r="Q727" s="568" t="e">
        <f t="shared" si="33"/>
        <v>#DIV/0!</v>
      </c>
      <c r="R727" s="676" t="s">
        <v>1919</v>
      </c>
    </row>
    <row r="728" spans="1:18" x14ac:dyDescent="0.2">
      <c r="A728" s="558" t="s">
        <v>277</v>
      </c>
      <c r="B728" s="559" t="s">
        <v>914</v>
      </c>
      <c r="C728" s="573" t="s">
        <v>296</v>
      </c>
      <c r="D728" s="327" t="s">
        <v>292</v>
      </c>
      <c r="E728" s="575" t="s">
        <v>1847</v>
      </c>
      <c r="F728" s="561" t="s">
        <v>946</v>
      </c>
      <c r="G728" s="562" t="s">
        <v>950</v>
      </c>
      <c r="H728" s="563" t="s">
        <v>924</v>
      </c>
      <c r="I728" s="578" t="s">
        <v>925</v>
      </c>
      <c r="J728" s="564" t="s">
        <v>757</v>
      </c>
      <c r="K728" s="561">
        <v>0</v>
      </c>
      <c r="L728" s="338" t="s">
        <v>926</v>
      </c>
      <c r="M728" s="565">
        <v>3</v>
      </c>
      <c r="N728" s="579">
        <v>0</v>
      </c>
      <c r="O728" s="566">
        <f t="shared" si="34"/>
        <v>0</v>
      </c>
      <c r="P728" s="567">
        <f t="shared" si="35"/>
        <v>0</v>
      </c>
      <c r="Q728" s="568" t="e">
        <f t="shared" si="33"/>
        <v>#DIV/0!</v>
      </c>
      <c r="R728" s="676" t="s">
        <v>926</v>
      </c>
    </row>
    <row r="729" spans="1:18" x14ac:dyDescent="0.2">
      <c r="A729" s="558" t="s">
        <v>277</v>
      </c>
      <c r="B729" s="559" t="s">
        <v>914</v>
      </c>
      <c r="C729" s="573" t="s">
        <v>296</v>
      </c>
      <c r="D729" s="327" t="s">
        <v>294</v>
      </c>
      <c r="E729" s="575" t="s">
        <v>1848</v>
      </c>
      <c r="F729" s="561" t="s">
        <v>946</v>
      </c>
      <c r="G729" s="562" t="s">
        <v>950</v>
      </c>
      <c r="H729" s="563" t="s">
        <v>924</v>
      </c>
      <c r="I729" s="578" t="s">
        <v>925</v>
      </c>
      <c r="J729" s="564" t="s">
        <v>757</v>
      </c>
      <c r="K729" s="561">
        <v>0</v>
      </c>
      <c r="L729" s="338" t="s">
        <v>926</v>
      </c>
      <c r="M729" s="565">
        <v>1</v>
      </c>
      <c r="N729" s="579">
        <v>0</v>
      </c>
      <c r="O729" s="566">
        <f t="shared" si="34"/>
        <v>0</v>
      </c>
      <c r="P729" s="567">
        <f t="shared" si="35"/>
        <v>0</v>
      </c>
      <c r="Q729" s="568" t="e">
        <f t="shared" si="33"/>
        <v>#DIV/0!</v>
      </c>
      <c r="R729" s="676" t="s">
        <v>926</v>
      </c>
    </row>
    <row r="730" spans="1:18" x14ac:dyDescent="0.2">
      <c r="A730" s="558" t="s">
        <v>277</v>
      </c>
      <c r="B730" s="559" t="s">
        <v>914</v>
      </c>
      <c r="C730" s="573" t="s">
        <v>296</v>
      </c>
      <c r="D730" s="327" t="s">
        <v>282</v>
      </c>
      <c r="E730" s="575" t="s">
        <v>1848</v>
      </c>
      <c r="F730" s="561" t="s">
        <v>946</v>
      </c>
      <c r="G730" s="562" t="s">
        <v>950</v>
      </c>
      <c r="H730" s="563" t="s">
        <v>924</v>
      </c>
      <c r="I730" s="578" t="s">
        <v>925</v>
      </c>
      <c r="J730" s="564" t="s">
        <v>757</v>
      </c>
      <c r="K730" s="561">
        <v>0</v>
      </c>
      <c r="L730" s="338" t="s">
        <v>926</v>
      </c>
      <c r="M730" s="565">
        <v>2</v>
      </c>
      <c r="N730" s="579">
        <v>0</v>
      </c>
      <c r="O730" s="566">
        <f t="shared" si="34"/>
        <v>0</v>
      </c>
      <c r="P730" s="567">
        <f t="shared" si="35"/>
        <v>0</v>
      </c>
      <c r="Q730" s="568" t="e">
        <f t="shared" si="33"/>
        <v>#DIV/0!</v>
      </c>
      <c r="R730" s="676" t="s">
        <v>926</v>
      </c>
    </row>
    <row r="731" spans="1:18" x14ac:dyDescent="0.2">
      <c r="A731" s="558" t="s">
        <v>277</v>
      </c>
      <c r="B731" s="559" t="s">
        <v>914</v>
      </c>
      <c r="C731" s="573" t="s">
        <v>296</v>
      </c>
      <c r="D731" s="327" t="s">
        <v>285</v>
      </c>
      <c r="E731" s="575" t="s">
        <v>1715</v>
      </c>
      <c r="F731" s="561" t="s">
        <v>946</v>
      </c>
      <c r="G731" s="562" t="s">
        <v>950</v>
      </c>
      <c r="H731" s="563" t="s">
        <v>924</v>
      </c>
      <c r="I731" s="578" t="s">
        <v>925</v>
      </c>
      <c r="J731" s="564" t="s">
        <v>757</v>
      </c>
      <c r="K731" s="561">
        <v>25</v>
      </c>
      <c r="L731" s="338"/>
      <c r="M731" s="565">
        <v>11</v>
      </c>
      <c r="N731" s="579">
        <v>4</v>
      </c>
      <c r="O731" s="566">
        <f t="shared" si="34"/>
        <v>0.36363636363636365</v>
      </c>
      <c r="P731" s="567">
        <f t="shared" si="35"/>
        <v>1.4545454545454546</v>
      </c>
      <c r="Q731" s="568">
        <f t="shared" si="33"/>
        <v>1.4545454545454546</v>
      </c>
      <c r="R731" s="675"/>
    </row>
    <row r="732" spans="1:18" x14ac:dyDescent="0.2">
      <c r="A732" s="558" t="s">
        <v>277</v>
      </c>
      <c r="B732" s="559" t="s">
        <v>914</v>
      </c>
      <c r="C732" s="573" t="s">
        <v>296</v>
      </c>
      <c r="D732" s="327" t="s">
        <v>298</v>
      </c>
      <c r="E732" s="575" t="s">
        <v>1715</v>
      </c>
      <c r="F732" s="561" t="s">
        <v>946</v>
      </c>
      <c r="G732" s="562" t="s">
        <v>950</v>
      </c>
      <c r="H732" s="563" t="s">
        <v>924</v>
      </c>
      <c r="I732" s="578" t="s">
        <v>925</v>
      </c>
      <c r="J732" s="564" t="s">
        <v>757</v>
      </c>
      <c r="K732" s="561">
        <v>10</v>
      </c>
      <c r="L732" s="338"/>
      <c r="M732" s="565">
        <v>20</v>
      </c>
      <c r="N732" s="579">
        <v>7</v>
      </c>
      <c r="O732" s="566">
        <f t="shared" si="34"/>
        <v>0.35</v>
      </c>
      <c r="P732" s="567">
        <f t="shared" si="35"/>
        <v>3.5</v>
      </c>
      <c r="Q732" s="568">
        <f t="shared" si="33"/>
        <v>3.5</v>
      </c>
      <c r="R732" s="675"/>
    </row>
    <row r="733" spans="1:18" x14ac:dyDescent="0.2">
      <c r="A733" s="558" t="s">
        <v>277</v>
      </c>
      <c r="B733" s="559" t="s">
        <v>914</v>
      </c>
      <c r="C733" s="573" t="s">
        <v>316</v>
      </c>
      <c r="D733" s="327" t="s">
        <v>292</v>
      </c>
      <c r="E733" s="575" t="s">
        <v>1849</v>
      </c>
      <c r="F733" s="561" t="s">
        <v>946</v>
      </c>
      <c r="G733" s="562" t="s">
        <v>950</v>
      </c>
      <c r="H733" s="563" t="s">
        <v>924</v>
      </c>
      <c r="I733" s="578" t="s">
        <v>925</v>
      </c>
      <c r="J733" s="564" t="s">
        <v>757</v>
      </c>
      <c r="K733" s="561">
        <v>0</v>
      </c>
      <c r="L733" s="338" t="s">
        <v>926</v>
      </c>
      <c r="M733" s="565">
        <v>0</v>
      </c>
      <c r="N733" s="579">
        <v>0</v>
      </c>
      <c r="O733" s="566">
        <f t="shared" si="34"/>
        <v>0</v>
      </c>
      <c r="P733" s="567">
        <f t="shared" si="35"/>
        <v>0</v>
      </c>
      <c r="Q733" s="568" t="e">
        <f t="shared" si="33"/>
        <v>#DIV/0!</v>
      </c>
      <c r="R733" s="676" t="s">
        <v>1919</v>
      </c>
    </row>
    <row r="734" spans="1:18" x14ac:dyDescent="0.2">
      <c r="A734" s="558" t="s">
        <v>277</v>
      </c>
      <c r="B734" s="559" t="s">
        <v>914</v>
      </c>
      <c r="C734" s="573" t="s">
        <v>316</v>
      </c>
      <c r="D734" s="327" t="s">
        <v>294</v>
      </c>
      <c r="E734" s="575" t="s">
        <v>1849</v>
      </c>
      <c r="F734" s="561" t="s">
        <v>946</v>
      </c>
      <c r="G734" s="562" t="s">
        <v>950</v>
      </c>
      <c r="H734" s="563" t="s">
        <v>924</v>
      </c>
      <c r="I734" s="578" t="s">
        <v>925</v>
      </c>
      <c r="J734" s="564" t="s">
        <v>757</v>
      </c>
      <c r="K734" s="561">
        <v>0</v>
      </c>
      <c r="L734" s="338" t="s">
        <v>926</v>
      </c>
      <c r="M734" s="565">
        <v>0</v>
      </c>
      <c r="N734" s="579">
        <v>0</v>
      </c>
      <c r="O734" s="566">
        <f t="shared" si="34"/>
        <v>0</v>
      </c>
      <c r="P734" s="567">
        <f t="shared" si="35"/>
        <v>0</v>
      </c>
      <c r="Q734" s="568" t="e">
        <f t="shared" si="33"/>
        <v>#DIV/0!</v>
      </c>
      <c r="R734" s="676" t="s">
        <v>1919</v>
      </c>
    </row>
    <row r="735" spans="1:18" x14ac:dyDescent="0.2">
      <c r="A735" s="558" t="s">
        <v>277</v>
      </c>
      <c r="B735" s="559" t="s">
        <v>914</v>
      </c>
      <c r="C735" s="573" t="s">
        <v>308</v>
      </c>
      <c r="D735" s="327" t="s">
        <v>300</v>
      </c>
      <c r="E735" s="575" t="s">
        <v>1715</v>
      </c>
      <c r="F735" s="561" t="s">
        <v>946</v>
      </c>
      <c r="G735" s="562" t="s">
        <v>950</v>
      </c>
      <c r="H735" s="563" t="s">
        <v>927</v>
      </c>
      <c r="I735" s="578" t="s">
        <v>925</v>
      </c>
      <c r="J735" s="564" t="s">
        <v>757</v>
      </c>
      <c r="K735" s="561">
        <v>38</v>
      </c>
      <c r="L735" s="338"/>
      <c r="M735" s="565">
        <v>51</v>
      </c>
      <c r="N735" s="579">
        <v>1</v>
      </c>
      <c r="O735" s="566">
        <f t="shared" si="34"/>
        <v>1.9607843137254902E-2</v>
      </c>
      <c r="P735" s="567">
        <f t="shared" si="35"/>
        <v>5.1599587203302377E-2</v>
      </c>
      <c r="Q735" s="568">
        <f t="shared" si="33"/>
        <v>5.1599587203302377E-2</v>
      </c>
      <c r="R735" s="675"/>
    </row>
    <row r="736" spans="1:18" x14ac:dyDescent="0.2">
      <c r="A736" s="558" t="s">
        <v>277</v>
      </c>
      <c r="B736" s="559" t="s">
        <v>914</v>
      </c>
      <c r="C736" s="573" t="s">
        <v>308</v>
      </c>
      <c r="D736" s="327" t="s">
        <v>292</v>
      </c>
      <c r="E736" s="575" t="s">
        <v>1850</v>
      </c>
      <c r="F736" s="561" t="s">
        <v>946</v>
      </c>
      <c r="G736" s="562" t="s">
        <v>950</v>
      </c>
      <c r="H736" s="563" t="s">
        <v>924</v>
      </c>
      <c r="I736" s="578" t="s">
        <v>925</v>
      </c>
      <c r="J736" s="564" t="s">
        <v>757</v>
      </c>
      <c r="K736" s="561">
        <v>0</v>
      </c>
      <c r="L736" s="338" t="s">
        <v>926</v>
      </c>
      <c r="M736" s="565">
        <v>7</v>
      </c>
      <c r="N736" s="579">
        <v>2</v>
      </c>
      <c r="O736" s="566">
        <f t="shared" si="34"/>
        <v>0.2857142857142857</v>
      </c>
      <c r="P736" s="567">
        <f t="shared" si="35"/>
        <v>0</v>
      </c>
      <c r="Q736" s="568" t="e">
        <f t="shared" si="33"/>
        <v>#DIV/0!</v>
      </c>
      <c r="R736" s="676" t="s">
        <v>926</v>
      </c>
    </row>
    <row r="737" spans="1:18" x14ac:dyDescent="0.2">
      <c r="A737" s="558" t="s">
        <v>277</v>
      </c>
      <c r="B737" s="559" t="s">
        <v>914</v>
      </c>
      <c r="C737" s="573" t="s">
        <v>308</v>
      </c>
      <c r="D737" s="327" t="s">
        <v>294</v>
      </c>
      <c r="E737" s="575" t="s">
        <v>1850</v>
      </c>
      <c r="F737" s="561" t="s">
        <v>946</v>
      </c>
      <c r="G737" s="562" t="s">
        <v>950</v>
      </c>
      <c r="H737" s="563" t="s">
        <v>924</v>
      </c>
      <c r="I737" s="578" t="s">
        <v>925</v>
      </c>
      <c r="J737" s="564" t="s">
        <v>757</v>
      </c>
      <c r="K737" s="561">
        <v>0</v>
      </c>
      <c r="L737" s="338" t="s">
        <v>926</v>
      </c>
      <c r="M737" s="565">
        <v>1</v>
      </c>
      <c r="N737" s="579">
        <v>0</v>
      </c>
      <c r="O737" s="566">
        <f t="shared" si="34"/>
        <v>0</v>
      </c>
      <c r="P737" s="567">
        <f t="shared" si="35"/>
        <v>0</v>
      </c>
      <c r="Q737" s="568" t="e">
        <f t="shared" si="33"/>
        <v>#DIV/0!</v>
      </c>
      <c r="R737" s="676" t="s">
        <v>926</v>
      </c>
    </row>
    <row r="738" spans="1:18" x14ac:dyDescent="0.2">
      <c r="A738" s="558" t="s">
        <v>277</v>
      </c>
      <c r="B738" s="559" t="s">
        <v>914</v>
      </c>
      <c r="C738" s="573" t="s">
        <v>305</v>
      </c>
      <c r="D738" s="327" t="s">
        <v>300</v>
      </c>
      <c r="E738" s="575" t="s">
        <v>1715</v>
      </c>
      <c r="F738" s="561" t="s">
        <v>946</v>
      </c>
      <c r="G738" s="562" t="s">
        <v>950</v>
      </c>
      <c r="H738" s="563" t="s">
        <v>927</v>
      </c>
      <c r="I738" s="578" t="s">
        <v>925</v>
      </c>
      <c r="J738" s="564" t="s">
        <v>757</v>
      </c>
      <c r="K738" s="561">
        <v>5</v>
      </c>
      <c r="L738" s="338"/>
      <c r="M738" s="565">
        <v>568</v>
      </c>
      <c r="N738" s="579">
        <v>15</v>
      </c>
      <c r="O738" s="566">
        <f t="shared" si="34"/>
        <v>2.6408450704225352E-2</v>
      </c>
      <c r="P738" s="567">
        <f t="shared" si="35"/>
        <v>0.528169014084507</v>
      </c>
      <c r="Q738" s="568">
        <f t="shared" si="33"/>
        <v>0.52816901408450712</v>
      </c>
      <c r="R738" s="675"/>
    </row>
    <row r="739" spans="1:18" x14ac:dyDescent="0.2">
      <c r="A739" s="558" t="s">
        <v>277</v>
      </c>
      <c r="B739" s="559" t="s">
        <v>914</v>
      </c>
      <c r="C739" s="573" t="s">
        <v>305</v>
      </c>
      <c r="D739" s="327" t="s">
        <v>292</v>
      </c>
      <c r="E739" s="575" t="s">
        <v>1715</v>
      </c>
      <c r="F739" s="561" t="s">
        <v>946</v>
      </c>
      <c r="G739" s="562" t="s">
        <v>950</v>
      </c>
      <c r="H739" s="563" t="s">
        <v>924</v>
      </c>
      <c r="I739" s="578" t="s">
        <v>925</v>
      </c>
      <c r="J739" s="564" t="s">
        <v>757</v>
      </c>
      <c r="K739" s="561">
        <v>32</v>
      </c>
      <c r="L739" s="338"/>
      <c r="M739" s="565">
        <v>85</v>
      </c>
      <c r="N739" s="579">
        <v>16</v>
      </c>
      <c r="O739" s="566">
        <f t="shared" si="34"/>
        <v>0.18823529411764706</v>
      </c>
      <c r="P739" s="567">
        <f t="shared" si="35"/>
        <v>0.58823529411764708</v>
      </c>
      <c r="Q739" s="568">
        <f t="shared" si="33"/>
        <v>0.58823529411764708</v>
      </c>
      <c r="R739" s="675"/>
    </row>
    <row r="740" spans="1:18" x14ac:dyDescent="0.2">
      <c r="A740" s="558" t="s">
        <v>277</v>
      </c>
      <c r="B740" s="559" t="s">
        <v>914</v>
      </c>
      <c r="C740" s="573" t="s">
        <v>305</v>
      </c>
      <c r="D740" s="327" t="s">
        <v>294</v>
      </c>
      <c r="E740" s="575" t="s">
        <v>1851</v>
      </c>
      <c r="F740" s="561" t="s">
        <v>946</v>
      </c>
      <c r="G740" s="562" t="s">
        <v>950</v>
      </c>
      <c r="H740" s="563" t="s">
        <v>924</v>
      </c>
      <c r="I740" s="578" t="s">
        <v>925</v>
      </c>
      <c r="J740" s="564" t="s">
        <v>757</v>
      </c>
      <c r="K740" s="561">
        <v>33</v>
      </c>
      <c r="L740" s="338"/>
      <c r="M740" s="565">
        <v>24</v>
      </c>
      <c r="N740" s="579">
        <v>4</v>
      </c>
      <c r="O740" s="566">
        <f t="shared" si="34"/>
        <v>0.16666666666666666</v>
      </c>
      <c r="P740" s="567">
        <f t="shared" si="35"/>
        <v>0.50505050505050508</v>
      </c>
      <c r="Q740" s="568">
        <f t="shared" si="33"/>
        <v>0.50505050505050508</v>
      </c>
      <c r="R740" s="675"/>
    </row>
    <row r="741" spans="1:18" x14ac:dyDescent="0.2">
      <c r="A741" s="558" t="s">
        <v>277</v>
      </c>
      <c r="B741" s="559" t="s">
        <v>914</v>
      </c>
      <c r="C741" s="573" t="s">
        <v>305</v>
      </c>
      <c r="D741" s="327" t="s">
        <v>285</v>
      </c>
      <c r="E741" s="575" t="s">
        <v>1851</v>
      </c>
      <c r="F741" s="561" t="s">
        <v>946</v>
      </c>
      <c r="G741" s="562" t="s">
        <v>950</v>
      </c>
      <c r="H741" s="563" t="s">
        <v>924</v>
      </c>
      <c r="I741" s="578" t="s">
        <v>925</v>
      </c>
      <c r="J741" s="564" t="s">
        <v>757</v>
      </c>
      <c r="K741" s="561">
        <v>0</v>
      </c>
      <c r="L741" s="338" t="s">
        <v>926</v>
      </c>
      <c r="M741" s="565">
        <v>2</v>
      </c>
      <c r="N741" s="579">
        <v>0</v>
      </c>
      <c r="O741" s="566">
        <f t="shared" si="34"/>
        <v>0</v>
      </c>
      <c r="P741" s="567">
        <f t="shared" si="35"/>
        <v>0</v>
      </c>
      <c r="Q741" s="568" t="e">
        <f t="shared" si="33"/>
        <v>#DIV/0!</v>
      </c>
      <c r="R741" s="676" t="s">
        <v>926</v>
      </c>
    </row>
    <row r="742" spans="1:18" x14ac:dyDescent="0.2">
      <c r="A742" s="558" t="s">
        <v>277</v>
      </c>
      <c r="B742" s="559" t="s">
        <v>914</v>
      </c>
      <c r="C742" s="573" t="s">
        <v>97</v>
      </c>
      <c r="D742" s="327" t="s">
        <v>282</v>
      </c>
      <c r="E742" s="575" t="s">
        <v>1843</v>
      </c>
      <c r="F742" s="561" t="s">
        <v>946</v>
      </c>
      <c r="G742" s="562" t="s">
        <v>951</v>
      </c>
      <c r="H742" s="563" t="s">
        <v>952</v>
      </c>
      <c r="I742" s="578" t="s">
        <v>925</v>
      </c>
      <c r="J742" s="564" t="s">
        <v>757</v>
      </c>
      <c r="K742" s="561">
        <v>33</v>
      </c>
      <c r="L742" s="338"/>
      <c r="M742" s="565">
        <v>6</v>
      </c>
      <c r="N742" s="579">
        <v>0</v>
      </c>
      <c r="O742" s="566">
        <f t="shared" si="34"/>
        <v>0</v>
      </c>
      <c r="P742" s="567">
        <f t="shared" si="35"/>
        <v>0</v>
      </c>
      <c r="Q742" s="568">
        <f t="shared" si="33"/>
        <v>0</v>
      </c>
      <c r="R742" s="676" t="s">
        <v>1855</v>
      </c>
    </row>
    <row r="743" spans="1:18" x14ac:dyDescent="0.2">
      <c r="A743" s="558" t="s">
        <v>277</v>
      </c>
      <c r="B743" s="559" t="s">
        <v>914</v>
      </c>
      <c r="C743" s="573" t="s">
        <v>97</v>
      </c>
      <c r="D743" s="327" t="s">
        <v>285</v>
      </c>
      <c r="E743" s="575" t="s">
        <v>1843</v>
      </c>
      <c r="F743" s="561" t="s">
        <v>946</v>
      </c>
      <c r="G743" s="562" t="s">
        <v>951</v>
      </c>
      <c r="H743" s="563" t="s">
        <v>952</v>
      </c>
      <c r="I743" s="578" t="s">
        <v>925</v>
      </c>
      <c r="J743" s="564" t="s">
        <v>757</v>
      </c>
      <c r="K743" s="561">
        <v>0</v>
      </c>
      <c r="L743" s="338" t="s">
        <v>926</v>
      </c>
      <c r="M743" s="565">
        <v>8</v>
      </c>
      <c r="N743" s="579">
        <v>0</v>
      </c>
      <c r="O743" s="566">
        <f t="shared" si="34"/>
        <v>0</v>
      </c>
      <c r="P743" s="567">
        <f t="shared" si="35"/>
        <v>0</v>
      </c>
      <c r="Q743" s="568" t="e">
        <f t="shared" si="33"/>
        <v>#DIV/0!</v>
      </c>
      <c r="R743" s="676" t="s">
        <v>926</v>
      </c>
    </row>
    <row r="744" spans="1:18" x14ac:dyDescent="0.2">
      <c r="A744" s="558" t="s">
        <v>277</v>
      </c>
      <c r="B744" s="559" t="s">
        <v>914</v>
      </c>
      <c r="C744" s="573" t="s">
        <v>286</v>
      </c>
      <c r="D744" s="327" t="s">
        <v>300</v>
      </c>
      <c r="E744" s="575" t="s">
        <v>1715</v>
      </c>
      <c r="F744" s="561" t="s">
        <v>946</v>
      </c>
      <c r="G744" s="562" t="s">
        <v>951</v>
      </c>
      <c r="H744" s="563" t="s">
        <v>952</v>
      </c>
      <c r="I744" s="578" t="s">
        <v>925</v>
      </c>
      <c r="J744" s="564" t="s">
        <v>757</v>
      </c>
      <c r="K744" s="561">
        <v>0</v>
      </c>
      <c r="L744" s="338" t="s">
        <v>926</v>
      </c>
      <c r="M744" s="565">
        <v>39</v>
      </c>
      <c r="N744" s="579">
        <v>4</v>
      </c>
      <c r="O744" s="566">
        <f t="shared" si="34"/>
        <v>0.10256410256410256</v>
      </c>
      <c r="P744" s="567">
        <f t="shared" si="35"/>
        <v>0</v>
      </c>
      <c r="Q744" s="568" t="e">
        <f t="shared" si="33"/>
        <v>#DIV/0!</v>
      </c>
      <c r="R744" s="676" t="s">
        <v>926</v>
      </c>
    </row>
    <row r="745" spans="1:18" x14ac:dyDescent="0.2">
      <c r="A745" s="558" t="s">
        <v>277</v>
      </c>
      <c r="B745" s="559" t="s">
        <v>914</v>
      </c>
      <c r="C745" s="573" t="s">
        <v>286</v>
      </c>
      <c r="D745" s="327" t="s">
        <v>292</v>
      </c>
      <c r="E745" s="575" t="s">
        <v>1715</v>
      </c>
      <c r="F745" s="561" t="s">
        <v>946</v>
      </c>
      <c r="G745" s="562" t="s">
        <v>951</v>
      </c>
      <c r="H745" s="563" t="s">
        <v>952</v>
      </c>
      <c r="I745" s="578" t="s">
        <v>925</v>
      </c>
      <c r="J745" s="564" t="s">
        <v>757</v>
      </c>
      <c r="K745" s="561">
        <v>26</v>
      </c>
      <c r="L745" s="338"/>
      <c r="M745" s="565">
        <v>12</v>
      </c>
      <c r="N745" s="579">
        <v>3</v>
      </c>
      <c r="O745" s="566">
        <f t="shared" si="34"/>
        <v>0.25</v>
      </c>
      <c r="P745" s="567">
        <f t="shared" si="35"/>
        <v>0.96153846153846145</v>
      </c>
      <c r="Q745" s="568">
        <f t="shared" si="33"/>
        <v>0.96153846153846145</v>
      </c>
      <c r="R745" s="675"/>
    </row>
    <row r="746" spans="1:18" x14ac:dyDescent="0.2">
      <c r="A746" s="558" t="s">
        <v>277</v>
      </c>
      <c r="B746" s="559" t="s">
        <v>914</v>
      </c>
      <c r="C746" s="573" t="s">
        <v>286</v>
      </c>
      <c r="D746" s="327" t="s">
        <v>294</v>
      </c>
      <c r="E746" s="575" t="s">
        <v>1715</v>
      </c>
      <c r="F746" s="561" t="s">
        <v>946</v>
      </c>
      <c r="G746" s="562" t="s">
        <v>951</v>
      </c>
      <c r="H746" s="563" t="s">
        <v>952</v>
      </c>
      <c r="I746" s="578" t="s">
        <v>925</v>
      </c>
      <c r="J746" s="564" t="s">
        <v>757</v>
      </c>
      <c r="K746" s="561">
        <v>16</v>
      </c>
      <c r="L746" s="338"/>
      <c r="M746" s="565">
        <v>40</v>
      </c>
      <c r="N746" s="579">
        <v>7</v>
      </c>
      <c r="O746" s="566">
        <f t="shared" si="34"/>
        <v>0.17499999999999999</v>
      </c>
      <c r="P746" s="567">
        <f t="shared" si="35"/>
        <v>1.09375</v>
      </c>
      <c r="Q746" s="568">
        <f t="shared" si="33"/>
        <v>1.09375</v>
      </c>
      <c r="R746" s="675"/>
    </row>
    <row r="747" spans="1:18" x14ac:dyDescent="0.2">
      <c r="A747" s="558" t="s">
        <v>277</v>
      </c>
      <c r="B747" s="559" t="s">
        <v>914</v>
      </c>
      <c r="C747" s="573" t="s">
        <v>286</v>
      </c>
      <c r="D747" s="327" t="s">
        <v>282</v>
      </c>
      <c r="E747" s="575" t="s">
        <v>1715</v>
      </c>
      <c r="F747" s="561" t="s">
        <v>946</v>
      </c>
      <c r="G747" s="562" t="s">
        <v>951</v>
      </c>
      <c r="H747" s="563" t="s">
        <v>952</v>
      </c>
      <c r="I747" s="578" t="s">
        <v>925</v>
      </c>
      <c r="J747" s="564" t="s">
        <v>757</v>
      </c>
      <c r="K747" s="561">
        <v>6</v>
      </c>
      <c r="L747" s="338"/>
      <c r="M747" s="565">
        <v>68</v>
      </c>
      <c r="N747" s="579">
        <v>11</v>
      </c>
      <c r="O747" s="566">
        <f t="shared" si="34"/>
        <v>0.16176470588235295</v>
      </c>
      <c r="P747" s="567">
        <f t="shared" si="35"/>
        <v>2.6960784313725488</v>
      </c>
      <c r="Q747" s="568">
        <f t="shared" si="33"/>
        <v>2.6960784313725488</v>
      </c>
      <c r="R747" s="675"/>
    </row>
    <row r="748" spans="1:18" x14ac:dyDescent="0.2">
      <c r="A748" s="558" t="s">
        <v>277</v>
      </c>
      <c r="B748" s="559" t="s">
        <v>914</v>
      </c>
      <c r="C748" s="573" t="s">
        <v>286</v>
      </c>
      <c r="D748" s="327" t="s">
        <v>285</v>
      </c>
      <c r="E748" s="575" t="s">
        <v>1715</v>
      </c>
      <c r="F748" s="561" t="s">
        <v>946</v>
      </c>
      <c r="G748" s="562" t="s">
        <v>951</v>
      </c>
      <c r="H748" s="563" t="s">
        <v>952</v>
      </c>
      <c r="I748" s="578" t="s">
        <v>925</v>
      </c>
      <c r="J748" s="564" t="s">
        <v>757</v>
      </c>
      <c r="K748" s="561">
        <v>8</v>
      </c>
      <c r="L748" s="338"/>
      <c r="M748" s="565">
        <v>47</v>
      </c>
      <c r="N748" s="579">
        <v>8</v>
      </c>
      <c r="O748" s="566">
        <f t="shared" si="34"/>
        <v>0.1702127659574468</v>
      </c>
      <c r="P748" s="567">
        <f t="shared" si="35"/>
        <v>2.1276595744680851</v>
      </c>
      <c r="Q748" s="568">
        <f t="shared" si="33"/>
        <v>2.1276595744680851</v>
      </c>
      <c r="R748" s="675"/>
    </row>
    <row r="749" spans="1:18" x14ac:dyDescent="0.2">
      <c r="A749" s="558" t="s">
        <v>277</v>
      </c>
      <c r="B749" s="559" t="s">
        <v>914</v>
      </c>
      <c r="C749" s="573" t="s">
        <v>303</v>
      </c>
      <c r="D749" s="327" t="s">
        <v>300</v>
      </c>
      <c r="E749" s="575" t="s">
        <v>1715</v>
      </c>
      <c r="F749" s="561" t="s">
        <v>946</v>
      </c>
      <c r="G749" s="562" t="s">
        <v>951</v>
      </c>
      <c r="H749" s="563" t="s">
        <v>952</v>
      </c>
      <c r="I749" s="578" t="s">
        <v>925</v>
      </c>
      <c r="J749" s="564" t="s">
        <v>757</v>
      </c>
      <c r="K749" s="561">
        <v>28.999999999999996</v>
      </c>
      <c r="L749" s="338"/>
      <c r="M749" s="565">
        <v>144</v>
      </c>
      <c r="N749" s="579">
        <v>4</v>
      </c>
      <c r="O749" s="566">
        <f t="shared" si="34"/>
        <v>2.7777777777777776E-2</v>
      </c>
      <c r="P749" s="567">
        <f t="shared" si="35"/>
        <v>9.5785440613026823E-2</v>
      </c>
      <c r="Q749" s="568">
        <f t="shared" si="33"/>
        <v>9.5785440613026837E-2</v>
      </c>
      <c r="R749" s="675"/>
    </row>
    <row r="750" spans="1:18" x14ac:dyDescent="0.2">
      <c r="A750" s="558" t="s">
        <v>277</v>
      </c>
      <c r="B750" s="559" t="s">
        <v>914</v>
      </c>
      <c r="C750" s="573" t="s">
        <v>303</v>
      </c>
      <c r="D750" s="327" t="s">
        <v>292</v>
      </c>
      <c r="E750" s="575" t="s">
        <v>1844</v>
      </c>
      <c r="F750" s="561" t="s">
        <v>946</v>
      </c>
      <c r="G750" s="562" t="s">
        <v>951</v>
      </c>
      <c r="H750" s="563" t="s">
        <v>952</v>
      </c>
      <c r="I750" s="578" t="s">
        <v>925</v>
      </c>
      <c r="J750" s="564" t="s">
        <v>757</v>
      </c>
      <c r="K750" s="561">
        <v>8</v>
      </c>
      <c r="L750" s="338"/>
      <c r="M750" s="565">
        <v>42</v>
      </c>
      <c r="N750" s="579">
        <v>1</v>
      </c>
      <c r="O750" s="566">
        <f t="shared" si="34"/>
        <v>2.3809523809523808E-2</v>
      </c>
      <c r="P750" s="567">
        <f t="shared" si="35"/>
        <v>0.29761904761904762</v>
      </c>
      <c r="Q750" s="568">
        <f t="shared" si="33"/>
        <v>0.29761904761904762</v>
      </c>
      <c r="R750" s="675"/>
    </row>
    <row r="751" spans="1:18" x14ac:dyDescent="0.2">
      <c r="A751" s="558" t="s">
        <v>277</v>
      </c>
      <c r="B751" s="559" t="s">
        <v>914</v>
      </c>
      <c r="C751" s="573" t="s">
        <v>303</v>
      </c>
      <c r="D751" s="327" t="s">
        <v>294</v>
      </c>
      <c r="E751" s="575" t="s">
        <v>1844</v>
      </c>
      <c r="F751" s="561" t="s">
        <v>946</v>
      </c>
      <c r="G751" s="562" t="s">
        <v>951</v>
      </c>
      <c r="H751" s="563" t="s">
        <v>952</v>
      </c>
      <c r="I751" s="578" t="s">
        <v>925</v>
      </c>
      <c r="J751" s="564" t="s">
        <v>757</v>
      </c>
      <c r="K751" s="561">
        <v>0</v>
      </c>
      <c r="L751" s="338" t="s">
        <v>926</v>
      </c>
      <c r="M751" s="565">
        <v>10</v>
      </c>
      <c r="N751" s="579">
        <v>1</v>
      </c>
      <c r="O751" s="566">
        <f t="shared" si="34"/>
        <v>0.1</v>
      </c>
      <c r="P751" s="567">
        <f t="shared" si="35"/>
        <v>0</v>
      </c>
      <c r="Q751" s="568" t="e">
        <f t="shared" si="33"/>
        <v>#DIV/0!</v>
      </c>
      <c r="R751" s="676" t="s">
        <v>926</v>
      </c>
    </row>
    <row r="752" spans="1:18" x14ac:dyDescent="0.2">
      <c r="A752" s="558" t="s">
        <v>277</v>
      </c>
      <c r="B752" s="559" t="s">
        <v>914</v>
      </c>
      <c r="C752" s="573" t="s">
        <v>303</v>
      </c>
      <c r="D752" s="327" t="s">
        <v>282</v>
      </c>
      <c r="E752" s="575" t="s">
        <v>1845</v>
      </c>
      <c r="F752" s="561" t="s">
        <v>946</v>
      </c>
      <c r="G752" s="562" t="s">
        <v>951</v>
      </c>
      <c r="H752" s="563" t="s">
        <v>952</v>
      </c>
      <c r="I752" s="578" t="s">
        <v>925</v>
      </c>
      <c r="J752" s="564" t="s">
        <v>757</v>
      </c>
      <c r="K752" s="561">
        <v>0</v>
      </c>
      <c r="L752" s="338" t="s">
        <v>926</v>
      </c>
      <c r="M752" s="565">
        <v>2</v>
      </c>
      <c r="N752" s="579">
        <v>0</v>
      </c>
      <c r="O752" s="566">
        <f t="shared" si="34"/>
        <v>0</v>
      </c>
      <c r="P752" s="567">
        <f t="shared" si="35"/>
        <v>0</v>
      </c>
      <c r="Q752" s="568" t="e">
        <f t="shared" si="33"/>
        <v>#DIV/0!</v>
      </c>
      <c r="R752" s="676" t="s">
        <v>926</v>
      </c>
    </row>
    <row r="753" spans="1:18" x14ac:dyDescent="0.2">
      <c r="A753" s="558" t="s">
        <v>277</v>
      </c>
      <c r="B753" s="559" t="s">
        <v>914</v>
      </c>
      <c r="C753" s="573" t="s">
        <v>303</v>
      </c>
      <c r="D753" s="327" t="s">
        <v>285</v>
      </c>
      <c r="E753" s="575" t="s">
        <v>1845</v>
      </c>
      <c r="F753" s="561" t="s">
        <v>946</v>
      </c>
      <c r="G753" s="562" t="s">
        <v>951</v>
      </c>
      <c r="H753" s="563" t="s">
        <v>952</v>
      </c>
      <c r="I753" s="578" t="s">
        <v>925</v>
      </c>
      <c r="J753" s="564" t="s">
        <v>757</v>
      </c>
      <c r="K753" s="561">
        <v>0</v>
      </c>
      <c r="L753" s="338" t="s">
        <v>926</v>
      </c>
      <c r="M753" s="565">
        <v>5</v>
      </c>
      <c r="N753" s="579">
        <v>0</v>
      </c>
      <c r="O753" s="566">
        <f t="shared" si="34"/>
        <v>0</v>
      </c>
      <c r="P753" s="567">
        <f t="shared" si="35"/>
        <v>0</v>
      </c>
      <c r="Q753" s="568" t="e">
        <f t="shared" si="33"/>
        <v>#DIV/0!</v>
      </c>
      <c r="R753" s="676" t="s">
        <v>926</v>
      </c>
    </row>
    <row r="754" spans="1:18" x14ac:dyDescent="0.2">
      <c r="A754" s="558" t="s">
        <v>277</v>
      </c>
      <c r="B754" s="559" t="s">
        <v>914</v>
      </c>
      <c r="C754" s="573" t="s">
        <v>99</v>
      </c>
      <c r="D754" s="327" t="s">
        <v>300</v>
      </c>
      <c r="E754" s="575" t="s">
        <v>1715</v>
      </c>
      <c r="F754" s="561" t="s">
        <v>946</v>
      </c>
      <c r="G754" s="562" t="s">
        <v>951</v>
      </c>
      <c r="H754" s="563" t="s">
        <v>952</v>
      </c>
      <c r="I754" s="578" t="s">
        <v>925</v>
      </c>
      <c r="J754" s="564" t="s">
        <v>757</v>
      </c>
      <c r="K754" s="561">
        <v>17</v>
      </c>
      <c r="L754" s="338"/>
      <c r="M754" s="565">
        <v>158</v>
      </c>
      <c r="N754" s="579">
        <v>5</v>
      </c>
      <c r="O754" s="566">
        <f t="shared" si="34"/>
        <v>3.1645569620253167E-2</v>
      </c>
      <c r="P754" s="567">
        <f t="shared" si="35"/>
        <v>0.18615040953090095</v>
      </c>
      <c r="Q754" s="568">
        <f t="shared" si="33"/>
        <v>0.18615040953090098</v>
      </c>
      <c r="R754" s="675"/>
    </row>
    <row r="755" spans="1:18" x14ac:dyDescent="0.2">
      <c r="A755" s="558" t="s">
        <v>277</v>
      </c>
      <c r="B755" s="559" t="s">
        <v>914</v>
      </c>
      <c r="C755" s="573" t="s">
        <v>99</v>
      </c>
      <c r="D755" s="327" t="s">
        <v>292</v>
      </c>
      <c r="E755" s="575" t="s">
        <v>1715</v>
      </c>
      <c r="F755" s="561" t="s">
        <v>946</v>
      </c>
      <c r="G755" s="562" t="s">
        <v>951</v>
      </c>
      <c r="H755" s="563" t="s">
        <v>952</v>
      </c>
      <c r="I755" s="578" t="s">
        <v>925</v>
      </c>
      <c r="J755" s="564" t="s">
        <v>757</v>
      </c>
      <c r="K755" s="561">
        <v>36</v>
      </c>
      <c r="L755" s="338"/>
      <c r="M755" s="565">
        <v>7</v>
      </c>
      <c r="N755" s="579">
        <v>1</v>
      </c>
      <c r="O755" s="566">
        <f t="shared" si="34"/>
        <v>0.14285714285714285</v>
      </c>
      <c r="P755" s="567">
        <f t="shared" si="35"/>
        <v>0.3968253968253968</v>
      </c>
      <c r="Q755" s="568">
        <f t="shared" si="33"/>
        <v>0.3968253968253968</v>
      </c>
      <c r="R755" s="675"/>
    </row>
    <row r="756" spans="1:18" x14ac:dyDescent="0.2">
      <c r="A756" s="558" t="s">
        <v>277</v>
      </c>
      <c r="B756" s="559" t="s">
        <v>914</v>
      </c>
      <c r="C756" s="573" t="s">
        <v>99</v>
      </c>
      <c r="D756" s="327" t="s">
        <v>294</v>
      </c>
      <c r="E756" s="575" t="s">
        <v>1846</v>
      </c>
      <c r="F756" s="561" t="s">
        <v>946</v>
      </c>
      <c r="G756" s="562" t="s">
        <v>951</v>
      </c>
      <c r="H756" s="563" t="s">
        <v>952</v>
      </c>
      <c r="I756" s="578" t="s">
        <v>925</v>
      </c>
      <c r="J756" s="564" t="s">
        <v>757</v>
      </c>
      <c r="K756" s="561">
        <v>80</v>
      </c>
      <c r="L756" s="338"/>
      <c r="M756" s="565">
        <v>8</v>
      </c>
      <c r="N756" s="579">
        <v>3</v>
      </c>
      <c r="O756" s="566">
        <f t="shared" si="34"/>
        <v>0.375</v>
      </c>
      <c r="P756" s="567">
        <f t="shared" si="35"/>
        <v>0.46875</v>
      </c>
      <c r="Q756" s="568">
        <f t="shared" si="33"/>
        <v>0.46875</v>
      </c>
      <c r="R756" s="675"/>
    </row>
    <row r="757" spans="1:18" x14ac:dyDescent="0.2">
      <c r="A757" s="558" t="s">
        <v>277</v>
      </c>
      <c r="B757" s="559" t="s">
        <v>914</v>
      </c>
      <c r="C757" s="573" t="s">
        <v>99</v>
      </c>
      <c r="D757" s="327" t="s">
        <v>282</v>
      </c>
      <c r="E757" s="575" t="s">
        <v>1846</v>
      </c>
      <c r="F757" s="561" t="s">
        <v>946</v>
      </c>
      <c r="G757" s="562" t="s">
        <v>951</v>
      </c>
      <c r="H757" s="563" t="s">
        <v>952</v>
      </c>
      <c r="I757" s="578" t="s">
        <v>925</v>
      </c>
      <c r="J757" s="564" t="s">
        <v>757</v>
      </c>
      <c r="K757" s="561">
        <v>0</v>
      </c>
      <c r="L757" s="338" t="s">
        <v>926</v>
      </c>
      <c r="M757" s="565">
        <v>4</v>
      </c>
      <c r="N757" s="579">
        <v>0</v>
      </c>
      <c r="O757" s="566">
        <f t="shared" si="34"/>
        <v>0</v>
      </c>
      <c r="P757" s="567">
        <f t="shared" si="35"/>
        <v>0</v>
      </c>
      <c r="Q757" s="568" t="e">
        <f t="shared" si="33"/>
        <v>#DIV/0!</v>
      </c>
      <c r="R757" s="676" t="s">
        <v>926</v>
      </c>
    </row>
    <row r="758" spans="1:18" x14ac:dyDescent="0.2">
      <c r="A758" s="558" t="s">
        <v>277</v>
      </c>
      <c r="B758" s="559" t="s">
        <v>914</v>
      </c>
      <c r="C758" s="573" t="s">
        <v>99</v>
      </c>
      <c r="D758" s="327" t="s">
        <v>285</v>
      </c>
      <c r="E758" s="575" t="s">
        <v>1846</v>
      </c>
      <c r="F758" s="561" t="s">
        <v>946</v>
      </c>
      <c r="G758" s="562" t="s">
        <v>951</v>
      </c>
      <c r="H758" s="563" t="s">
        <v>952</v>
      </c>
      <c r="I758" s="578" t="s">
        <v>925</v>
      </c>
      <c r="J758" s="564" t="s">
        <v>757</v>
      </c>
      <c r="K758" s="561">
        <v>0</v>
      </c>
      <c r="L758" s="338" t="s">
        <v>926</v>
      </c>
      <c r="M758" s="565">
        <v>1</v>
      </c>
      <c r="N758" s="579">
        <v>0</v>
      </c>
      <c r="O758" s="566">
        <f t="shared" si="34"/>
        <v>0</v>
      </c>
      <c r="P758" s="567">
        <f t="shared" si="35"/>
        <v>0</v>
      </c>
      <c r="Q758" s="568" t="e">
        <f t="shared" si="33"/>
        <v>#DIV/0!</v>
      </c>
      <c r="R758" s="676" t="s">
        <v>926</v>
      </c>
    </row>
    <row r="759" spans="1:18" x14ac:dyDescent="0.2">
      <c r="A759" s="558" t="s">
        <v>277</v>
      </c>
      <c r="B759" s="559" t="s">
        <v>914</v>
      </c>
      <c r="C759" s="573" t="s">
        <v>296</v>
      </c>
      <c r="D759" s="327" t="s">
        <v>300</v>
      </c>
      <c r="E759" s="575" t="s">
        <v>1847</v>
      </c>
      <c r="F759" s="561" t="s">
        <v>946</v>
      </c>
      <c r="G759" s="562" t="s">
        <v>951</v>
      </c>
      <c r="H759" s="563" t="s">
        <v>952</v>
      </c>
      <c r="I759" s="578" t="s">
        <v>925</v>
      </c>
      <c r="J759" s="564" t="s">
        <v>757</v>
      </c>
      <c r="K759" s="561">
        <v>13</v>
      </c>
      <c r="L759" s="338"/>
      <c r="M759" s="565">
        <v>0</v>
      </c>
      <c r="N759" s="579">
        <v>0</v>
      </c>
      <c r="O759" s="566">
        <f t="shared" si="34"/>
        <v>0</v>
      </c>
      <c r="P759" s="567">
        <f t="shared" si="35"/>
        <v>0</v>
      </c>
      <c r="Q759" s="568" t="e">
        <f t="shared" si="33"/>
        <v>#DIV/0!</v>
      </c>
      <c r="R759" s="676" t="s">
        <v>1919</v>
      </c>
    </row>
    <row r="760" spans="1:18" x14ac:dyDescent="0.2">
      <c r="A760" s="558" t="s">
        <v>277</v>
      </c>
      <c r="B760" s="559" t="s">
        <v>914</v>
      </c>
      <c r="C760" s="573" t="s">
        <v>296</v>
      </c>
      <c r="D760" s="327" t="s">
        <v>292</v>
      </c>
      <c r="E760" s="575" t="s">
        <v>1847</v>
      </c>
      <c r="F760" s="561" t="s">
        <v>946</v>
      </c>
      <c r="G760" s="562" t="s">
        <v>951</v>
      </c>
      <c r="H760" s="563" t="s">
        <v>952</v>
      </c>
      <c r="I760" s="578" t="s">
        <v>925</v>
      </c>
      <c r="J760" s="564" t="s">
        <v>757</v>
      </c>
      <c r="K760" s="561">
        <v>0</v>
      </c>
      <c r="L760" s="338" t="s">
        <v>926</v>
      </c>
      <c r="M760" s="565">
        <v>3</v>
      </c>
      <c r="N760" s="579">
        <v>0</v>
      </c>
      <c r="O760" s="566">
        <f t="shared" si="34"/>
        <v>0</v>
      </c>
      <c r="P760" s="567">
        <f t="shared" si="35"/>
        <v>0</v>
      </c>
      <c r="Q760" s="568" t="e">
        <f t="shared" si="33"/>
        <v>#DIV/0!</v>
      </c>
      <c r="R760" s="676" t="s">
        <v>926</v>
      </c>
    </row>
    <row r="761" spans="1:18" x14ac:dyDescent="0.2">
      <c r="A761" s="558" t="s">
        <v>277</v>
      </c>
      <c r="B761" s="559" t="s">
        <v>914</v>
      </c>
      <c r="C761" s="573" t="s">
        <v>296</v>
      </c>
      <c r="D761" s="327" t="s">
        <v>294</v>
      </c>
      <c r="E761" s="575" t="s">
        <v>1848</v>
      </c>
      <c r="F761" s="561" t="s">
        <v>946</v>
      </c>
      <c r="G761" s="562" t="s">
        <v>951</v>
      </c>
      <c r="H761" s="563" t="s">
        <v>952</v>
      </c>
      <c r="I761" s="578" t="s">
        <v>925</v>
      </c>
      <c r="J761" s="564" t="s">
        <v>757</v>
      </c>
      <c r="K761" s="561">
        <v>0</v>
      </c>
      <c r="L761" s="338" t="s">
        <v>926</v>
      </c>
      <c r="M761" s="565">
        <v>1</v>
      </c>
      <c r="N761" s="579">
        <v>0</v>
      </c>
      <c r="O761" s="566">
        <f t="shared" si="34"/>
        <v>0</v>
      </c>
      <c r="P761" s="567">
        <f t="shared" si="35"/>
        <v>0</v>
      </c>
      <c r="Q761" s="568" t="e">
        <f t="shared" si="33"/>
        <v>#DIV/0!</v>
      </c>
      <c r="R761" s="676" t="s">
        <v>926</v>
      </c>
    </row>
    <row r="762" spans="1:18" x14ac:dyDescent="0.2">
      <c r="A762" s="558" t="s">
        <v>277</v>
      </c>
      <c r="B762" s="559" t="s">
        <v>914</v>
      </c>
      <c r="C762" s="573" t="s">
        <v>296</v>
      </c>
      <c r="D762" s="327" t="s">
        <v>282</v>
      </c>
      <c r="E762" s="575" t="s">
        <v>1848</v>
      </c>
      <c r="F762" s="561" t="s">
        <v>946</v>
      </c>
      <c r="G762" s="562" t="s">
        <v>951</v>
      </c>
      <c r="H762" s="563" t="s">
        <v>952</v>
      </c>
      <c r="I762" s="578" t="s">
        <v>925</v>
      </c>
      <c r="J762" s="564" t="s">
        <v>757</v>
      </c>
      <c r="K762" s="561">
        <v>0</v>
      </c>
      <c r="L762" s="338" t="s">
        <v>926</v>
      </c>
      <c r="M762" s="565">
        <v>2</v>
      </c>
      <c r="N762" s="579">
        <v>0</v>
      </c>
      <c r="O762" s="566">
        <f t="shared" si="34"/>
        <v>0</v>
      </c>
      <c r="P762" s="567">
        <f t="shared" si="35"/>
        <v>0</v>
      </c>
      <c r="Q762" s="568" t="e">
        <f t="shared" si="33"/>
        <v>#DIV/0!</v>
      </c>
      <c r="R762" s="676" t="s">
        <v>926</v>
      </c>
    </row>
    <row r="763" spans="1:18" x14ac:dyDescent="0.2">
      <c r="A763" s="558" t="s">
        <v>277</v>
      </c>
      <c r="B763" s="559" t="s">
        <v>914</v>
      </c>
      <c r="C763" s="573" t="s">
        <v>296</v>
      </c>
      <c r="D763" s="327" t="s">
        <v>285</v>
      </c>
      <c r="E763" s="575" t="s">
        <v>1715</v>
      </c>
      <c r="F763" s="561" t="s">
        <v>946</v>
      </c>
      <c r="G763" s="562" t="s">
        <v>951</v>
      </c>
      <c r="H763" s="563" t="s">
        <v>952</v>
      </c>
      <c r="I763" s="578" t="s">
        <v>925</v>
      </c>
      <c r="J763" s="564" t="s">
        <v>757</v>
      </c>
      <c r="K763" s="561">
        <v>25</v>
      </c>
      <c r="L763" s="338"/>
      <c r="M763" s="565">
        <v>11</v>
      </c>
      <c r="N763" s="579">
        <v>4</v>
      </c>
      <c r="O763" s="566">
        <f t="shared" si="34"/>
        <v>0.36363636363636365</v>
      </c>
      <c r="P763" s="567">
        <f t="shared" si="35"/>
        <v>1.4545454545454546</v>
      </c>
      <c r="Q763" s="568">
        <f t="shared" si="33"/>
        <v>1.4545454545454546</v>
      </c>
      <c r="R763" s="675"/>
    </row>
    <row r="764" spans="1:18" x14ac:dyDescent="0.2">
      <c r="A764" s="558" t="s">
        <v>277</v>
      </c>
      <c r="B764" s="559" t="s">
        <v>914</v>
      </c>
      <c r="C764" s="573" t="s">
        <v>296</v>
      </c>
      <c r="D764" s="327" t="s">
        <v>298</v>
      </c>
      <c r="E764" s="575" t="s">
        <v>1715</v>
      </c>
      <c r="F764" s="561" t="s">
        <v>946</v>
      </c>
      <c r="G764" s="562" t="s">
        <v>951</v>
      </c>
      <c r="H764" s="563" t="s">
        <v>952</v>
      </c>
      <c r="I764" s="578" t="s">
        <v>925</v>
      </c>
      <c r="J764" s="564" t="s">
        <v>757</v>
      </c>
      <c r="K764" s="561">
        <v>10</v>
      </c>
      <c r="L764" s="338"/>
      <c r="M764" s="565">
        <v>20</v>
      </c>
      <c r="N764" s="579">
        <v>7</v>
      </c>
      <c r="O764" s="566">
        <f t="shared" si="34"/>
        <v>0.35</v>
      </c>
      <c r="P764" s="567">
        <f t="shared" si="35"/>
        <v>3.5</v>
      </c>
      <c r="Q764" s="568">
        <f t="shared" si="33"/>
        <v>3.5</v>
      </c>
      <c r="R764" s="675"/>
    </row>
    <row r="765" spans="1:18" x14ac:dyDescent="0.2">
      <c r="A765" s="558" t="s">
        <v>277</v>
      </c>
      <c r="B765" s="559" t="s">
        <v>914</v>
      </c>
      <c r="C765" s="573" t="s">
        <v>316</v>
      </c>
      <c r="D765" s="327" t="s">
        <v>292</v>
      </c>
      <c r="E765" s="575" t="s">
        <v>1849</v>
      </c>
      <c r="F765" s="561" t="s">
        <v>946</v>
      </c>
      <c r="G765" s="562" t="s">
        <v>951</v>
      </c>
      <c r="H765" s="563" t="s">
        <v>952</v>
      </c>
      <c r="I765" s="578" t="s">
        <v>925</v>
      </c>
      <c r="J765" s="564" t="s">
        <v>757</v>
      </c>
      <c r="K765" s="561">
        <v>0</v>
      </c>
      <c r="L765" s="338" t="s">
        <v>926</v>
      </c>
      <c r="M765" s="565">
        <v>0</v>
      </c>
      <c r="N765" s="579">
        <v>0</v>
      </c>
      <c r="O765" s="566">
        <f t="shared" si="34"/>
        <v>0</v>
      </c>
      <c r="P765" s="567">
        <f t="shared" si="35"/>
        <v>0</v>
      </c>
      <c r="Q765" s="568" t="e">
        <f t="shared" si="33"/>
        <v>#DIV/0!</v>
      </c>
      <c r="R765" s="676" t="s">
        <v>1919</v>
      </c>
    </row>
    <row r="766" spans="1:18" x14ac:dyDescent="0.2">
      <c r="A766" s="558" t="s">
        <v>277</v>
      </c>
      <c r="B766" s="559" t="s">
        <v>914</v>
      </c>
      <c r="C766" s="573" t="s">
        <v>316</v>
      </c>
      <c r="D766" s="327" t="s">
        <v>294</v>
      </c>
      <c r="E766" s="575" t="s">
        <v>1849</v>
      </c>
      <c r="F766" s="561" t="s">
        <v>946</v>
      </c>
      <c r="G766" s="562" t="s">
        <v>951</v>
      </c>
      <c r="H766" s="563" t="s">
        <v>952</v>
      </c>
      <c r="I766" s="578" t="s">
        <v>925</v>
      </c>
      <c r="J766" s="564" t="s">
        <v>757</v>
      </c>
      <c r="K766" s="561">
        <v>0</v>
      </c>
      <c r="L766" s="338" t="s">
        <v>926</v>
      </c>
      <c r="M766" s="565">
        <v>0</v>
      </c>
      <c r="N766" s="579">
        <v>0</v>
      </c>
      <c r="O766" s="566">
        <f t="shared" si="34"/>
        <v>0</v>
      </c>
      <c r="P766" s="567">
        <f t="shared" si="35"/>
        <v>0</v>
      </c>
      <c r="Q766" s="568" t="e">
        <f t="shared" si="33"/>
        <v>#DIV/0!</v>
      </c>
      <c r="R766" s="676" t="s">
        <v>1919</v>
      </c>
    </row>
    <row r="767" spans="1:18" x14ac:dyDescent="0.2">
      <c r="A767" s="558" t="s">
        <v>277</v>
      </c>
      <c r="B767" s="559" t="s">
        <v>914</v>
      </c>
      <c r="C767" s="573" t="s">
        <v>308</v>
      </c>
      <c r="D767" s="327" t="s">
        <v>300</v>
      </c>
      <c r="E767" s="575" t="s">
        <v>1715</v>
      </c>
      <c r="F767" s="561" t="s">
        <v>946</v>
      </c>
      <c r="G767" s="562" t="s">
        <v>951</v>
      </c>
      <c r="H767" s="563" t="s">
        <v>952</v>
      </c>
      <c r="I767" s="578" t="s">
        <v>925</v>
      </c>
      <c r="J767" s="564" t="s">
        <v>757</v>
      </c>
      <c r="K767" s="561">
        <v>38</v>
      </c>
      <c r="L767" s="338"/>
      <c r="M767" s="565">
        <v>51</v>
      </c>
      <c r="N767" s="579">
        <v>1</v>
      </c>
      <c r="O767" s="566">
        <f t="shared" si="34"/>
        <v>1.9607843137254902E-2</v>
      </c>
      <c r="P767" s="567">
        <f t="shared" si="35"/>
        <v>5.1599587203302377E-2</v>
      </c>
      <c r="Q767" s="568">
        <f t="shared" si="33"/>
        <v>5.1599587203302377E-2</v>
      </c>
      <c r="R767" s="675"/>
    </row>
    <row r="768" spans="1:18" x14ac:dyDescent="0.2">
      <c r="A768" s="558" t="s">
        <v>277</v>
      </c>
      <c r="B768" s="559" t="s">
        <v>914</v>
      </c>
      <c r="C768" s="573" t="s">
        <v>308</v>
      </c>
      <c r="D768" s="327" t="s">
        <v>292</v>
      </c>
      <c r="E768" s="575" t="s">
        <v>1850</v>
      </c>
      <c r="F768" s="561" t="s">
        <v>946</v>
      </c>
      <c r="G768" s="562" t="s">
        <v>951</v>
      </c>
      <c r="H768" s="563" t="s">
        <v>952</v>
      </c>
      <c r="I768" s="578" t="s">
        <v>925</v>
      </c>
      <c r="J768" s="564" t="s">
        <v>757</v>
      </c>
      <c r="K768" s="561">
        <v>0</v>
      </c>
      <c r="L768" s="338" t="s">
        <v>926</v>
      </c>
      <c r="M768" s="565">
        <v>7</v>
      </c>
      <c r="N768" s="579">
        <v>2</v>
      </c>
      <c r="O768" s="566">
        <f t="shared" si="34"/>
        <v>0.2857142857142857</v>
      </c>
      <c r="P768" s="567">
        <f t="shared" si="35"/>
        <v>0</v>
      </c>
      <c r="Q768" s="568" t="e">
        <f t="shared" si="33"/>
        <v>#DIV/0!</v>
      </c>
      <c r="R768" s="676" t="s">
        <v>926</v>
      </c>
    </row>
    <row r="769" spans="1:18" x14ac:dyDescent="0.2">
      <c r="A769" s="558" t="s">
        <v>277</v>
      </c>
      <c r="B769" s="559" t="s">
        <v>914</v>
      </c>
      <c r="C769" s="573" t="s">
        <v>308</v>
      </c>
      <c r="D769" s="327" t="s">
        <v>294</v>
      </c>
      <c r="E769" s="575" t="s">
        <v>1850</v>
      </c>
      <c r="F769" s="561" t="s">
        <v>946</v>
      </c>
      <c r="G769" s="562" t="s">
        <v>951</v>
      </c>
      <c r="H769" s="563" t="s">
        <v>952</v>
      </c>
      <c r="I769" s="578" t="s">
        <v>925</v>
      </c>
      <c r="J769" s="564" t="s">
        <v>757</v>
      </c>
      <c r="K769" s="561">
        <v>0</v>
      </c>
      <c r="L769" s="338" t="s">
        <v>926</v>
      </c>
      <c r="M769" s="565">
        <v>1</v>
      </c>
      <c r="N769" s="579">
        <v>0</v>
      </c>
      <c r="O769" s="566">
        <f t="shared" si="34"/>
        <v>0</v>
      </c>
      <c r="P769" s="567">
        <f t="shared" si="35"/>
        <v>0</v>
      </c>
      <c r="Q769" s="568" t="e">
        <f t="shared" si="33"/>
        <v>#DIV/0!</v>
      </c>
      <c r="R769" s="676" t="s">
        <v>926</v>
      </c>
    </row>
    <row r="770" spans="1:18" x14ac:dyDescent="0.2">
      <c r="A770" s="558" t="s">
        <v>277</v>
      </c>
      <c r="B770" s="559" t="s">
        <v>914</v>
      </c>
      <c r="C770" s="573" t="s">
        <v>305</v>
      </c>
      <c r="D770" s="327" t="s">
        <v>300</v>
      </c>
      <c r="E770" s="575" t="s">
        <v>1715</v>
      </c>
      <c r="F770" s="561" t="s">
        <v>946</v>
      </c>
      <c r="G770" s="562" t="s">
        <v>951</v>
      </c>
      <c r="H770" s="563" t="s">
        <v>952</v>
      </c>
      <c r="I770" s="578" t="s">
        <v>925</v>
      </c>
      <c r="J770" s="564" t="s">
        <v>757</v>
      </c>
      <c r="K770" s="561">
        <v>5</v>
      </c>
      <c r="L770" s="338"/>
      <c r="M770" s="565">
        <v>568</v>
      </c>
      <c r="N770" s="579">
        <v>15</v>
      </c>
      <c r="O770" s="566">
        <f t="shared" si="34"/>
        <v>2.6408450704225352E-2</v>
      </c>
      <c r="P770" s="567">
        <f t="shared" si="35"/>
        <v>0.528169014084507</v>
      </c>
      <c r="Q770" s="568">
        <f t="shared" si="33"/>
        <v>0.52816901408450712</v>
      </c>
      <c r="R770" s="675"/>
    </row>
    <row r="771" spans="1:18" x14ac:dyDescent="0.2">
      <c r="A771" s="558" t="s">
        <v>277</v>
      </c>
      <c r="B771" s="559" t="s">
        <v>914</v>
      </c>
      <c r="C771" s="573" t="s">
        <v>305</v>
      </c>
      <c r="D771" s="327" t="s">
        <v>292</v>
      </c>
      <c r="E771" s="575" t="s">
        <v>1715</v>
      </c>
      <c r="F771" s="561" t="s">
        <v>946</v>
      </c>
      <c r="G771" s="562" t="s">
        <v>951</v>
      </c>
      <c r="H771" s="563" t="s">
        <v>952</v>
      </c>
      <c r="I771" s="578" t="s">
        <v>925</v>
      </c>
      <c r="J771" s="564" t="s">
        <v>757</v>
      </c>
      <c r="K771" s="561">
        <v>32</v>
      </c>
      <c r="L771" s="338"/>
      <c r="M771" s="565">
        <v>85</v>
      </c>
      <c r="N771" s="579">
        <v>16</v>
      </c>
      <c r="O771" s="566">
        <f t="shared" si="34"/>
        <v>0.18823529411764706</v>
      </c>
      <c r="P771" s="567">
        <f t="shared" si="35"/>
        <v>0.58823529411764708</v>
      </c>
      <c r="Q771" s="568">
        <f t="shared" si="33"/>
        <v>0.58823529411764708</v>
      </c>
      <c r="R771" s="675"/>
    </row>
    <row r="772" spans="1:18" x14ac:dyDescent="0.2">
      <c r="A772" s="558" t="s">
        <v>277</v>
      </c>
      <c r="B772" s="559" t="s">
        <v>914</v>
      </c>
      <c r="C772" s="573" t="s">
        <v>305</v>
      </c>
      <c r="D772" s="327" t="s">
        <v>294</v>
      </c>
      <c r="E772" s="575" t="s">
        <v>1851</v>
      </c>
      <c r="F772" s="561" t="s">
        <v>946</v>
      </c>
      <c r="G772" s="562" t="s">
        <v>951</v>
      </c>
      <c r="H772" s="563" t="s">
        <v>952</v>
      </c>
      <c r="I772" s="578" t="s">
        <v>925</v>
      </c>
      <c r="J772" s="564" t="s">
        <v>757</v>
      </c>
      <c r="K772" s="561">
        <v>33</v>
      </c>
      <c r="L772" s="338"/>
      <c r="M772" s="565">
        <v>24</v>
      </c>
      <c r="N772" s="579">
        <v>4</v>
      </c>
      <c r="O772" s="566">
        <f t="shared" si="34"/>
        <v>0.16666666666666666</v>
      </c>
      <c r="P772" s="567">
        <f t="shared" si="35"/>
        <v>0.50505050505050508</v>
      </c>
      <c r="Q772" s="568">
        <f t="shared" si="33"/>
        <v>0.50505050505050508</v>
      </c>
      <c r="R772" s="675"/>
    </row>
    <row r="773" spans="1:18" x14ac:dyDescent="0.2">
      <c r="A773" s="558" t="s">
        <v>277</v>
      </c>
      <c r="B773" s="559" t="s">
        <v>914</v>
      </c>
      <c r="C773" s="573" t="s">
        <v>305</v>
      </c>
      <c r="D773" s="327" t="s">
        <v>285</v>
      </c>
      <c r="E773" s="575" t="s">
        <v>1851</v>
      </c>
      <c r="F773" s="561" t="s">
        <v>946</v>
      </c>
      <c r="G773" s="562" t="s">
        <v>951</v>
      </c>
      <c r="H773" s="563" t="s">
        <v>952</v>
      </c>
      <c r="I773" s="578" t="s">
        <v>925</v>
      </c>
      <c r="J773" s="564" t="s">
        <v>757</v>
      </c>
      <c r="K773" s="561">
        <v>0</v>
      </c>
      <c r="L773" s="338" t="s">
        <v>926</v>
      </c>
      <c r="M773" s="565">
        <v>2</v>
      </c>
      <c r="N773" s="579">
        <v>0</v>
      </c>
      <c r="O773" s="566">
        <f t="shared" si="34"/>
        <v>0</v>
      </c>
      <c r="P773" s="567">
        <f t="shared" si="35"/>
        <v>0</v>
      </c>
      <c r="Q773" s="568" t="e">
        <f t="shared" ref="Q773:Q836" si="36">N773/(M773*K773/100)</f>
        <v>#DIV/0!</v>
      </c>
      <c r="R773" s="676" t="s">
        <v>926</v>
      </c>
    </row>
    <row r="774" spans="1:18" x14ac:dyDescent="0.2">
      <c r="A774" s="558" t="s">
        <v>277</v>
      </c>
      <c r="B774" s="559" t="s">
        <v>914</v>
      </c>
      <c r="C774" s="573" t="s">
        <v>97</v>
      </c>
      <c r="D774" s="327" t="s">
        <v>282</v>
      </c>
      <c r="E774" s="575" t="s">
        <v>1843</v>
      </c>
      <c r="F774" s="561" t="s">
        <v>946</v>
      </c>
      <c r="G774" s="562" t="s">
        <v>953</v>
      </c>
      <c r="H774" s="563" t="s">
        <v>924</v>
      </c>
      <c r="I774" s="578" t="s">
        <v>925</v>
      </c>
      <c r="J774" s="564" t="s">
        <v>757</v>
      </c>
      <c r="K774" s="561">
        <v>33</v>
      </c>
      <c r="L774" s="338"/>
      <c r="M774" s="565">
        <v>6</v>
      </c>
      <c r="N774" s="579">
        <v>0</v>
      </c>
      <c r="O774" s="566">
        <f t="shared" ref="O774:O837" si="37">IFERROR(N774/M774,0)</f>
        <v>0</v>
      </c>
      <c r="P774" s="567">
        <f t="shared" ref="P774:P837" si="38">IFERROR(N774/(M774*(K774/100)),0)</f>
        <v>0</v>
      </c>
      <c r="Q774" s="568">
        <f t="shared" si="36"/>
        <v>0</v>
      </c>
      <c r="R774" s="676" t="s">
        <v>1855</v>
      </c>
    </row>
    <row r="775" spans="1:18" x14ac:dyDescent="0.2">
      <c r="A775" s="558" t="s">
        <v>277</v>
      </c>
      <c r="B775" s="559" t="s">
        <v>914</v>
      </c>
      <c r="C775" s="573" t="s">
        <v>97</v>
      </c>
      <c r="D775" s="327" t="s">
        <v>285</v>
      </c>
      <c r="E775" s="575" t="s">
        <v>1843</v>
      </c>
      <c r="F775" s="561" t="s">
        <v>946</v>
      </c>
      <c r="G775" s="562" t="s">
        <v>953</v>
      </c>
      <c r="H775" s="563" t="s">
        <v>924</v>
      </c>
      <c r="I775" s="578" t="s">
        <v>925</v>
      </c>
      <c r="J775" s="564" t="s">
        <v>757</v>
      </c>
      <c r="K775" s="561">
        <v>0</v>
      </c>
      <c r="L775" s="338" t="s">
        <v>926</v>
      </c>
      <c r="M775" s="565">
        <v>8</v>
      </c>
      <c r="N775" s="579">
        <v>0</v>
      </c>
      <c r="O775" s="566">
        <f t="shared" si="37"/>
        <v>0</v>
      </c>
      <c r="P775" s="567">
        <f t="shared" si="38"/>
        <v>0</v>
      </c>
      <c r="Q775" s="568" t="e">
        <f t="shared" si="36"/>
        <v>#DIV/0!</v>
      </c>
      <c r="R775" s="676" t="s">
        <v>926</v>
      </c>
    </row>
    <row r="776" spans="1:18" x14ac:dyDescent="0.2">
      <c r="A776" s="558" t="s">
        <v>277</v>
      </c>
      <c r="B776" s="559" t="s">
        <v>914</v>
      </c>
      <c r="C776" s="573" t="s">
        <v>286</v>
      </c>
      <c r="D776" s="327" t="s">
        <v>300</v>
      </c>
      <c r="E776" s="575" t="s">
        <v>1715</v>
      </c>
      <c r="F776" s="561" t="s">
        <v>946</v>
      </c>
      <c r="G776" s="562" t="s">
        <v>953</v>
      </c>
      <c r="H776" s="563" t="s">
        <v>927</v>
      </c>
      <c r="I776" s="578" t="s">
        <v>925</v>
      </c>
      <c r="J776" s="564" t="s">
        <v>757</v>
      </c>
      <c r="K776" s="561">
        <v>0</v>
      </c>
      <c r="L776" s="338" t="s">
        <v>926</v>
      </c>
      <c r="M776" s="565">
        <v>39</v>
      </c>
      <c r="N776" s="579">
        <v>4</v>
      </c>
      <c r="O776" s="566">
        <f t="shared" si="37"/>
        <v>0.10256410256410256</v>
      </c>
      <c r="P776" s="567">
        <f t="shared" si="38"/>
        <v>0</v>
      </c>
      <c r="Q776" s="568" t="e">
        <f t="shared" si="36"/>
        <v>#DIV/0!</v>
      </c>
      <c r="R776" s="676" t="s">
        <v>926</v>
      </c>
    </row>
    <row r="777" spans="1:18" x14ac:dyDescent="0.2">
      <c r="A777" s="558" t="s">
        <v>277</v>
      </c>
      <c r="B777" s="559" t="s">
        <v>914</v>
      </c>
      <c r="C777" s="573" t="s">
        <v>286</v>
      </c>
      <c r="D777" s="327" t="s">
        <v>292</v>
      </c>
      <c r="E777" s="575" t="s">
        <v>1715</v>
      </c>
      <c r="F777" s="561" t="s">
        <v>946</v>
      </c>
      <c r="G777" s="562" t="s">
        <v>953</v>
      </c>
      <c r="H777" s="563" t="s">
        <v>924</v>
      </c>
      <c r="I777" s="578" t="s">
        <v>925</v>
      </c>
      <c r="J777" s="564" t="s">
        <v>757</v>
      </c>
      <c r="K777" s="561">
        <v>26</v>
      </c>
      <c r="L777" s="338"/>
      <c r="M777" s="565">
        <v>12</v>
      </c>
      <c r="N777" s="579">
        <v>3</v>
      </c>
      <c r="O777" s="566">
        <f t="shared" si="37"/>
        <v>0.25</v>
      </c>
      <c r="P777" s="567">
        <f t="shared" si="38"/>
        <v>0.96153846153846145</v>
      </c>
      <c r="Q777" s="568">
        <f t="shared" si="36"/>
        <v>0.96153846153846145</v>
      </c>
      <c r="R777" s="675"/>
    </row>
    <row r="778" spans="1:18" x14ac:dyDescent="0.2">
      <c r="A778" s="558" t="s">
        <v>277</v>
      </c>
      <c r="B778" s="559" t="s">
        <v>914</v>
      </c>
      <c r="C778" s="573" t="s">
        <v>286</v>
      </c>
      <c r="D778" s="327" t="s">
        <v>294</v>
      </c>
      <c r="E778" s="575" t="s">
        <v>1715</v>
      </c>
      <c r="F778" s="561" t="s">
        <v>946</v>
      </c>
      <c r="G778" s="562" t="s">
        <v>953</v>
      </c>
      <c r="H778" s="563" t="s">
        <v>924</v>
      </c>
      <c r="I778" s="578" t="s">
        <v>925</v>
      </c>
      <c r="J778" s="564" t="s">
        <v>757</v>
      </c>
      <c r="K778" s="561">
        <v>16</v>
      </c>
      <c r="L778" s="338"/>
      <c r="M778" s="565">
        <v>40</v>
      </c>
      <c r="N778" s="579">
        <v>7</v>
      </c>
      <c r="O778" s="566">
        <f t="shared" si="37"/>
        <v>0.17499999999999999</v>
      </c>
      <c r="P778" s="567">
        <f t="shared" si="38"/>
        <v>1.09375</v>
      </c>
      <c r="Q778" s="568">
        <f t="shared" si="36"/>
        <v>1.09375</v>
      </c>
      <c r="R778" s="675"/>
    </row>
    <row r="779" spans="1:18" x14ac:dyDescent="0.2">
      <c r="A779" s="558" t="s">
        <v>277</v>
      </c>
      <c r="B779" s="559" t="s">
        <v>914</v>
      </c>
      <c r="C779" s="573" t="s">
        <v>286</v>
      </c>
      <c r="D779" s="327" t="s">
        <v>282</v>
      </c>
      <c r="E779" s="575" t="s">
        <v>1715</v>
      </c>
      <c r="F779" s="561" t="s">
        <v>946</v>
      </c>
      <c r="G779" s="562" t="s">
        <v>953</v>
      </c>
      <c r="H779" s="563" t="s">
        <v>924</v>
      </c>
      <c r="I779" s="578" t="s">
        <v>925</v>
      </c>
      <c r="J779" s="564" t="s">
        <v>757</v>
      </c>
      <c r="K779" s="561">
        <v>6</v>
      </c>
      <c r="L779" s="338"/>
      <c r="M779" s="565">
        <v>68</v>
      </c>
      <c r="N779" s="579">
        <v>11</v>
      </c>
      <c r="O779" s="566">
        <f t="shared" si="37"/>
        <v>0.16176470588235295</v>
      </c>
      <c r="P779" s="567">
        <f t="shared" si="38"/>
        <v>2.6960784313725488</v>
      </c>
      <c r="Q779" s="568">
        <f t="shared" si="36"/>
        <v>2.6960784313725488</v>
      </c>
      <c r="R779" s="675"/>
    </row>
    <row r="780" spans="1:18" x14ac:dyDescent="0.2">
      <c r="A780" s="558" t="s">
        <v>277</v>
      </c>
      <c r="B780" s="559" t="s">
        <v>914</v>
      </c>
      <c r="C780" s="573" t="s">
        <v>286</v>
      </c>
      <c r="D780" s="327" t="s">
        <v>285</v>
      </c>
      <c r="E780" s="575" t="s">
        <v>1715</v>
      </c>
      <c r="F780" s="561" t="s">
        <v>946</v>
      </c>
      <c r="G780" s="562" t="s">
        <v>953</v>
      </c>
      <c r="H780" s="563" t="s">
        <v>924</v>
      </c>
      <c r="I780" s="578" t="s">
        <v>925</v>
      </c>
      <c r="J780" s="564" t="s">
        <v>757</v>
      </c>
      <c r="K780" s="561">
        <v>8</v>
      </c>
      <c r="L780" s="338"/>
      <c r="M780" s="565">
        <v>47</v>
      </c>
      <c r="N780" s="579">
        <v>8</v>
      </c>
      <c r="O780" s="566">
        <f t="shared" si="37"/>
        <v>0.1702127659574468</v>
      </c>
      <c r="P780" s="567">
        <f t="shared" si="38"/>
        <v>2.1276595744680851</v>
      </c>
      <c r="Q780" s="568">
        <f t="shared" si="36"/>
        <v>2.1276595744680851</v>
      </c>
      <c r="R780" s="675"/>
    </row>
    <row r="781" spans="1:18" x14ac:dyDescent="0.2">
      <c r="A781" s="558" t="s">
        <v>277</v>
      </c>
      <c r="B781" s="559" t="s">
        <v>914</v>
      </c>
      <c r="C781" s="573" t="s">
        <v>303</v>
      </c>
      <c r="D781" s="327" t="s">
        <v>300</v>
      </c>
      <c r="E781" s="575" t="s">
        <v>1715</v>
      </c>
      <c r="F781" s="561" t="s">
        <v>946</v>
      </c>
      <c r="G781" s="562" t="s">
        <v>953</v>
      </c>
      <c r="H781" s="563" t="s">
        <v>927</v>
      </c>
      <c r="I781" s="578" t="s">
        <v>925</v>
      </c>
      <c r="J781" s="564" t="s">
        <v>757</v>
      </c>
      <c r="K781" s="561">
        <v>28.999999999999996</v>
      </c>
      <c r="L781" s="338"/>
      <c r="M781" s="565">
        <v>144</v>
      </c>
      <c r="N781" s="579">
        <v>4</v>
      </c>
      <c r="O781" s="566">
        <f t="shared" si="37"/>
        <v>2.7777777777777776E-2</v>
      </c>
      <c r="P781" s="567">
        <f t="shared" si="38"/>
        <v>9.5785440613026823E-2</v>
      </c>
      <c r="Q781" s="568">
        <f t="shared" si="36"/>
        <v>9.5785440613026837E-2</v>
      </c>
      <c r="R781" s="675"/>
    </row>
    <row r="782" spans="1:18" x14ac:dyDescent="0.2">
      <c r="A782" s="558" t="s">
        <v>277</v>
      </c>
      <c r="B782" s="559" t="s">
        <v>914</v>
      </c>
      <c r="C782" s="573" t="s">
        <v>303</v>
      </c>
      <c r="D782" s="327" t="s">
        <v>292</v>
      </c>
      <c r="E782" s="575" t="s">
        <v>1844</v>
      </c>
      <c r="F782" s="561" t="s">
        <v>946</v>
      </c>
      <c r="G782" s="562" t="s">
        <v>953</v>
      </c>
      <c r="H782" s="563" t="s">
        <v>924</v>
      </c>
      <c r="I782" s="578" t="s">
        <v>925</v>
      </c>
      <c r="J782" s="564" t="s">
        <v>757</v>
      </c>
      <c r="K782" s="561">
        <v>8</v>
      </c>
      <c r="L782" s="338"/>
      <c r="M782" s="565">
        <v>42</v>
      </c>
      <c r="N782" s="579">
        <v>1</v>
      </c>
      <c r="O782" s="566">
        <f t="shared" si="37"/>
        <v>2.3809523809523808E-2</v>
      </c>
      <c r="P782" s="567">
        <f t="shared" si="38"/>
        <v>0.29761904761904762</v>
      </c>
      <c r="Q782" s="568">
        <f t="shared" si="36"/>
        <v>0.29761904761904762</v>
      </c>
      <c r="R782" s="675"/>
    </row>
    <row r="783" spans="1:18" x14ac:dyDescent="0.2">
      <c r="A783" s="558" t="s">
        <v>277</v>
      </c>
      <c r="B783" s="559" t="s">
        <v>914</v>
      </c>
      <c r="C783" s="573" t="s">
        <v>303</v>
      </c>
      <c r="D783" s="327" t="s">
        <v>294</v>
      </c>
      <c r="E783" s="575" t="s">
        <v>1844</v>
      </c>
      <c r="F783" s="561" t="s">
        <v>946</v>
      </c>
      <c r="G783" s="562" t="s">
        <v>953</v>
      </c>
      <c r="H783" s="563" t="s">
        <v>924</v>
      </c>
      <c r="I783" s="578" t="s">
        <v>925</v>
      </c>
      <c r="J783" s="564" t="s">
        <v>757</v>
      </c>
      <c r="K783" s="561">
        <v>0</v>
      </c>
      <c r="L783" s="338" t="s">
        <v>926</v>
      </c>
      <c r="M783" s="565">
        <v>10</v>
      </c>
      <c r="N783" s="579">
        <v>1</v>
      </c>
      <c r="O783" s="566">
        <f t="shared" si="37"/>
        <v>0.1</v>
      </c>
      <c r="P783" s="567">
        <f t="shared" si="38"/>
        <v>0</v>
      </c>
      <c r="Q783" s="568" t="e">
        <f t="shared" si="36"/>
        <v>#DIV/0!</v>
      </c>
      <c r="R783" s="676" t="s">
        <v>926</v>
      </c>
    </row>
    <row r="784" spans="1:18" x14ac:dyDescent="0.2">
      <c r="A784" s="558" t="s">
        <v>277</v>
      </c>
      <c r="B784" s="559" t="s">
        <v>914</v>
      </c>
      <c r="C784" s="573" t="s">
        <v>303</v>
      </c>
      <c r="D784" s="327" t="s">
        <v>282</v>
      </c>
      <c r="E784" s="575" t="s">
        <v>1845</v>
      </c>
      <c r="F784" s="561" t="s">
        <v>946</v>
      </c>
      <c r="G784" s="562" t="s">
        <v>953</v>
      </c>
      <c r="H784" s="563" t="s">
        <v>924</v>
      </c>
      <c r="I784" s="578" t="s">
        <v>925</v>
      </c>
      <c r="J784" s="564" t="s">
        <v>757</v>
      </c>
      <c r="K784" s="561">
        <v>0</v>
      </c>
      <c r="L784" s="338" t="s">
        <v>926</v>
      </c>
      <c r="M784" s="565">
        <v>2</v>
      </c>
      <c r="N784" s="579">
        <v>0</v>
      </c>
      <c r="O784" s="566">
        <f t="shared" si="37"/>
        <v>0</v>
      </c>
      <c r="P784" s="567">
        <f t="shared" si="38"/>
        <v>0</v>
      </c>
      <c r="Q784" s="568" t="e">
        <f t="shared" si="36"/>
        <v>#DIV/0!</v>
      </c>
      <c r="R784" s="676" t="s">
        <v>926</v>
      </c>
    </row>
    <row r="785" spans="1:18" x14ac:dyDescent="0.2">
      <c r="A785" s="558" t="s">
        <v>277</v>
      </c>
      <c r="B785" s="559" t="s">
        <v>914</v>
      </c>
      <c r="C785" s="573" t="s">
        <v>303</v>
      </c>
      <c r="D785" s="327" t="s">
        <v>285</v>
      </c>
      <c r="E785" s="575" t="s">
        <v>1845</v>
      </c>
      <c r="F785" s="561" t="s">
        <v>946</v>
      </c>
      <c r="G785" s="562" t="s">
        <v>953</v>
      </c>
      <c r="H785" s="563" t="s">
        <v>924</v>
      </c>
      <c r="I785" s="578" t="s">
        <v>925</v>
      </c>
      <c r="J785" s="564" t="s">
        <v>757</v>
      </c>
      <c r="K785" s="561">
        <v>0</v>
      </c>
      <c r="L785" s="338" t="s">
        <v>926</v>
      </c>
      <c r="M785" s="565">
        <v>5</v>
      </c>
      <c r="N785" s="579">
        <v>0</v>
      </c>
      <c r="O785" s="566">
        <f t="shared" si="37"/>
        <v>0</v>
      </c>
      <c r="P785" s="567">
        <f t="shared" si="38"/>
        <v>0</v>
      </c>
      <c r="Q785" s="568" t="e">
        <f t="shared" si="36"/>
        <v>#DIV/0!</v>
      </c>
      <c r="R785" s="676" t="s">
        <v>926</v>
      </c>
    </row>
    <row r="786" spans="1:18" x14ac:dyDescent="0.2">
      <c r="A786" s="558" t="s">
        <v>277</v>
      </c>
      <c r="B786" s="559" t="s">
        <v>914</v>
      </c>
      <c r="C786" s="573" t="s">
        <v>99</v>
      </c>
      <c r="D786" s="327" t="s">
        <v>300</v>
      </c>
      <c r="E786" s="575" t="s">
        <v>1715</v>
      </c>
      <c r="F786" s="561" t="s">
        <v>946</v>
      </c>
      <c r="G786" s="562" t="s">
        <v>953</v>
      </c>
      <c r="H786" s="563" t="s">
        <v>927</v>
      </c>
      <c r="I786" s="578" t="s">
        <v>925</v>
      </c>
      <c r="J786" s="564" t="s">
        <v>757</v>
      </c>
      <c r="K786" s="561">
        <v>17</v>
      </c>
      <c r="L786" s="338"/>
      <c r="M786" s="565">
        <v>158</v>
      </c>
      <c r="N786" s="579">
        <v>5</v>
      </c>
      <c r="O786" s="566">
        <f t="shared" si="37"/>
        <v>3.1645569620253167E-2</v>
      </c>
      <c r="P786" s="567">
        <f t="shared" si="38"/>
        <v>0.18615040953090095</v>
      </c>
      <c r="Q786" s="568">
        <f t="shared" si="36"/>
        <v>0.18615040953090098</v>
      </c>
      <c r="R786" s="675"/>
    </row>
    <row r="787" spans="1:18" x14ac:dyDescent="0.2">
      <c r="A787" s="558" t="s">
        <v>277</v>
      </c>
      <c r="B787" s="559" t="s">
        <v>914</v>
      </c>
      <c r="C787" s="573" t="s">
        <v>99</v>
      </c>
      <c r="D787" s="327" t="s">
        <v>292</v>
      </c>
      <c r="E787" s="575" t="s">
        <v>1715</v>
      </c>
      <c r="F787" s="561" t="s">
        <v>946</v>
      </c>
      <c r="G787" s="562" t="s">
        <v>953</v>
      </c>
      <c r="H787" s="563" t="s">
        <v>924</v>
      </c>
      <c r="I787" s="578" t="s">
        <v>925</v>
      </c>
      <c r="J787" s="564" t="s">
        <v>757</v>
      </c>
      <c r="K787" s="561">
        <v>36</v>
      </c>
      <c r="L787" s="338"/>
      <c r="M787" s="565">
        <v>7</v>
      </c>
      <c r="N787" s="579">
        <v>1</v>
      </c>
      <c r="O787" s="566">
        <f t="shared" si="37"/>
        <v>0.14285714285714285</v>
      </c>
      <c r="P787" s="567">
        <f t="shared" si="38"/>
        <v>0.3968253968253968</v>
      </c>
      <c r="Q787" s="568">
        <f t="shared" si="36"/>
        <v>0.3968253968253968</v>
      </c>
      <c r="R787" s="675"/>
    </row>
    <row r="788" spans="1:18" x14ac:dyDescent="0.2">
      <c r="A788" s="558" t="s">
        <v>277</v>
      </c>
      <c r="B788" s="559" t="s">
        <v>914</v>
      </c>
      <c r="C788" s="573" t="s">
        <v>99</v>
      </c>
      <c r="D788" s="327" t="s">
        <v>294</v>
      </c>
      <c r="E788" s="575" t="s">
        <v>1846</v>
      </c>
      <c r="F788" s="561" t="s">
        <v>946</v>
      </c>
      <c r="G788" s="562" t="s">
        <v>953</v>
      </c>
      <c r="H788" s="563" t="s">
        <v>924</v>
      </c>
      <c r="I788" s="578" t="s">
        <v>925</v>
      </c>
      <c r="J788" s="564" t="s">
        <v>757</v>
      </c>
      <c r="K788" s="561">
        <v>80</v>
      </c>
      <c r="L788" s="338"/>
      <c r="M788" s="565">
        <v>8</v>
      </c>
      <c r="N788" s="579">
        <v>3</v>
      </c>
      <c r="O788" s="566">
        <f t="shared" si="37"/>
        <v>0.375</v>
      </c>
      <c r="P788" s="567">
        <f t="shared" si="38"/>
        <v>0.46875</v>
      </c>
      <c r="Q788" s="568">
        <f t="shared" si="36"/>
        <v>0.46875</v>
      </c>
      <c r="R788" s="675"/>
    </row>
    <row r="789" spans="1:18" x14ac:dyDescent="0.2">
      <c r="A789" s="558" t="s">
        <v>277</v>
      </c>
      <c r="B789" s="559" t="s">
        <v>914</v>
      </c>
      <c r="C789" s="573" t="s">
        <v>99</v>
      </c>
      <c r="D789" s="327" t="s">
        <v>282</v>
      </c>
      <c r="E789" s="575" t="s">
        <v>1846</v>
      </c>
      <c r="F789" s="561" t="s">
        <v>946</v>
      </c>
      <c r="G789" s="562" t="s">
        <v>953</v>
      </c>
      <c r="H789" s="563" t="s">
        <v>924</v>
      </c>
      <c r="I789" s="578" t="s">
        <v>925</v>
      </c>
      <c r="J789" s="564" t="s">
        <v>757</v>
      </c>
      <c r="K789" s="561">
        <v>0</v>
      </c>
      <c r="L789" s="338" t="s">
        <v>926</v>
      </c>
      <c r="M789" s="565">
        <v>4</v>
      </c>
      <c r="N789" s="579">
        <v>0</v>
      </c>
      <c r="O789" s="566">
        <f t="shared" si="37"/>
        <v>0</v>
      </c>
      <c r="P789" s="567">
        <f t="shared" si="38"/>
        <v>0</v>
      </c>
      <c r="Q789" s="568" t="e">
        <f t="shared" si="36"/>
        <v>#DIV/0!</v>
      </c>
      <c r="R789" s="676" t="s">
        <v>926</v>
      </c>
    </row>
    <row r="790" spans="1:18" x14ac:dyDescent="0.2">
      <c r="A790" s="558" t="s">
        <v>277</v>
      </c>
      <c r="B790" s="559" t="s">
        <v>914</v>
      </c>
      <c r="C790" s="573" t="s">
        <v>99</v>
      </c>
      <c r="D790" s="327" t="s">
        <v>285</v>
      </c>
      <c r="E790" s="575" t="s">
        <v>1846</v>
      </c>
      <c r="F790" s="561" t="s">
        <v>946</v>
      </c>
      <c r="G790" s="562" t="s">
        <v>953</v>
      </c>
      <c r="H790" s="563" t="s">
        <v>924</v>
      </c>
      <c r="I790" s="578" t="s">
        <v>925</v>
      </c>
      <c r="J790" s="564" t="s">
        <v>757</v>
      </c>
      <c r="K790" s="561">
        <v>0</v>
      </c>
      <c r="L790" s="338" t="s">
        <v>926</v>
      </c>
      <c r="M790" s="565">
        <v>1</v>
      </c>
      <c r="N790" s="579">
        <v>0</v>
      </c>
      <c r="O790" s="566">
        <f t="shared" si="37"/>
        <v>0</v>
      </c>
      <c r="P790" s="567">
        <f t="shared" si="38"/>
        <v>0</v>
      </c>
      <c r="Q790" s="568" t="e">
        <f t="shared" si="36"/>
        <v>#DIV/0!</v>
      </c>
      <c r="R790" s="676" t="s">
        <v>926</v>
      </c>
    </row>
    <row r="791" spans="1:18" x14ac:dyDescent="0.2">
      <c r="A791" s="558" t="s">
        <v>277</v>
      </c>
      <c r="B791" s="559" t="s">
        <v>914</v>
      </c>
      <c r="C791" s="573" t="s">
        <v>296</v>
      </c>
      <c r="D791" s="327" t="s">
        <v>300</v>
      </c>
      <c r="E791" s="575" t="s">
        <v>1847</v>
      </c>
      <c r="F791" s="561" t="s">
        <v>946</v>
      </c>
      <c r="G791" s="562" t="s">
        <v>953</v>
      </c>
      <c r="H791" s="563" t="s">
        <v>927</v>
      </c>
      <c r="I791" s="578" t="s">
        <v>925</v>
      </c>
      <c r="J791" s="564" t="s">
        <v>757</v>
      </c>
      <c r="K791" s="561">
        <v>13</v>
      </c>
      <c r="L791" s="338"/>
      <c r="M791" s="565">
        <v>0</v>
      </c>
      <c r="N791" s="579">
        <v>0</v>
      </c>
      <c r="O791" s="566">
        <f t="shared" si="37"/>
        <v>0</v>
      </c>
      <c r="P791" s="567">
        <f t="shared" si="38"/>
        <v>0</v>
      </c>
      <c r="Q791" s="568" t="e">
        <f t="shared" si="36"/>
        <v>#DIV/0!</v>
      </c>
      <c r="R791" s="676" t="s">
        <v>1919</v>
      </c>
    </row>
    <row r="792" spans="1:18" x14ac:dyDescent="0.2">
      <c r="A792" s="558" t="s">
        <v>277</v>
      </c>
      <c r="B792" s="559" t="s">
        <v>914</v>
      </c>
      <c r="C792" s="573" t="s">
        <v>296</v>
      </c>
      <c r="D792" s="327" t="s">
        <v>292</v>
      </c>
      <c r="E792" s="575" t="s">
        <v>1847</v>
      </c>
      <c r="F792" s="561" t="s">
        <v>946</v>
      </c>
      <c r="G792" s="562" t="s">
        <v>953</v>
      </c>
      <c r="H792" s="563" t="s">
        <v>924</v>
      </c>
      <c r="I792" s="578" t="s">
        <v>925</v>
      </c>
      <c r="J792" s="564" t="s">
        <v>757</v>
      </c>
      <c r="K792" s="561">
        <v>0</v>
      </c>
      <c r="L792" s="338" t="s">
        <v>926</v>
      </c>
      <c r="M792" s="565">
        <v>3</v>
      </c>
      <c r="N792" s="579">
        <v>0</v>
      </c>
      <c r="O792" s="566">
        <f t="shared" si="37"/>
        <v>0</v>
      </c>
      <c r="P792" s="567">
        <f t="shared" si="38"/>
        <v>0</v>
      </c>
      <c r="Q792" s="568" t="e">
        <f t="shared" si="36"/>
        <v>#DIV/0!</v>
      </c>
      <c r="R792" s="676" t="s">
        <v>926</v>
      </c>
    </row>
    <row r="793" spans="1:18" x14ac:dyDescent="0.2">
      <c r="A793" s="558" t="s">
        <v>277</v>
      </c>
      <c r="B793" s="559" t="s">
        <v>914</v>
      </c>
      <c r="C793" s="573" t="s">
        <v>296</v>
      </c>
      <c r="D793" s="327" t="s">
        <v>294</v>
      </c>
      <c r="E793" s="575" t="s">
        <v>1848</v>
      </c>
      <c r="F793" s="561" t="s">
        <v>946</v>
      </c>
      <c r="G793" s="562" t="s">
        <v>953</v>
      </c>
      <c r="H793" s="563" t="s">
        <v>924</v>
      </c>
      <c r="I793" s="578" t="s">
        <v>925</v>
      </c>
      <c r="J793" s="564" t="s">
        <v>757</v>
      </c>
      <c r="K793" s="561">
        <v>0</v>
      </c>
      <c r="L793" s="338" t="s">
        <v>926</v>
      </c>
      <c r="M793" s="565">
        <v>1</v>
      </c>
      <c r="N793" s="579">
        <v>0</v>
      </c>
      <c r="O793" s="566">
        <f t="shared" si="37"/>
        <v>0</v>
      </c>
      <c r="P793" s="567">
        <f t="shared" si="38"/>
        <v>0</v>
      </c>
      <c r="Q793" s="568" t="e">
        <f t="shared" si="36"/>
        <v>#DIV/0!</v>
      </c>
      <c r="R793" s="676" t="s">
        <v>926</v>
      </c>
    </row>
    <row r="794" spans="1:18" x14ac:dyDescent="0.2">
      <c r="A794" s="558" t="s">
        <v>277</v>
      </c>
      <c r="B794" s="559" t="s">
        <v>914</v>
      </c>
      <c r="C794" s="573" t="s">
        <v>296</v>
      </c>
      <c r="D794" s="327" t="s">
        <v>282</v>
      </c>
      <c r="E794" s="575" t="s">
        <v>1848</v>
      </c>
      <c r="F794" s="561" t="s">
        <v>946</v>
      </c>
      <c r="G794" s="562" t="s">
        <v>953</v>
      </c>
      <c r="H794" s="563" t="s">
        <v>924</v>
      </c>
      <c r="I794" s="578" t="s">
        <v>925</v>
      </c>
      <c r="J794" s="564" t="s">
        <v>757</v>
      </c>
      <c r="K794" s="561">
        <v>0</v>
      </c>
      <c r="L794" s="338" t="s">
        <v>926</v>
      </c>
      <c r="M794" s="565">
        <v>2</v>
      </c>
      <c r="N794" s="579">
        <v>0</v>
      </c>
      <c r="O794" s="566">
        <f t="shared" si="37"/>
        <v>0</v>
      </c>
      <c r="P794" s="567">
        <f t="shared" si="38"/>
        <v>0</v>
      </c>
      <c r="Q794" s="568" t="e">
        <f t="shared" si="36"/>
        <v>#DIV/0!</v>
      </c>
      <c r="R794" s="676" t="s">
        <v>926</v>
      </c>
    </row>
    <row r="795" spans="1:18" x14ac:dyDescent="0.2">
      <c r="A795" s="558" t="s">
        <v>277</v>
      </c>
      <c r="B795" s="559" t="s">
        <v>914</v>
      </c>
      <c r="C795" s="573" t="s">
        <v>296</v>
      </c>
      <c r="D795" s="327" t="s">
        <v>285</v>
      </c>
      <c r="E795" s="575" t="s">
        <v>1715</v>
      </c>
      <c r="F795" s="561" t="s">
        <v>946</v>
      </c>
      <c r="G795" s="562" t="s">
        <v>953</v>
      </c>
      <c r="H795" s="563" t="s">
        <v>924</v>
      </c>
      <c r="I795" s="578" t="s">
        <v>925</v>
      </c>
      <c r="J795" s="564" t="s">
        <v>757</v>
      </c>
      <c r="K795" s="561">
        <v>25</v>
      </c>
      <c r="L795" s="338"/>
      <c r="M795" s="565">
        <v>11</v>
      </c>
      <c r="N795" s="579">
        <v>4</v>
      </c>
      <c r="O795" s="566">
        <f t="shared" si="37"/>
        <v>0.36363636363636365</v>
      </c>
      <c r="P795" s="567">
        <f t="shared" si="38"/>
        <v>1.4545454545454546</v>
      </c>
      <c r="Q795" s="568">
        <f t="shared" si="36"/>
        <v>1.4545454545454546</v>
      </c>
      <c r="R795" s="675"/>
    </row>
    <row r="796" spans="1:18" x14ac:dyDescent="0.2">
      <c r="A796" s="558" t="s">
        <v>277</v>
      </c>
      <c r="B796" s="559" t="s">
        <v>914</v>
      </c>
      <c r="C796" s="573" t="s">
        <v>296</v>
      </c>
      <c r="D796" s="327" t="s">
        <v>298</v>
      </c>
      <c r="E796" s="575" t="s">
        <v>1715</v>
      </c>
      <c r="F796" s="561" t="s">
        <v>946</v>
      </c>
      <c r="G796" s="562" t="s">
        <v>953</v>
      </c>
      <c r="H796" s="563" t="s">
        <v>924</v>
      </c>
      <c r="I796" s="578" t="s">
        <v>925</v>
      </c>
      <c r="J796" s="564" t="s">
        <v>757</v>
      </c>
      <c r="K796" s="561">
        <v>10</v>
      </c>
      <c r="L796" s="338"/>
      <c r="M796" s="565">
        <v>20</v>
      </c>
      <c r="N796" s="579">
        <v>7</v>
      </c>
      <c r="O796" s="566">
        <f t="shared" si="37"/>
        <v>0.35</v>
      </c>
      <c r="P796" s="567">
        <f t="shared" si="38"/>
        <v>3.5</v>
      </c>
      <c r="Q796" s="568">
        <f t="shared" si="36"/>
        <v>3.5</v>
      </c>
      <c r="R796" s="675"/>
    </row>
    <row r="797" spans="1:18" x14ac:dyDescent="0.2">
      <c r="A797" s="558" t="s">
        <v>277</v>
      </c>
      <c r="B797" s="559" t="s">
        <v>914</v>
      </c>
      <c r="C797" s="573" t="s">
        <v>316</v>
      </c>
      <c r="D797" s="327" t="s">
        <v>292</v>
      </c>
      <c r="E797" s="575" t="s">
        <v>1849</v>
      </c>
      <c r="F797" s="561" t="s">
        <v>946</v>
      </c>
      <c r="G797" s="562" t="s">
        <v>953</v>
      </c>
      <c r="H797" s="563" t="s">
        <v>924</v>
      </c>
      <c r="I797" s="578" t="s">
        <v>925</v>
      </c>
      <c r="J797" s="564" t="s">
        <v>757</v>
      </c>
      <c r="K797" s="561">
        <v>0</v>
      </c>
      <c r="L797" s="338" t="s">
        <v>926</v>
      </c>
      <c r="M797" s="565">
        <v>0</v>
      </c>
      <c r="N797" s="579">
        <v>0</v>
      </c>
      <c r="O797" s="566">
        <f t="shared" si="37"/>
        <v>0</v>
      </c>
      <c r="P797" s="567">
        <f t="shared" si="38"/>
        <v>0</v>
      </c>
      <c r="Q797" s="568" t="e">
        <f t="shared" si="36"/>
        <v>#DIV/0!</v>
      </c>
      <c r="R797" s="676" t="s">
        <v>1919</v>
      </c>
    </row>
    <row r="798" spans="1:18" x14ac:dyDescent="0.2">
      <c r="A798" s="558" t="s">
        <v>277</v>
      </c>
      <c r="B798" s="559" t="s">
        <v>914</v>
      </c>
      <c r="C798" s="573" t="s">
        <v>316</v>
      </c>
      <c r="D798" s="327" t="s">
        <v>294</v>
      </c>
      <c r="E798" s="575" t="s">
        <v>1849</v>
      </c>
      <c r="F798" s="561" t="s">
        <v>946</v>
      </c>
      <c r="G798" s="562" t="s">
        <v>953</v>
      </c>
      <c r="H798" s="563" t="s">
        <v>924</v>
      </c>
      <c r="I798" s="578" t="s">
        <v>925</v>
      </c>
      <c r="J798" s="564" t="s">
        <v>757</v>
      </c>
      <c r="K798" s="561">
        <v>0</v>
      </c>
      <c r="L798" s="338" t="s">
        <v>926</v>
      </c>
      <c r="M798" s="565">
        <v>0</v>
      </c>
      <c r="N798" s="579">
        <v>0</v>
      </c>
      <c r="O798" s="566">
        <f t="shared" si="37"/>
        <v>0</v>
      </c>
      <c r="P798" s="567">
        <f t="shared" si="38"/>
        <v>0</v>
      </c>
      <c r="Q798" s="568" t="e">
        <f t="shared" si="36"/>
        <v>#DIV/0!</v>
      </c>
      <c r="R798" s="676" t="s">
        <v>1919</v>
      </c>
    </row>
    <row r="799" spans="1:18" x14ac:dyDescent="0.2">
      <c r="A799" s="558" t="s">
        <v>277</v>
      </c>
      <c r="B799" s="559" t="s">
        <v>914</v>
      </c>
      <c r="C799" s="573" t="s">
        <v>308</v>
      </c>
      <c r="D799" s="327" t="s">
        <v>300</v>
      </c>
      <c r="E799" s="575" t="s">
        <v>1715</v>
      </c>
      <c r="F799" s="561" t="s">
        <v>946</v>
      </c>
      <c r="G799" s="562" t="s">
        <v>953</v>
      </c>
      <c r="H799" s="563" t="s">
        <v>927</v>
      </c>
      <c r="I799" s="578" t="s">
        <v>925</v>
      </c>
      <c r="J799" s="564" t="s">
        <v>757</v>
      </c>
      <c r="K799" s="561">
        <v>38</v>
      </c>
      <c r="L799" s="338"/>
      <c r="M799" s="565">
        <v>51</v>
      </c>
      <c r="N799" s="579">
        <v>1</v>
      </c>
      <c r="O799" s="566">
        <f t="shared" si="37"/>
        <v>1.9607843137254902E-2</v>
      </c>
      <c r="P799" s="567">
        <f t="shared" si="38"/>
        <v>5.1599587203302377E-2</v>
      </c>
      <c r="Q799" s="568">
        <f t="shared" si="36"/>
        <v>5.1599587203302377E-2</v>
      </c>
      <c r="R799" s="675"/>
    </row>
    <row r="800" spans="1:18" x14ac:dyDescent="0.2">
      <c r="A800" s="558" t="s">
        <v>277</v>
      </c>
      <c r="B800" s="559" t="s">
        <v>914</v>
      </c>
      <c r="C800" s="573" t="s">
        <v>308</v>
      </c>
      <c r="D800" s="327" t="s">
        <v>292</v>
      </c>
      <c r="E800" s="575" t="s">
        <v>1850</v>
      </c>
      <c r="F800" s="561" t="s">
        <v>946</v>
      </c>
      <c r="G800" s="562" t="s">
        <v>953</v>
      </c>
      <c r="H800" s="563" t="s">
        <v>924</v>
      </c>
      <c r="I800" s="578" t="s">
        <v>925</v>
      </c>
      <c r="J800" s="564" t="s">
        <v>757</v>
      </c>
      <c r="K800" s="561">
        <v>0</v>
      </c>
      <c r="L800" s="338" t="s">
        <v>926</v>
      </c>
      <c r="M800" s="565">
        <v>7</v>
      </c>
      <c r="N800" s="579">
        <v>2</v>
      </c>
      <c r="O800" s="566">
        <f t="shared" si="37"/>
        <v>0.2857142857142857</v>
      </c>
      <c r="P800" s="567">
        <f t="shared" si="38"/>
        <v>0</v>
      </c>
      <c r="Q800" s="568" t="e">
        <f t="shared" si="36"/>
        <v>#DIV/0!</v>
      </c>
      <c r="R800" s="676" t="s">
        <v>926</v>
      </c>
    </row>
    <row r="801" spans="1:18" x14ac:dyDescent="0.2">
      <c r="A801" s="558" t="s">
        <v>277</v>
      </c>
      <c r="B801" s="559" t="s">
        <v>914</v>
      </c>
      <c r="C801" s="573" t="s">
        <v>308</v>
      </c>
      <c r="D801" s="327" t="s">
        <v>294</v>
      </c>
      <c r="E801" s="575" t="s">
        <v>1850</v>
      </c>
      <c r="F801" s="561" t="s">
        <v>946</v>
      </c>
      <c r="G801" s="562" t="s">
        <v>953</v>
      </c>
      <c r="H801" s="563" t="s">
        <v>924</v>
      </c>
      <c r="I801" s="578" t="s">
        <v>925</v>
      </c>
      <c r="J801" s="564" t="s">
        <v>757</v>
      </c>
      <c r="K801" s="561">
        <v>0</v>
      </c>
      <c r="L801" s="338" t="s">
        <v>926</v>
      </c>
      <c r="M801" s="565">
        <v>1</v>
      </c>
      <c r="N801" s="579">
        <v>0</v>
      </c>
      <c r="O801" s="566">
        <f t="shared" si="37"/>
        <v>0</v>
      </c>
      <c r="P801" s="567">
        <f t="shared" si="38"/>
        <v>0</v>
      </c>
      <c r="Q801" s="568" t="e">
        <f t="shared" si="36"/>
        <v>#DIV/0!</v>
      </c>
      <c r="R801" s="676" t="s">
        <v>926</v>
      </c>
    </row>
    <row r="802" spans="1:18" x14ac:dyDescent="0.2">
      <c r="A802" s="558" t="s">
        <v>277</v>
      </c>
      <c r="B802" s="559" t="s">
        <v>914</v>
      </c>
      <c r="C802" s="573" t="s">
        <v>305</v>
      </c>
      <c r="D802" s="327" t="s">
        <v>300</v>
      </c>
      <c r="E802" s="575" t="s">
        <v>1715</v>
      </c>
      <c r="F802" s="561" t="s">
        <v>946</v>
      </c>
      <c r="G802" s="562" t="s">
        <v>953</v>
      </c>
      <c r="H802" s="563" t="s">
        <v>927</v>
      </c>
      <c r="I802" s="578" t="s">
        <v>925</v>
      </c>
      <c r="J802" s="564" t="s">
        <v>757</v>
      </c>
      <c r="K802" s="561">
        <v>5</v>
      </c>
      <c r="L802" s="338"/>
      <c r="M802" s="565">
        <v>568</v>
      </c>
      <c r="N802" s="579">
        <v>15</v>
      </c>
      <c r="O802" s="566">
        <f t="shared" si="37"/>
        <v>2.6408450704225352E-2</v>
      </c>
      <c r="P802" s="567">
        <f t="shared" si="38"/>
        <v>0.528169014084507</v>
      </c>
      <c r="Q802" s="568">
        <f t="shared" si="36"/>
        <v>0.52816901408450712</v>
      </c>
      <c r="R802" s="675"/>
    </row>
    <row r="803" spans="1:18" x14ac:dyDescent="0.2">
      <c r="A803" s="558" t="s">
        <v>277</v>
      </c>
      <c r="B803" s="559" t="s">
        <v>914</v>
      </c>
      <c r="C803" s="573" t="s">
        <v>305</v>
      </c>
      <c r="D803" s="327" t="s">
        <v>292</v>
      </c>
      <c r="E803" s="575" t="s">
        <v>1715</v>
      </c>
      <c r="F803" s="561" t="s">
        <v>946</v>
      </c>
      <c r="G803" s="562" t="s">
        <v>953</v>
      </c>
      <c r="H803" s="563" t="s">
        <v>924</v>
      </c>
      <c r="I803" s="578" t="s">
        <v>925</v>
      </c>
      <c r="J803" s="564" t="s">
        <v>757</v>
      </c>
      <c r="K803" s="561">
        <v>32</v>
      </c>
      <c r="L803" s="338"/>
      <c r="M803" s="565">
        <v>85</v>
      </c>
      <c r="N803" s="579">
        <v>16</v>
      </c>
      <c r="O803" s="566">
        <f t="shared" si="37"/>
        <v>0.18823529411764706</v>
      </c>
      <c r="P803" s="567">
        <f t="shared" si="38"/>
        <v>0.58823529411764708</v>
      </c>
      <c r="Q803" s="568">
        <f t="shared" si="36"/>
        <v>0.58823529411764708</v>
      </c>
      <c r="R803" s="675"/>
    </row>
    <row r="804" spans="1:18" x14ac:dyDescent="0.2">
      <c r="A804" s="558" t="s">
        <v>277</v>
      </c>
      <c r="B804" s="559" t="s">
        <v>914</v>
      </c>
      <c r="C804" s="573" t="s">
        <v>305</v>
      </c>
      <c r="D804" s="327" t="s">
        <v>294</v>
      </c>
      <c r="E804" s="575" t="s">
        <v>1851</v>
      </c>
      <c r="F804" s="561" t="s">
        <v>946</v>
      </c>
      <c r="G804" s="562" t="s">
        <v>953</v>
      </c>
      <c r="H804" s="563" t="s">
        <v>924</v>
      </c>
      <c r="I804" s="578" t="s">
        <v>925</v>
      </c>
      <c r="J804" s="564" t="s">
        <v>757</v>
      </c>
      <c r="K804" s="561">
        <v>33</v>
      </c>
      <c r="L804" s="338"/>
      <c r="M804" s="565">
        <v>24</v>
      </c>
      <c r="N804" s="579">
        <v>4</v>
      </c>
      <c r="O804" s="566">
        <f t="shared" si="37"/>
        <v>0.16666666666666666</v>
      </c>
      <c r="P804" s="567">
        <f t="shared" si="38"/>
        <v>0.50505050505050508</v>
      </c>
      <c r="Q804" s="568">
        <f t="shared" si="36"/>
        <v>0.50505050505050508</v>
      </c>
      <c r="R804" s="675"/>
    </row>
    <row r="805" spans="1:18" x14ac:dyDescent="0.2">
      <c r="A805" s="558" t="s">
        <v>277</v>
      </c>
      <c r="B805" s="559" t="s">
        <v>914</v>
      </c>
      <c r="C805" s="573" t="s">
        <v>305</v>
      </c>
      <c r="D805" s="327" t="s">
        <v>285</v>
      </c>
      <c r="E805" s="575" t="s">
        <v>1851</v>
      </c>
      <c r="F805" s="561" t="s">
        <v>946</v>
      </c>
      <c r="G805" s="562" t="s">
        <v>953</v>
      </c>
      <c r="H805" s="563" t="s">
        <v>924</v>
      </c>
      <c r="I805" s="578" t="s">
        <v>925</v>
      </c>
      <c r="J805" s="564" t="s">
        <v>757</v>
      </c>
      <c r="K805" s="561">
        <v>0</v>
      </c>
      <c r="L805" s="338" t="s">
        <v>926</v>
      </c>
      <c r="M805" s="565">
        <v>2</v>
      </c>
      <c r="N805" s="579">
        <v>0</v>
      </c>
      <c r="O805" s="566">
        <f t="shared" si="37"/>
        <v>0</v>
      </c>
      <c r="P805" s="567">
        <f t="shared" si="38"/>
        <v>0</v>
      </c>
      <c r="Q805" s="568" t="e">
        <f t="shared" si="36"/>
        <v>#DIV/0!</v>
      </c>
      <c r="R805" s="676" t="s">
        <v>926</v>
      </c>
    </row>
    <row r="806" spans="1:18" x14ac:dyDescent="0.2">
      <c r="A806" s="558" t="s">
        <v>277</v>
      </c>
      <c r="B806" s="559" t="s">
        <v>914</v>
      </c>
      <c r="C806" s="573" t="s">
        <v>97</v>
      </c>
      <c r="D806" s="327" t="s">
        <v>282</v>
      </c>
      <c r="E806" s="575" t="s">
        <v>1843</v>
      </c>
      <c r="F806" s="561" t="s">
        <v>946</v>
      </c>
      <c r="G806" s="562" t="s">
        <v>954</v>
      </c>
      <c r="H806" s="563" t="s">
        <v>924</v>
      </c>
      <c r="I806" s="578" t="s">
        <v>925</v>
      </c>
      <c r="J806" s="564" t="s">
        <v>757</v>
      </c>
      <c r="K806" s="561">
        <v>33</v>
      </c>
      <c r="L806" s="338"/>
      <c r="M806" s="565">
        <v>6</v>
      </c>
      <c r="N806" s="579">
        <v>0</v>
      </c>
      <c r="O806" s="566">
        <f t="shared" si="37"/>
        <v>0</v>
      </c>
      <c r="P806" s="567">
        <f t="shared" si="38"/>
        <v>0</v>
      </c>
      <c r="Q806" s="568">
        <f t="shared" si="36"/>
        <v>0</v>
      </c>
      <c r="R806" s="676" t="s">
        <v>1855</v>
      </c>
    </row>
    <row r="807" spans="1:18" x14ac:dyDescent="0.2">
      <c r="A807" s="558" t="s">
        <v>277</v>
      </c>
      <c r="B807" s="559" t="s">
        <v>914</v>
      </c>
      <c r="C807" s="573" t="s">
        <v>97</v>
      </c>
      <c r="D807" s="327" t="s">
        <v>285</v>
      </c>
      <c r="E807" s="575" t="s">
        <v>1843</v>
      </c>
      <c r="F807" s="561" t="s">
        <v>946</v>
      </c>
      <c r="G807" s="562" t="s">
        <v>954</v>
      </c>
      <c r="H807" s="563" t="s">
        <v>924</v>
      </c>
      <c r="I807" s="578" t="s">
        <v>925</v>
      </c>
      <c r="J807" s="564" t="s">
        <v>757</v>
      </c>
      <c r="K807" s="561">
        <v>0</v>
      </c>
      <c r="L807" s="338" t="s">
        <v>926</v>
      </c>
      <c r="M807" s="565">
        <v>8</v>
      </c>
      <c r="N807" s="579">
        <v>0</v>
      </c>
      <c r="O807" s="566">
        <f t="shared" si="37"/>
        <v>0</v>
      </c>
      <c r="P807" s="567">
        <f t="shared" si="38"/>
        <v>0</v>
      </c>
      <c r="Q807" s="568" t="e">
        <f t="shared" si="36"/>
        <v>#DIV/0!</v>
      </c>
      <c r="R807" s="676" t="s">
        <v>926</v>
      </c>
    </row>
    <row r="808" spans="1:18" x14ac:dyDescent="0.2">
      <c r="A808" s="558" t="s">
        <v>277</v>
      </c>
      <c r="B808" s="559" t="s">
        <v>914</v>
      </c>
      <c r="C808" s="573" t="s">
        <v>286</v>
      </c>
      <c r="D808" s="327" t="s">
        <v>300</v>
      </c>
      <c r="E808" s="575" t="s">
        <v>1715</v>
      </c>
      <c r="F808" s="561" t="s">
        <v>946</v>
      </c>
      <c r="G808" s="562" t="s">
        <v>954</v>
      </c>
      <c r="H808" s="563" t="s">
        <v>927</v>
      </c>
      <c r="I808" s="578" t="s">
        <v>925</v>
      </c>
      <c r="J808" s="564" t="s">
        <v>757</v>
      </c>
      <c r="K808" s="561">
        <v>0</v>
      </c>
      <c r="L808" s="338" t="s">
        <v>926</v>
      </c>
      <c r="M808" s="565">
        <v>39</v>
      </c>
      <c r="N808" s="579">
        <v>4</v>
      </c>
      <c r="O808" s="566">
        <f t="shared" si="37"/>
        <v>0.10256410256410256</v>
      </c>
      <c r="P808" s="567">
        <f t="shared" si="38"/>
        <v>0</v>
      </c>
      <c r="Q808" s="568" t="e">
        <f t="shared" si="36"/>
        <v>#DIV/0!</v>
      </c>
      <c r="R808" s="676" t="s">
        <v>926</v>
      </c>
    </row>
    <row r="809" spans="1:18" x14ac:dyDescent="0.2">
      <c r="A809" s="558" t="s">
        <v>277</v>
      </c>
      <c r="B809" s="559" t="s">
        <v>914</v>
      </c>
      <c r="C809" s="573" t="s">
        <v>286</v>
      </c>
      <c r="D809" s="327" t="s">
        <v>292</v>
      </c>
      <c r="E809" s="575" t="s">
        <v>1715</v>
      </c>
      <c r="F809" s="561" t="s">
        <v>946</v>
      </c>
      <c r="G809" s="562" t="s">
        <v>954</v>
      </c>
      <c r="H809" s="563" t="s">
        <v>924</v>
      </c>
      <c r="I809" s="578" t="s">
        <v>925</v>
      </c>
      <c r="J809" s="564" t="s">
        <v>757</v>
      </c>
      <c r="K809" s="561">
        <v>26</v>
      </c>
      <c r="L809" s="338"/>
      <c r="M809" s="565">
        <v>12</v>
      </c>
      <c r="N809" s="579">
        <v>3</v>
      </c>
      <c r="O809" s="566">
        <f t="shared" si="37"/>
        <v>0.25</v>
      </c>
      <c r="P809" s="567">
        <f t="shared" si="38"/>
        <v>0.96153846153846145</v>
      </c>
      <c r="Q809" s="568">
        <f t="shared" si="36"/>
        <v>0.96153846153846145</v>
      </c>
      <c r="R809" s="675"/>
    </row>
    <row r="810" spans="1:18" x14ac:dyDescent="0.2">
      <c r="A810" s="558" t="s">
        <v>277</v>
      </c>
      <c r="B810" s="559" t="s">
        <v>914</v>
      </c>
      <c r="C810" s="573" t="s">
        <v>286</v>
      </c>
      <c r="D810" s="327" t="s">
        <v>294</v>
      </c>
      <c r="E810" s="575" t="s">
        <v>1715</v>
      </c>
      <c r="F810" s="561" t="s">
        <v>946</v>
      </c>
      <c r="G810" s="562" t="s">
        <v>954</v>
      </c>
      <c r="H810" s="563" t="s">
        <v>924</v>
      </c>
      <c r="I810" s="578" t="s">
        <v>925</v>
      </c>
      <c r="J810" s="564" t="s">
        <v>757</v>
      </c>
      <c r="K810" s="561">
        <v>16</v>
      </c>
      <c r="L810" s="338"/>
      <c r="M810" s="565">
        <v>40</v>
      </c>
      <c r="N810" s="579">
        <v>7</v>
      </c>
      <c r="O810" s="566">
        <f t="shared" si="37"/>
        <v>0.17499999999999999</v>
      </c>
      <c r="P810" s="567">
        <f t="shared" si="38"/>
        <v>1.09375</v>
      </c>
      <c r="Q810" s="568">
        <f t="shared" si="36"/>
        <v>1.09375</v>
      </c>
      <c r="R810" s="675"/>
    </row>
    <row r="811" spans="1:18" x14ac:dyDescent="0.2">
      <c r="A811" s="558" t="s">
        <v>277</v>
      </c>
      <c r="B811" s="559" t="s">
        <v>914</v>
      </c>
      <c r="C811" s="573" t="s">
        <v>286</v>
      </c>
      <c r="D811" s="327" t="s">
        <v>282</v>
      </c>
      <c r="E811" s="575" t="s">
        <v>1715</v>
      </c>
      <c r="F811" s="561" t="s">
        <v>946</v>
      </c>
      <c r="G811" s="562" t="s">
        <v>954</v>
      </c>
      <c r="H811" s="563" t="s">
        <v>924</v>
      </c>
      <c r="I811" s="578" t="s">
        <v>925</v>
      </c>
      <c r="J811" s="564" t="s">
        <v>757</v>
      </c>
      <c r="K811" s="561">
        <v>6</v>
      </c>
      <c r="L811" s="338"/>
      <c r="M811" s="565">
        <v>68</v>
      </c>
      <c r="N811" s="579">
        <v>11</v>
      </c>
      <c r="O811" s="566">
        <f t="shared" si="37"/>
        <v>0.16176470588235295</v>
      </c>
      <c r="P811" s="567">
        <f t="shared" si="38"/>
        <v>2.6960784313725488</v>
      </c>
      <c r="Q811" s="568">
        <f t="shared" si="36"/>
        <v>2.6960784313725488</v>
      </c>
      <c r="R811" s="675"/>
    </row>
    <row r="812" spans="1:18" x14ac:dyDescent="0.2">
      <c r="A812" s="558" t="s">
        <v>277</v>
      </c>
      <c r="B812" s="559" t="s">
        <v>914</v>
      </c>
      <c r="C812" s="573" t="s">
        <v>286</v>
      </c>
      <c r="D812" s="327" t="s">
        <v>285</v>
      </c>
      <c r="E812" s="575" t="s">
        <v>1715</v>
      </c>
      <c r="F812" s="561" t="s">
        <v>946</v>
      </c>
      <c r="G812" s="562" t="s">
        <v>954</v>
      </c>
      <c r="H812" s="563" t="s">
        <v>924</v>
      </c>
      <c r="I812" s="578" t="s">
        <v>925</v>
      </c>
      <c r="J812" s="564" t="s">
        <v>757</v>
      </c>
      <c r="K812" s="561">
        <v>8</v>
      </c>
      <c r="L812" s="338"/>
      <c r="M812" s="565">
        <v>47</v>
      </c>
      <c r="N812" s="579">
        <v>8</v>
      </c>
      <c r="O812" s="566">
        <f t="shared" si="37"/>
        <v>0.1702127659574468</v>
      </c>
      <c r="P812" s="567">
        <f t="shared" si="38"/>
        <v>2.1276595744680851</v>
      </c>
      <c r="Q812" s="568">
        <f t="shared" si="36"/>
        <v>2.1276595744680851</v>
      </c>
      <c r="R812" s="675"/>
    </row>
    <row r="813" spans="1:18" x14ac:dyDescent="0.2">
      <c r="A813" s="558" t="s">
        <v>277</v>
      </c>
      <c r="B813" s="559" t="s">
        <v>914</v>
      </c>
      <c r="C813" s="573" t="s">
        <v>303</v>
      </c>
      <c r="D813" s="327" t="s">
        <v>300</v>
      </c>
      <c r="E813" s="575" t="s">
        <v>1715</v>
      </c>
      <c r="F813" s="561" t="s">
        <v>946</v>
      </c>
      <c r="G813" s="562" t="s">
        <v>954</v>
      </c>
      <c r="H813" s="563" t="s">
        <v>927</v>
      </c>
      <c r="I813" s="578" t="s">
        <v>925</v>
      </c>
      <c r="J813" s="564" t="s">
        <v>757</v>
      </c>
      <c r="K813" s="561">
        <v>28.999999999999996</v>
      </c>
      <c r="L813" s="338"/>
      <c r="M813" s="565">
        <v>144</v>
      </c>
      <c r="N813" s="579">
        <v>4</v>
      </c>
      <c r="O813" s="566">
        <f t="shared" si="37"/>
        <v>2.7777777777777776E-2</v>
      </c>
      <c r="P813" s="567">
        <f t="shared" si="38"/>
        <v>9.5785440613026823E-2</v>
      </c>
      <c r="Q813" s="568">
        <f t="shared" si="36"/>
        <v>9.5785440613026837E-2</v>
      </c>
      <c r="R813" s="675"/>
    </row>
    <row r="814" spans="1:18" x14ac:dyDescent="0.2">
      <c r="A814" s="558" t="s">
        <v>277</v>
      </c>
      <c r="B814" s="559" t="s">
        <v>914</v>
      </c>
      <c r="C814" s="573" t="s">
        <v>303</v>
      </c>
      <c r="D814" s="327" t="s">
        <v>292</v>
      </c>
      <c r="E814" s="575" t="s">
        <v>1844</v>
      </c>
      <c r="F814" s="561" t="s">
        <v>946</v>
      </c>
      <c r="G814" s="562" t="s">
        <v>954</v>
      </c>
      <c r="H814" s="563" t="s">
        <v>924</v>
      </c>
      <c r="I814" s="578" t="s">
        <v>925</v>
      </c>
      <c r="J814" s="564" t="s">
        <v>757</v>
      </c>
      <c r="K814" s="561">
        <v>8</v>
      </c>
      <c r="L814" s="338"/>
      <c r="M814" s="565">
        <v>42</v>
      </c>
      <c r="N814" s="579">
        <v>1</v>
      </c>
      <c r="O814" s="566">
        <f t="shared" si="37"/>
        <v>2.3809523809523808E-2</v>
      </c>
      <c r="P814" s="567">
        <f t="shared" si="38"/>
        <v>0.29761904761904762</v>
      </c>
      <c r="Q814" s="568">
        <f t="shared" si="36"/>
        <v>0.29761904761904762</v>
      </c>
      <c r="R814" s="675"/>
    </row>
    <row r="815" spans="1:18" x14ac:dyDescent="0.2">
      <c r="A815" s="558" t="s">
        <v>277</v>
      </c>
      <c r="B815" s="559" t="s">
        <v>914</v>
      </c>
      <c r="C815" s="573" t="s">
        <v>303</v>
      </c>
      <c r="D815" s="327" t="s">
        <v>294</v>
      </c>
      <c r="E815" s="575" t="s">
        <v>1844</v>
      </c>
      <c r="F815" s="561" t="s">
        <v>946</v>
      </c>
      <c r="G815" s="562" t="s">
        <v>954</v>
      </c>
      <c r="H815" s="563" t="s">
        <v>924</v>
      </c>
      <c r="I815" s="578" t="s">
        <v>925</v>
      </c>
      <c r="J815" s="564" t="s">
        <v>757</v>
      </c>
      <c r="K815" s="561">
        <v>0</v>
      </c>
      <c r="L815" s="338" t="s">
        <v>926</v>
      </c>
      <c r="M815" s="565">
        <v>10</v>
      </c>
      <c r="N815" s="579">
        <v>1</v>
      </c>
      <c r="O815" s="566">
        <f t="shared" si="37"/>
        <v>0.1</v>
      </c>
      <c r="P815" s="567">
        <f t="shared" si="38"/>
        <v>0</v>
      </c>
      <c r="Q815" s="568" t="e">
        <f t="shared" si="36"/>
        <v>#DIV/0!</v>
      </c>
      <c r="R815" s="676" t="s">
        <v>926</v>
      </c>
    </row>
    <row r="816" spans="1:18" x14ac:dyDescent="0.2">
      <c r="A816" s="558" t="s">
        <v>277</v>
      </c>
      <c r="B816" s="559" t="s">
        <v>914</v>
      </c>
      <c r="C816" s="573" t="s">
        <v>303</v>
      </c>
      <c r="D816" s="327" t="s">
        <v>282</v>
      </c>
      <c r="E816" s="575" t="s">
        <v>1845</v>
      </c>
      <c r="F816" s="561" t="s">
        <v>946</v>
      </c>
      <c r="G816" s="562" t="s">
        <v>954</v>
      </c>
      <c r="H816" s="563" t="s">
        <v>924</v>
      </c>
      <c r="I816" s="578" t="s">
        <v>925</v>
      </c>
      <c r="J816" s="564" t="s">
        <v>757</v>
      </c>
      <c r="K816" s="561">
        <v>0</v>
      </c>
      <c r="L816" s="338" t="s">
        <v>926</v>
      </c>
      <c r="M816" s="565">
        <v>2</v>
      </c>
      <c r="N816" s="579">
        <v>0</v>
      </c>
      <c r="O816" s="566">
        <f t="shared" si="37"/>
        <v>0</v>
      </c>
      <c r="P816" s="567">
        <f t="shared" si="38"/>
        <v>0</v>
      </c>
      <c r="Q816" s="568" t="e">
        <f t="shared" si="36"/>
        <v>#DIV/0!</v>
      </c>
      <c r="R816" s="676" t="s">
        <v>926</v>
      </c>
    </row>
    <row r="817" spans="1:18" x14ac:dyDescent="0.2">
      <c r="A817" s="558" t="s">
        <v>277</v>
      </c>
      <c r="B817" s="559" t="s">
        <v>914</v>
      </c>
      <c r="C817" s="573" t="s">
        <v>303</v>
      </c>
      <c r="D817" s="327" t="s">
        <v>285</v>
      </c>
      <c r="E817" s="575" t="s">
        <v>1845</v>
      </c>
      <c r="F817" s="561" t="s">
        <v>946</v>
      </c>
      <c r="G817" s="562" t="s">
        <v>954</v>
      </c>
      <c r="H817" s="563" t="s">
        <v>924</v>
      </c>
      <c r="I817" s="578" t="s">
        <v>925</v>
      </c>
      <c r="J817" s="564" t="s">
        <v>757</v>
      </c>
      <c r="K817" s="561">
        <v>0</v>
      </c>
      <c r="L817" s="338" t="s">
        <v>926</v>
      </c>
      <c r="M817" s="565">
        <v>5</v>
      </c>
      <c r="N817" s="579">
        <v>0</v>
      </c>
      <c r="O817" s="566">
        <f t="shared" si="37"/>
        <v>0</v>
      </c>
      <c r="P817" s="567">
        <f t="shared" si="38"/>
        <v>0</v>
      </c>
      <c r="Q817" s="568" t="e">
        <f t="shared" si="36"/>
        <v>#DIV/0!</v>
      </c>
      <c r="R817" s="676" t="s">
        <v>926</v>
      </c>
    </row>
    <row r="818" spans="1:18" x14ac:dyDescent="0.2">
      <c r="A818" s="558" t="s">
        <v>277</v>
      </c>
      <c r="B818" s="559" t="s">
        <v>914</v>
      </c>
      <c r="C818" s="573" t="s">
        <v>99</v>
      </c>
      <c r="D818" s="327" t="s">
        <v>300</v>
      </c>
      <c r="E818" s="575" t="s">
        <v>1715</v>
      </c>
      <c r="F818" s="561" t="s">
        <v>946</v>
      </c>
      <c r="G818" s="562" t="s">
        <v>954</v>
      </c>
      <c r="H818" s="563" t="s">
        <v>927</v>
      </c>
      <c r="I818" s="578" t="s">
        <v>925</v>
      </c>
      <c r="J818" s="564" t="s">
        <v>757</v>
      </c>
      <c r="K818" s="561">
        <v>17</v>
      </c>
      <c r="L818" s="338"/>
      <c r="M818" s="565">
        <v>158</v>
      </c>
      <c r="N818" s="579">
        <v>5</v>
      </c>
      <c r="O818" s="566">
        <f t="shared" si="37"/>
        <v>3.1645569620253167E-2</v>
      </c>
      <c r="P818" s="567">
        <f t="shared" si="38"/>
        <v>0.18615040953090095</v>
      </c>
      <c r="Q818" s="568">
        <f t="shared" si="36"/>
        <v>0.18615040953090098</v>
      </c>
      <c r="R818" s="675"/>
    </row>
    <row r="819" spans="1:18" x14ac:dyDescent="0.2">
      <c r="A819" s="558" t="s">
        <v>277</v>
      </c>
      <c r="B819" s="559" t="s">
        <v>914</v>
      </c>
      <c r="C819" s="573" t="s">
        <v>99</v>
      </c>
      <c r="D819" s="327" t="s">
        <v>292</v>
      </c>
      <c r="E819" s="575" t="s">
        <v>1715</v>
      </c>
      <c r="F819" s="561" t="s">
        <v>946</v>
      </c>
      <c r="G819" s="562" t="s">
        <v>954</v>
      </c>
      <c r="H819" s="563" t="s">
        <v>924</v>
      </c>
      <c r="I819" s="578" t="s">
        <v>925</v>
      </c>
      <c r="J819" s="564" t="s">
        <v>757</v>
      </c>
      <c r="K819" s="561">
        <v>36</v>
      </c>
      <c r="L819" s="338"/>
      <c r="M819" s="565">
        <v>7</v>
      </c>
      <c r="N819" s="579">
        <v>1</v>
      </c>
      <c r="O819" s="566">
        <f t="shared" si="37"/>
        <v>0.14285714285714285</v>
      </c>
      <c r="P819" s="567">
        <f t="shared" si="38"/>
        <v>0.3968253968253968</v>
      </c>
      <c r="Q819" s="568">
        <f t="shared" si="36"/>
        <v>0.3968253968253968</v>
      </c>
      <c r="R819" s="675"/>
    </row>
    <row r="820" spans="1:18" x14ac:dyDescent="0.2">
      <c r="A820" s="558" t="s">
        <v>277</v>
      </c>
      <c r="B820" s="559" t="s">
        <v>914</v>
      </c>
      <c r="C820" s="573" t="s">
        <v>99</v>
      </c>
      <c r="D820" s="327" t="s">
        <v>294</v>
      </c>
      <c r="E820" s="575" t="s">
        <v>1846</v>
      </c>
      <c r="F820" s="561" t="s">
        <v>946</v>
      </c>
      <c r="G820" s="562" t="s">
        <v>954</v>
      </c>
      <c r="H820" s="563" t="s">
        <v>924</v>
      </c>
      <c r="I820" s="578" t="s">
        <v>925</v>
      </c>
      <c r="J820" s="564" t="s">
        <v>757</v>
      </c>
      <c r="K820" s="561">
        <v>80</v>
      </c>
      <c r="L820" s="338"/>
      <c r="M820" s="565">
        <v>8</v>
      </c>
      <c r="N820" s="579">
        <v>3</v>
      </c>
      <c r="O820" s="566">
        <f t="shared" si="37"/>
        <v>0.375</v>
      </c>
      <c r="P820" s="567">
        <f t="shared" si="38"/>
        <v>0.46875</v>
      </c>
      <c r="Q820" s="568">
        <f t="shared" si="36"/>
        <v>0.46875</v>
      </c>
      <c r="R820" s="675"/>
    </row>
    <row r="821" spans="1:18" x14ac:dyDescent="0.2">
      <c r="A821" s="558" t="s">
        <v>277</v>
      </c>
      <c r="B821" s="559" t="s">
        <v>914</v>
      </c>
      <c r="C821" s="573" t="s">
        <v>99</v>
      </c>
      <c r="D821" s="327" t="s">
        <v>282</v>
      </c>
      <c r="E821" s="575" t="s">
        <v>1846</v>
      </c>
      <c r="F821" s="561" t="s">
        <v>946</v>
      </c>
      <c r="G821" s="562" t="s">
        <v>954</v>
      </c>
      <c r="H821" s="563" t="s">
        <v>924</v>
      </c>
      <c r="I821" s="578" t="s">
        <v>925</v>
      </c>
      <c r="J821" s="564" t="s">
        <v>757</v>
      </c>
      <c r="K821" s="561">
        <v>0</v>
      </c>
      <c r="L821" s="338" t="s">
        <v>926</v>
      </c>
      <c r="M821" s="565">
        <v>4</v>
      </c>
      <c r="N821" s="579">
        <v>0</v>
      </c>
      <c r="O821" s="566">
        <f t="shared" si="37"/>
        <v>0</v>
      </c>
      <c r="P821" s="567">
        <f t="shared" si="38"/>
        <v>0</v>
      </c>
      <c r="Q821" s="568" t="e">
        <f t="shared" si="36"/>
        <v>#DIV/0!</v>
      </c>
      <c r="R821" s="676" t="s">
        <v>926</v>
      </c>
    </row>
    <row r="822" spans="1:18" x14ac:dyDescent="0.2">
      <c r="A822" s="558" t="s">
        <v>277</v>
      </c>
      <c r="B822" s="559" t="s">
        <v>914</v>
      </c>
      <c r="C822" s="573" t="s">
        <v>99</v>
      </c>
      <c r="D822" s="327" t="s">
        <v>285</v>
      </c>
      <c r="E822" s="575" t="s">
        <v>1846</v>
      </c>
      <c r="F822" s="561" t="s">
        <v>946</v>
      </c>
      <c r="G822" s="562" t="s">
        <v>954</v>
      </c>
      <c r="H822" s="563" t="s">
        <v>924</v>
      </c>
      <c r="I822" s="578" t="s">
        <v>925</v>
      </c>
      <c r="J822" s="564" t="s">
        <v>757</v>
      </c>
      <c r="K822" s="561">
        <v>0</v>
      </c>
      <c r="L822" s="338" t="s">
        <v>926</v>
      </c>
      <c r="M822" s="565">
        <v>1</v>
      </c>
      <c r="N822" s="579">
        <v>0</v>
      </c>
      <c r="O822" s="566">
        <f t="shared" si="37"/>
        <v>0</v>
      </c>
      <c r="P822" s="567">
        <f t="shared" si="38"/>
        <v>0</v>
      </c>
      <c r="Q822" s="568" t="e">
        <f t="shared" si="36"/>
        <v>#DIV/0!</v>
      </c>
      <c r="R822" s="676" t="s">
        <v>926</v>
      </c>
    </row>
    <row r="823" spans="1:18" x14ac:dyDescent="0.2">
      <c r="A823" s="558" t="s">
        <v>277</v>
      </c>
      <c r="B823" s="559" t="s">
        <v>914</v>
      </c>
      <c r="C823" s="573" t="s">
        <v>296</v>
      </c>
      <c r="D823" s="327" t="s">
        <v>300</v>
      </c>
      <c r="E823" s="575" t="s">
        <v>1847</v>
      </c>
      <c r="F823" s="561" t="s">
        <v>946</v>
      </c>
      <c r="G823" s="562" t="s">
        <v>954</v>
      </c>
      <c r="H823" s="563" t="s">
        <v>927</v>
      </c>
      <c r="I823" s="578" t="s">
        <v>925</v>
      </c>
      <c r="J823" s="564" t="s">
        <v>757</v>
      </c>
      <c r="K823" s="561">
        <v>13</v>
      </c>
      <c r="L823" s="338"/>
      <c r="M823" s="565">
        <v>0</v>
      </c>
      <c r="N823" s="579">
        <v>0</v>
      </c>
      <c r="O823" s="566">
        <f t="shared" si="37"/>
        <v>0</v>
      </c>
      <c r="P823" s="567">
        <f t="shared" si="38"/>
        <v>0</v>
      </c>
      <c r="Q823" s="568" t="e">
        <f t="shared" si="36"/>
        <v>#DIV/0!</v>
      </c>
      <c r="R823" s="676" t="s">
        <v>1919</v>
      </c>
    </row>
    <row r="824" spans="1:18" x14ac:dyDescent="0.2">
      <c r="A824" s="558" t="s">
        <v>277</v>
      </c>
      <c r="B824" s="559" t="s">
        <v>914</v>
      </c>
      <c r="C824" s="573" t="s">
        <v>296</v>
      </c>
      <c r="D824" s="327" t="s">
        <v>292</v>
      </c>
      <c r="E824" s="575" t="s">
        <v>1847</v>
      </c>
      <c r="F824" s="561" t="s">
        <v>946</v>
      </c>
      <c r="G824" s="562" t="s">
        <v>954</v>
      </c>
      <c r="H824" s="563" t="s">
        <v>924</v>
      </c>
      <c r="I824" s="578" t="s">
        <v>925</v>
      </c>
      <c r="J824" s="564" t="s">
        <v>757</v>
      </c>
      <c r="K824" s="561">
        <v>0</v>
      </c>
      <c r="L824" s="338" t="s">
        <v>926</v>
      </c>
      <c r="M824" s="565">
        <v>3</v>
      </c>
      <c r="N824" s="579">
        <v>0</v>
      </c>
      <c r="O824" s="566">
        <f t="shared" si="37"/>
        <v>0</v>
      </c>
      <c r="P824" s="567">
        <f t="shared" si="38"/>
        <v>0</v>
      </c>
      <c r="Q824" s="568" t="e">
        <f t="shared" si="36"/>
        <v>#DIV/0!</v>
      </c>
      <c r="R824" s="676" t="s">
        <v>926</v>
      </c>
    </row>
    <row r="825" spans="1:18" x14ac:dyDescent="0.2">
      <c r="A825" s="558" t="s">
        <v>277</v>
      </c>
      <c r="B825" s="559" t="s">
        <v>914</v>
      </c>
      <c r="C825" s="573" t="s">
        <v>296</v>
      </c>
      <c r="D825" s="327" t="s">
        <v>294</v>
      </c>
      <c r="E825" s="575" t="s">
        <v>1848</v>
      </c>
      <c r="F825" s="561" t="s">
        <v>946</v>
      </c>
      <c r="G825" s="562" t="s">
        <v>954</v>
      </c>
      <c r="H825" s="563" t="s">
        <v>924</v>
      </c>
      <c r="I825" s="578" t="s">
        <v>925</v>
      </c>
      <c r="J825" s="564" t="s">
        <v>757</v>
      </c>
      <c r="K825" s="561">
        <v>0</v>
      </c>
      <c r="L825" s="338" t="s">
        <v>926</v>
      </c>
      <c r="M825" s="565">
        <v>1</v>
      </c>
      <c r="N825" s="579">
        <v>0</v>
      </c>
      <c r="O825" s="566">
        <f t="shared" si="37"/>
        <v>0</v>
      </c>
      <c r="P825" s="567">
        <f t="shared" si="38"/>
        <v>0</v>
      </c>
      <c r="Q825" s="568" t="e">
        <f t="shared" si="36"/>
        <v>#DIV/0!</v>
      </c>
      <c r="R825" s="676" t="s">
        <v>926</v>
      </c>
    </row>
    <row r="826" spans="1:18" x14ac:dyDescent="0.2">
      <c r="A826" s="558" t="s">
        <v>277</v>
      </c>
      <c r="B826" s="559" t="s">
        <v>914</v>
      </c>
      <c r="C826" s="573" t="s">
        <v>296</v>
      </c>
      <c r="D826" s="327" t="s">
        <v>282</v>
      </c>
      <c r="E826" s="575" t="s">
        <v>1848</v>
      </c>
      <c r="F826" s="561" t="s">
        <v>946</v>
      </c>
      <c r="G826" s="562" t="s">
        <v>954</v>
      </c>
      <c r="H826" s="563" t="s">
        <v>924</v>
      </c>
      <c r="I826" s="578" t="s">
        <v>925</v>
      </c>
      <c r="J826" s="564" t="s">
        <v>757</v>
      </c>
      <c r="K826" s="561">
        <v>0</v>
      </c>
      <c r="L826" s="338" t="s">
        <v>926</v>
      </c>
      <c r="M826" s="565">
        <v>2</v>
      </c>
      <c r="N826" s="579">
        <v>0</v>
      </c>
      <c r="O826" s="566">
        <f t="shared" si="37"/>
        <v>0</v>
      </c>
      <c r="P826" s="567">
        <f t="shared" si="38"/>
        <v>0</v>
      </c>
      <c r="Q826" s="568" t="e">
        <f t="shared" si="36"/>
        <v>#DIV/0!</v>
      </c>
      <c r="R826" s="676" t="s">
        <v>926</v>
      </c>
    </row>
    <row r="827" spans="1:18" x14ac:dyDescent="0.2">
      <c r="A827" s="558" t="s">
        <v>277</v>
      </c>
      <c r="B827" s="559" t="s">
        <v>914</v>
      </c>
      <c r="C827" s="573" t="s">
        <v>296</v>
      </c>
      <c r="D827" s="327" t="s">
        <v>285</v>
      </c>
      <c r="E827" s="575" t="s">
        <v>1715</v>
      </c>
      <c r="F827" s="561" t="s">
        <v>946</v>
      </c>
      <c r="G827" s="562" t="s">
        <v>954</v>
      </c>
      <c r="H827" s="563" t="s">
        <v>924</v>
      </c>
      <c r="I827" s="578" t="s">
        <v>925</v>
      </c>
      <c r="J827" s="564" t="s">
        <v>757</v>
      </c>
      <c r="K827" s="561">
        <v>25</v>
      </c>
      <c r="L827" s="338"/>
      <c r="M827" s="565">
        <v>11</v>
      </c>
      <c r="N827" s="579">
        <v>4</v>
      </c>
      <c r="O827" s="566">
        <f t="shared" si="37"/>
        <v>0.36363636363636365</v>
      </c>
      <c r="P827" s="567">
        <f t="shared" si="38"/>
        <v>1.4545454545454546</v>
      </c>
      <c r="Q827" s="568">
        <f t="shared" si="36"/>
        <v>1.4545454545454546</v>
      </c>
      <c r="R827" s="675"/>
    </row>
    <row r="828" spans="1:18" x14ac:dyDescent="0.2">
      <c r="A828" s="558" t="s">
        <v>277</v>
      </c>
      <c r="B828" s="559" t="s">
        <v>914</v>
      </c>
      <c r="C828" s="573" t="s">
        <v>296</v>
      </c>
      <c r="D828" s="327" t="s">
        <v>298</v>
      </c>
      <c r="E828" s="575" t="s">
        <v>1715</v>
      </c>
      <c r="F828" s="561" t="s">
        <v>946</v>
      </c>
      <c r="G828" s="562" t="s">
        <v>954</v>
      </c>
      <c r="H828" s="563" t="s">
        <v>924</v>
      </c>
      <c r="I828" s="578" t="s">
        <v>925</v>
      </c>
      <c r="J828" s="564" t="s">
        <v>757</v>
      </c>
      <c r="K828" s="561">
        <v>10</v>
      </c>
      <c r="L828" s="338"/>
      <c r="M828" s="565">
        <v>20</v>
      </c>
      <c r="N828" s="579">
        <v>7</v>
      </c>
      <c r="O828" s="566">
        <f t="shared" si="37"/>
        <v>0.35</v>
      </c>
      <c r="P828" s="567">
        <f t="shared" si="38"/>
        <v>3.5</v>
      </c>
      <c r="Q828" s="568">
        <f t="shared" si="36"/>
        <v>3.5</v>
      </c>
      <c r="R828" s="675"/>
    </row>
    <row r="829" spans="1:18" x14ac:dyDescent="0.2">
      <c r="A829" s="558" t="s">
        <v>277</v>
      </c>
      <c r="B829" s="559" t="s">
        <v>914</v>
      </c>
      <c r="C829" s="573" t="s">
        <v>316</v>
      </c>
      <c r="D829" s="327" t="s">
        <v>292</v>
      </c>
      <c r="E829" s="575" t="s">
        <v>1849</v>
      </c>
      <c r="F829" s="561" t="s">
        <v>946</v>
      </c>
      <c r="G829" s="562" t="s">
        <v>954</v>
      </c>
      <c r="H829" s="563" t="s">
        <v>924</v>
      </c>
      <c r="I829" s="578" t="s">
        <v>925</v>
      </c>
      <c r="J829" s="564" t="s">
        <v>757</v>
      </c>
      <c r="K829" s="561">
        <v>0</v>
      </c>
      <c r="L829" s="338" t="s">
        <v>926</v>
      </c>
      <c r="M829" s="565">
        <v>0</v>
      </c>
      <c r="N829" s="579">
        <v>0</v>
      </c>
      <c r="O829" s="566">
        <f t="shared" si="37"/>
        <v>0</v>
      </c>
      <c r="P829" s="567">
        <f t="shared" si="38"/>
        <v>0</v>
      </c>
      <c r="Q829" s="568" t="e">
        <f t="shared" si="36"/>
        <v>#DIV/0!</v>
      </c>
      <c r="R829" s="676" t="s">
        <v>1919</v>
      </c>
    </row>
    <row r="830" spans="1:18" x14ac:dyDescent="0.2">
      <c r="A830" s="558" t="s">
        <v>277</v>
      </c>
      <c r="B830" s="559" t="s">
        <v>914</v>
      </c>
      <c r="C830" s="573" t="s">
        <v>316</v>
      </c>
      <c r="D830" s="327" t="s">
        <v>294</v>
      </c>
      <c r="E830" s="575" t="s">
        <v>1849</v>
      </c>
      <c r="F830" s="561" t="s">
        <v>946</v>
      </c>
      <c r="G830" s="562" t="s">
        <v>954</v>
      </c>
      <c r="H830" s="563" t="s">
        <v>924</v>
      </c>
      <c r="I830" s="578" t="s">
        <v>925</v>
      </c>
      <c r="J830" s="564" t="s">
        <v>757</v>
      </c>
      <c r="K830" s="561">
        <v>0</v>
      </c>
      <c r="L830" s="338" t="s">
        <v>926</v>
      </c>
      <c r="M830" s="565">
        <v>0</v>
      </c>
      <c r="N830" s="579">
        <v>0</v>
      </c>
      <c r="O830" s="566">
        <f t="shared" si="37"/>
        <v>0</v>
      </c>
      <c r="P830" s="567">
        <f t="shared" si="38"/>
        <v>0</v>
      </c>
      <c r="Q830" s="568" t="e">
        <f t="shared" si="36"/>
        <v>#DIV/0!</v>
      </c>
      <c r="R830" s="676" t="s">
        <v>1919</v>
      </c>
    </row>
    <row r="831" spans="1:18" x14ac:dyDescent="0.2">
      <c r="A831" s="558" t="s">
        <v>277</v>
      </c>
      <c r="B831" s="559" t="s">
        <v>914</v>
      </c>
      <c r="C831" s="573" t="s">
        <v>308</v>
      </c>
      <c r="D831" s="327" t="s">
        <v>300</v>
      </c>
      <c r="E831" s="575" t="s">
        <v>1715</v>
      </c>
      <c r="F831" s="561" t="s">
        <v>946</v>
      </c>
      <c r="G831" s="562" t="s">
        <v>954</v>
      </c>
      <c r="H831" s="563" t="s">
        <v>927</v>
      </c>
      <c r="I831" s="578" t="s">
        <v>925</v>
      </c>
      <c r="J831" s="564" t="s">
        <v>757</v>
      </c>
      <c r="K831" s="561">
        <v>38</v>
      </c>
      <c r="L831" s="338"/>
      <c r="M831" s="565">
        <v>51</v>
      </c>
      <c r="N831" s="579">
        <v>1</v>
      </c>
      <c r="O831" s="566">
        <f t="shared" si="37"/>
        <v>1.9607843137254902E-2</v>
      </c>
      <c r="P831" s="567">
        <f t="shared" si="38"/>
        <v>5.1599587203302377E-2</v>
      </c>
      <c r="Q831" s="568">
        <f t="shared" si="36"/>
        <v>5.1599587203302377E-2</v>
      </c>
      <c r="R831" s="675"/>
    </row>
    <row r="832" spans="1:18" x14ac:dyDescent="0.2">
      <c r="A832" s="558" t="s">
        <v>277</v>
      </c>
      <c r="B832" s="559" t="s">
        <v>914</v>
      </c>
      <c r="C832" s="573" t="s">
        <v>308</v>
      </c>
      <c r="D832" s="327" t="s">
        <v>292</v>
      </c>
      <c r="E832" s="575" t="s">
        <v>1850</v>
      </c>
      <c r="F832" s="561" t="s">
        <v>946</v>
      </c>
      <c r="G832" s="562" t="s">
        <v>954</v>
      </c>
      <c r="H832" s="563" t="s">
        <v>924</v>
      </c>
      <c r="I832" s="578" t="s">
        <v>925</v>
      </c>
      <c r="J832" s="564" t="s">
        <v>757</v>
      </c>
      <c r="K832" s="561">
        <v>0</v>
      </c>
      <c r="L832" s="338" t="s">
        <v>926</v>
      </c>
      <c r="M832" s="565">
        <v>7</v>
      </c>
      <c r="N832" s="579">
        <v>2</v>
      </c>
      <c r="O832" s="566">
        <f t="shared" si="37"/>
        <v>0.2857142857142857</v>
      </c>
      <c r="P832" s="567">
        <f t="shared" si="38"/>
        <v>0</v>
      </c>
      <c r="Q832" s="568" t="e">
        <f t="shared" si="36"/>
        <v>#DIV/0!</v>
      </c>
      <c r="R832" s="676" t="s">
        <v>926</v>
      </c>
    </row>
    <row r="833" spans="1:18" x14ac:dyDescent="0.2">
      <c r="A833" s="558" t="s">
        <v>277</v>
      </c>
      <c r="B833" s="559" t="s">
        <v>914</v>
      </c>
      <c r="C833" s="573" t="s">
        <v>308</v>
      </c>
      <c r="D833" s="327" t="s">
        <v>294</v>
      </c>
      <c r="E833" s="575" t="s">
        <v>1850</v>
      </c>
      <c r="F833" s="561" t="s">
        <v>946</v>
      </c>
      <c r="G833" s="562" t="s">
        <v>954</v>
      </c>
      <c r="H833" s="563" t="s">
        <v>924</v>
      </c>
      <c r="I833" s="578" t="s">
        <v>925</v>
      </c>
      <c r="J833" s="564" t="s">
        <v>757</v>
      </c>
      <c r="K833" s="561">
        <v>0</v>
      </c>
      <c r="L833" s="338" t="s">
        <v>926</v>
      </c>
      <c r="M833" s="565">
        <v>1</v>
      </c>
      <c r="N833" s="579">
        <v>0</v>
      </c>
      <c r="O833" s="566">
        <f t="shared" si="37"/>
        <v>0</v>
      </c>
      <c r="P833" s="567">
        <f t="shared" si="38"/>
        <v>0</v>
      </c>
      <c r="Q833" s="568" t="e">
        <f t="shared" si="36"/>
        <v>#DIV/0!</v>
      </c>
      <c r="R833" s="676" t="s">
        <v>926</v>
      </c>
    </row>
    <row r="834" spans="1:18" x14ac:dyDescent="0.2">
      <c r="A834" s="558" t="s">
        <v>277</v>
      </c>
      <c r="B834" s="559" t="s">
        <v>914</v>
      </c>
      <c r="C834" s="573" t="s">
        <v>305</v>
      </c>
      <c r="D834" s="327" t="s">
        <v>300</v>
      </c>
      <c r="E834" s="575" t="s">
        <v>1715</v>
      </c>
      <c r="F834" s="561" t="s">
        <v>946</v>
      </c>
      <c r="G834" s="562" t="s">
        <v>954</v>
      </c>
      <c r="H834" s="563" t="s">
        <v>927</v>
      </c>
      <c r="I834" s="578" t="s">
        <v>925</v>
      </c>
      <c r="J834" s="564" t="s">
        <v>757</v>
      </c>
      <c r="K834" s="561">
        <v>5</v>
      </c>
      <c r="L834" s="338"/>
      <c r="M834" s="565">
        <v>568</v>
      </c>
      <c r="N834" s="579">
        <v>15</v>
      </c>
      <c r="O834" s="566">
        <f t="shared" si="37"/>
        <v>2.6408450704225352E-2</v>
      </c>
      <c r="P834" s="567">
        <f t="shared" si="38"/>
        <v>0.528169014084507</v>
      </c>
      <c r="Q834" s="568">
        <f t="shared" si="36"/>
        <v>0.52816901408450712</v>
      </c>
      <c r="R834" s="675"/>
    </row>
    <row r="835" spans="1:18" x14ac:dyDescent="0.2">
      <c r="A835" s="558" t="s">
        <v>277</v>
      </c>
      <c r="B835" s="559" t="s">
        <v>914</v>
      </c>
      <c r="C835" s="573" t="s">
        <v>305</v>
      </c>
      <c r="D835" s="327" t="s">
        <v>292</v>
      </c>
      <c r="E835" s="575" t="s">
        <v>1715</v>
      </c>
      <c r="F835" s="561" t="s">
        <v>946</v>
      </c>
      <c r="G835" s="562" t="s">
        <v>954</v>
      </c>
      <c r="H835" s="563" t="s">
        <v>924</v>
      </c>
      <c r="I835" s="578" t="s">
        <v>925</v>
      </c>
      <c r="J835" s="564" t="s">
        <v>757</v>
      </c>
      <c r="K835" s="561">
        <v>32</v>
      </c>
      <c r="L835" s="338"/>
      <c r="M835" s="565">
        <v>85</v>
      </c>
      <c r="N835" s="579">
        <v>16</v>
      </c>
      <c r="O835" s="566">
        <f t="shared" si="37"/>
        <v>0.18823529411764706</v>
      </c>
      <c r="P835" s="567">
        <f t="shared" si="38"/>
        <v>0.58823529411764708</v>
      </c>
      <c r="Q835" s="568">
        <f t="shared" si="36"/>
        <v>0.58823529411764708</v>
      </c>
      <c r="R835" s="675"/>
    </row>
    <row r="836" spans="1:18" x14ac:dyDescent="0.2">
      <c r="A836" s="558" t="s">
        <v>277</v>
      </c>
      <c r="B836" s="559" t="s">
        <v>914</v>
      </c>
      <c r="C836" s="573" t="s">
        <v>305</v>
      </c>
      <c r="D836" s="327" t="s">
        <v>294</v>
      </c>
      <c r="E836" s="575" t="s">
        <v>1851</v>
      </c>
      <c r="F836" s="561" t="s">
        <v>946</v>
      </c>
      <c r="G836" s="562" t="s">
        <v>954</v>
      </c>
      <c r="H836" s="563" t="s">
        <v>924</v>
      </c>
      <c r="I836" s="578" t="s">
        <v>925</v>
      </c>
      <c r="J836" s="564" t="s">
        <v>757</v>
      </c>
      <c r="K836" s="561">
        <v>33</v>
      </c>
      <c r="L836" s="338"/>
      <c r="M836" s="565">
        <v>24</v>
      </c>
      <c r="N836" s="579">
        <v>4</v>
      </c>
      <c r="O836" s="566">
        <f t="shared" si="37"/>
        <v>0.16666666666666666</v>
      </c>
      <c r="P836" s="567">
        <f t="shared" si="38"/>
        <v>0.50505050505050508</v>
      </c>
      <c r="Q836" s="568">
        <f t="shared" si="36"/>
        <v>0.50505050505050508</v>
      </c>
      <c r="R836" s="675"/>
    </row>
    <row r="837" spans="1:18" x14ac:dyDescent="0.2">
      <c r="A837" s="558" t="s">
        <v>277</v>
      </c>
      <c r="B837" s="559" t="s">
        <v>914</v>
      </c>
      <c r="C837" s="573" t="s">
        <v>305</v>
      </c>
      <c r="D837" s="327" t="s">
        <v>285</v>
      </c>
      <c r="E837" s="575" t="s">
        <v>1851</v>
      </c>
      <c r="F837" s="561" t="s">
        <v>946</v>
      </c>
      <c r="G837" s="562" t="s">
        <v>954</v>
      </c>
      <c r="H837" s="563" t="s">
        <v>924</v>
      </c>
      <c r="I837" s="578" t="s">
        <v>925</v>
      </c>
      <c r="J837" s="564" t="s">
        <v>757</v>
      </c>
      <c r="K837" s="561">
        <v>0</v>
      </c>
      <c r="L837" s="338" t="s">
        <v>926</v>
      </c>
      <c r="M837" s="565">
        <v>2</v>
      </c>
      <c r="N837" s="579">
        <v>0</v>
      </c>
      <c r="O837" s="566">
        <f t="shared" si="37"/>
        <v>0</v>
      </c>
      <c r="P837" s="567">
        <f t="shared" si="38"/>
        <v>0</v>
      </c>
      <c r="Q837" s="568" t="e">
        <f t="shared" ref="Q837:Q900" si="39">N837/(M837*K837/100)</f>
        <v>#DIV/0!</v>
      </c>
      <c r="R837" s="676" t="s">
        <v>926</v>
      </c>
    </row>
    <row r="838" spans="1:18" x14ac:dyDescent="0.2">
      <c r="A838" s="558" t="s">
        <v>277</v>
      </c>
      <c r="B838" s="559" t="s">
        <v>914</v>
      </c>
      <c r="C838" s="573" t="s">
        <v>97</v>
      </c>
      <c r="D838" s="327" t="s">
        <v>282</v>
      </c>
      <c r="E838" s="575" t="s">
        <v>1843</v>
      </c>
      <c r="F838" s="561" t="s">
        <v>109</v>
      </c>
      <c r="G838" s="562" t="s">
        <v>955</v>
      </c>
      <c r="H838" s="563" t="s">
        <v>924</v>
      </c>
      <c r="I838" s="578" t="s">
        <v>925</v>
      </c>
      <c r="J838" s="564" t="s">
        <v>757</v>
      </c>
      <c r="K838" s="561">
        <v>33</v>
      </c>
      <c r="L838" s="338"/>
      <c r="M838" s="565">
        <v>6</v>
      </c>
      <c r="N838" s="565">
        <v>3</v>
      </c>
      <c r="O838" s="566">
        <f t="shared" ref="O838:O901" si="40">IFERROR(N838/M838,0)</f>
        <v>0.5</v>
      </c>
      <c r="P838" s="567">
        <f t="shared" ref="P838:P901" si="41">IFERROR(N838/(M838*(K838/100)),0)</f>
        <v>1.5151515151515151</v>
      </c>
      <c r="Q838" s="568">
        <f t="shared" si="39"/>
        <v>1.5151515151515151</v>
      </c>
      <c r="R838" s="676"/>
    </row>
    <row r="839" spans="1:18" x14ac:dyDescent="0.2">
      <c r="A839" s="558" t="s">
        <v>277</v>
      </c>
      <c r="B839" s="559" t="s">
        <v>914</v>
      </c>
      <c r="C839" s="573" t="s">
        <v>97</v>
      </c>
      <c r="D839" s="327" t="s">
        <v>285</v>
      </c>
      <c r="E839" s="575" t="s">
        <v>1843</v>
      </c>
      <c r="F839" s="561" t="s">
        <v>109</v>
      </c>
      <c r="G839" s="562" t="s">
        <v>955</v>
      </c>
      <c r="H839" s="563" t="s">
        <v>924</v>
      </c>
      <c r="I839" s="578" t="s">
        <v>925</v>
      </c>
      <c r="J839" s="564" t="s">
        <v>757</v>
      </c>
      <c r="K839" s="561">
        <v>0</v>
      </c>
      <c r="L839" s="338" t="s">
        <v>926</v>
      </c>
      <c r="M839" s="565">
        <v>8</v>
      </c>
      <c r="N839" s="565">
        <v>0</v>
      </c>
      <c r="O839" s="566">
        <f t="shared" si="40"/>
        <v>0</v>
      </c>
      <c r="P839" s="567">
        <f t="shared" si="41"/>
        <v>0</v>
      </c>
      <c r="Q839" s="568" t="e">
        <f t="shared" si="39"/>
        <v>#DIV/0!</v>
      </c>
      <c r="R839" s="676" t="s">
        <v>926</v>
      </c>
    </row>
    <row r="840" spans="1:18" x14ac:dyDescent="0.2">
      <c r="A840" s="558" t="s">
        <v>277</v>
      </c>
      <c r="B840" s="559" t="s">
        <v>914</v>
      </c>
      <c r="C840" s="573" t="s">
        <v>286</v>
      </c>
      <c r="D840" s="327" t="s">
        <v>300</v>
      </c>
      <c r="E840" s="575" t="s">
        <v>1715</v>
      </c>
      <c r="F840" s="561" t="s">
        <v>109</v>
      </c>
      <c r="G840" s="562" t="s">
        <v>955</v>
      </c>
      <c r="H840" s="563" t="s">
        <v>927</v>
      </c>
      <c r="I840" s="578" t="s">
        <v>925</v>
      </c>
      <c r="J840" s="564" t="s">
        <v>757</v>
      </c>
      <c r="K840" s="561">
        <v>0</v>
      </c>
      <c r="L840" s="338" t="s">
        <v>926</v>
      </c>
      <c r="M840" s="565">
        <v>39</v>
      </c>
      <c r="N840" s="565">
        <v>5</v>
      </c>
      <c r="O840" s="566">
        <f t="shared" si="40"/>
        <v>0.12820512820512819</v>
      </c>
      <c r="P840" s="567">
        <f t="shared" si="41"/>
        <v>0</v>
      </c>
      <c r="Q840" s="568" t="e">
        <f t="shared" si="39"/>
        <v>#DIV/0!</v>
      </c>
      <c r="R840" s="676" t="s">
        <v>926</v>
      </c>
    </row>
    <row r="841" spans="1:18" x14ac:dyDescent="0.2">
      <c r="A841" s="558" t="s">
        <v>277</v>
      </c>
      <c r="B841" s="559" t="s">
        <v>914</v>
      </c>
      <c r="C841" s="573" t="s">
        <v>286</v>
      </c>
      <c r="D841" s="327" t="s">
        <v>292</v>
      </c>
      <c r="E841" s="575" t="s">
        <v>1715</v>
      </c>
      <c r="F841" s="561" t="s">
        <v>109</v>
      </c>
      <c r="G841" s="562" t="s">
        <v>955</v>
      </c>
      <c r="H841" s="563" t="s">
        <v>924</v>
      </c>
      <c r="I841" s="578" t="s">
        <v>925</v>
      </c>
      <c r="J841" s="564" t="s">
        <v>757</v>
      </c>
      <c r="K841" s="561">
        <v>26</v>
      </c>
      <c r="L841" s="338"/>
      <c r="M841" s="565">
        <v>12</v>
      </c>
      <c r="N841" s="565">
        <v>4</v>
      </c>
      <c r="O841" s="566">
        <f t="shared" si="40"/>
        <v>0.33333333333333331</v>
      </c>
      <c r="P841" s="567">
        <f t="shared" si="41"/>
        <v>1.2820512820512819</v>
      </c>
      <c r="Q841" s="568">
        <f t="shared" si="39"/>
        <v>1.2820512820512819</v>
      </c>
      <c r="R841" s="675"/>
    </row>
    <row r="842" spans="1:18" x14ac:dyDescent="0.2">
      <c r="A842" s="558" t="s">
        <v>277</v>
      </c>
      <c r="B842" s="559" t="s">
        <v>914</v>
      </c>
      <c r="C842" s="573" t="s">
        <v>286</v>
      </c>
      <c r="D842" s="327" t="s">
        <v>294</v>
      </c>
      <c r="E842" s="575" t="s">
        <v>1715</v>
      </c>
      <c r="F842" s="561" t="s">
        <v>109</v>
      </c>
      <c r="G842" s="562" t="s">
        <v>955</v>
      </c>
      <c r="H842" s="563" t="s">
        <v>924</v>
      </c>
      <c r="I842" s="578" t="s">
        <v>925</v>
      </c>
      <c r="J842" s="564" t="s">
        <v>757</v>
      </c>
      <c r="K842" s="561">
        <v>16</v>
      </c>
      <c r="L842" s="338"/>
      <c r="M842" s="565">
        <v>40</v>
      </c>
      <c r="N842" s="565">
        <v>7</v>
      </c>
      <c r="O842" s="566">
        <f t="shared" si="40"/>
        <v>0.17499999999999999</v>
      </c>
      <c r="P842" s="567">
        <f t="shared" si="41"/>
        <v>1.09375</v>
      </c>
      <c r="Q842" s="568">
        <f t="shared" si="39"/>
        <v>1.09375</v>
      </c>
      <c r="R842" s="675"/>
    </row>
    <row r="843" spans="1:18" x14ac:dyDescent="0.2">
      <c r="A843" s="558" t="s">
        <v>277</v>
      </c>
      <c r="B843" s="559" t="s">
        <v>914</v>
      </c>
      <c r="C843" s="573" t="s">
        <v>286</v>
      </c>
      <c r="D843" s="327" t="s">
        <v>282</v>
      </c>
      <c r="E843" s="575" t="s">
        <v>1715</v>
      </c>
      <c r="F843" s="561" t="s">
        <v>109</v>
      </c>
      <c r="G843" s="562" t="s">
        <v>955</v>
      </c>
      <c r="H843" s="563" t="s">
        <v>924</v>
      </c>
      <c r="I843" s="578" t="s">
        <v>925</v>
      </c>
      <c r="J843" s="564" t="s">
        <v>757</v>
      </c>
      <c r="K843" s="561">
        <v>6</v>
      </c>
      <c r="L843" s="338"/>
      <c r="M843" s="565">
        <v>68</v>
      </c>
      <c r="N843" s="565">
        <v>9</v>
      </c>
      <c r="O843" s="566">
        <f t="shared" si="40"/>
        <v>0.13235294117647059</v>
      </c>
      <c r="P843" s="567">
        <f t="shared" si="41"/>
        <v>2.2058823529411766</v>
      </c>
      <c r="Q843" s="568">
        <f t="shared" si="39"/>
        <v>2.2058823529411766</v>
      </c>
      <c r="R843" s="675"/>
    </row>
    <row r="844" spans="1:18" x14ac:dyDescent="0.2">
      <c r="A844" s="558" t="s">
        <v>277</v>
      </c>
      <c r="B844" s="559" t="s">
        <v>914</v>
      </c>
      <c r="C844" s="573" t="s">
        <v>286</v>
      </c>
      <c r="D844" s="327" t="s">
        <v>285</v>
      </c>
      <c r="E844" s="575" t="s">
        <v>1715</v>
      </c>
      <c r="F844" s="561" t="s">
        <v>109</v>
      </c>
      <c r="G844" s="562" t="s">
        <v>955</v>
      </c>
      <c r="H844" s="563" t="s">
        <v>924</v>
      </c>
      <c r="I844" s="578" t="s">
        <v>925</v>
      </c>
      <c r="J844" s="564" t="s">
        <v>757</v>
      </c>
      <c r="K844" s="561">
        <v>8</v>
      </c>
      <c r="L844" s="338"/>
      <c r="M844" s="565">
        <v>47</v>
      </c>
      <c r="N844" s="565">
        <v>12</v>
      </c>
      <c r="O844" s="566">
        <f t="shared" si="40"/>
        <v>0.25531914893617019</v>
      </c>
      <c r="P844" s="567">
        <f t="shared" si="41"/>
        <v>3.1914893617021276</v>
      </c>
      <c r="Q844" s="568">
        <f t="shared" si="39"/>
        <v>3.191489361702128</v>
      </c>
      <c r="R844" s="675"/>
    </row>
    <row r="845" spans="1:18" x14ac:dyDescent="0.2">
      <c r="A845" s="558" t="s">
        <v>277</v>
      </c>
      <c r="B845" s="559" t="s">
        <v>914</v>
      </c>
      <c r="C845" s="573" t="s">
        <v>303</v>
      </c>
      <c r="D845" s="327" t="s">
        <v>300</v>
      </c>
      <c r="E845" s="575" t="s">
        <v>1715</v>
      </c>
      <c r="F845" s="561" t="s">
        <v>109</v>
      </c>
      <c r="G845" s="562" t="s">
        <v>955</v>
      </c>
      <c r="H845" s="563" t="s">
        <v>927</v>
      </c>
      <c r="I845" s="578" t="s">
        <v>925</v>
      </c>
      <c r="J845" s="564" t="s">
        <v>757</v>
      </c>
      <c r="K845" s="561">
        <v>28.999999999999996</v>
      </c>
      <c r="L845" s="338"/>
      <c r="M845" s="565">
        <v>144</v>
      </c>
      <c r="N845" s="565">
        <v>7</v>
      </c>
      <c r="O845" s="566">
        <f t="shared" si="40"/>
        <v>4.8611111111111112E-2</v>
      </c>
      <c r="P845" s="567">
        <f t="shared" si="41"/>
        <v>0.16762452107279693</v>
      </c>
      <c r="Q845" s="568">
        <f t="shared" si="39"/>
        <v>0.16762452107279696</v>
      </c>
      <c r="R845" s="675"/>
    </row>
    <row r="846" spans="1:18" x14ac:dyDescent="0.2">
      <c r="A846" s="558" t="s">
        <v>277</v>
      </c>
      <c r="B846" s="559" t="s">
        <v>914</v>
      </c>
      <c r="C846" s="573" t="s">
        <v>303</v>
      </c>
      <c r="D846" s="327" t="s">
        <v>292</v>
      </c>
      <c r="E846" s="575" t="s">
        <v>1844</v>
      </c>
      <c r="F846" s="561" t="s">
        <v>109</v>
      </c>
      <c r="G846" s="562" t="s">
        <v>955</v>
      </c>
      <c r="H846" s="563" t="s">
        <v>924</v>
      </c>
      <c r="I846" s="578" t="s">
        <v>925</v>
      </c>
      <c r="J846" s="564" t="s">
        <v>757</v>
      </c>
      <c r="K846" s="561">
        <v>8</v>
      </c>
      <c r="L846" s="338"/>
      <c r="M846" s="565">
        <v>42</v>
      </c>
      <c r="N846" s="565">
        <v>6</v>
      </c>
      <c r="O846" s="566">
        <f t="shared" si="40"/>
        <v>0.14285714285714285</v>
      </c>
      <c r="P846" s="567">
        <f t="shared" si="41"/>
        <v>1.7857142857142858</v>
      </c>
      <c r="Q846" s="568">
        <f t="shared" si="39"/>
        <v>1.7857142857142858</v>
      </c>
      <c r="R846" s="675"/>
    </row>
    <row r="847" spans="1:18" x14ac:dyDescent="0.2">
      <c r="A847" s="558" t="s">
        <v>277</v>
      </c>
      <c r="B847" s="559" t="s">
        <v>914</v>
      </c>
      <c r="C847" s="573" t="s">
        <v>303</v>
      </c>
      <c r="D847" s="327" t="s">
        <v>294</v>
      </c>
      <c r="E847" s="575" t="s">
        <v>1844</v>
      </c>
      <c r="F847" s="561" t="s">
        <v>109</v>
      </c>
      <c r="G847" s="562" t="s">
        <v>955</v>
      </c>
      <c r="H847" s="563" t="s">
        <v>924</v>
      </c>
      <c r="I847" s="578" t="s">
        <v>925</v>
      </c>
      <c r="J847" s="564" t="s">
        <v>757</v>
      </c>
      <c r="K847" s="561">
        <v>0</v>
      </c>
      <c r="L847" s="338" t="s">
        <v>926</v>
      </c>
      <c r="M847" s="565">
        <v>10</v>
      </c>
      <c r="N847" s="565">
        <v>0</v>
      </c>
      <c r="O847" s="566">
        <f t="shared" si="40"/>
        <v>0</v>
      </c>
      <c r="P847" s="567">
        <f t="shared" si="41"/>
        <v>0</v>
      </c>
      <c r="Q847" s="568" t="e">
        <f t="shared" si="39"/>
        <v>#DIV/0!</v>
      </c>
      <c r="R847" s="676" t="s">
        <v>926</v>
      </c>
    </row>
    <row r="848" spans="1:18" x14ac:dyDescent="0.2">
      <c r="A848" s="558" t="s">
        <v>277</v>
      </c>
      <c r="B848" s="559" t="s">
        <v>914</v>
      </c>
      <c r="C848" s="573" t="s">
        <v>303</v>
      </c>
      <c r="D848" s="327" t="s">
        <v>282</v>
      </c>
      <c r="E848" s="575" t="s">
        <v>1845</v>
      </c>
      <c r="F848" s="561" t="s">
        <v>109</v>
      </c>
      <c r="G848" s="562" t="s">
        <v>955</v>
      </c>
      <c r="H848" s="563" t="s">
        <v>924</v>
      </c>
      <c r="I848" s="578" t="s">
        <v>925</v>
      </c>
      <c r="J848" s="564" t="s">
        <v>757</v>
      </c>
      <c r="K848" s="561">
        <v>0</v>
      </c>
      <c r="L848" s="338" t="s">
        <v>926</v>
      </c>
      <c r="M848" s="565">
        <v>2</v>
      </c>
      <c r="N848" s="565">
        <v>0</v>
      </c>
      <c r="O848" s="566">
        <f t="shared" si="40"/>
        <v>0</v>
      </c>
      <c r="P848" s="567">
        <f t="shared" si="41"/>
        <v>0</v>
      </c>
      <c r="Q848" s="568" t="e">
        <f t="shared" si="39"/>
        <v>#DIV/0!</v>
      </c>
      <c r="R848" s="676" t="s">
        <v>926</v>
      </c>
    </row>
    <row r="849" spans="1:18" x14ac:dyDescent="0.2">
      <c r="A849" s="558" t="s">
        <v>277</v>
      </c>
      <c r="B849" s="559" t="s">
        <v>914</v>
      </c>
      <c r="C849" s="573" t="s">
        <v>303</v>
      </c>
      <c r="D849" s="327" t="s">
        <v>285</v>
      </c>
      <c r="E849" s="575" t="s">
        <v>1845</v>
      </c>
      <c r="F849" s="561" t="s">
        <v>109</v>
      </c>
      <c r="G849" s="562" t="s">
        <v>955</v>
      </c>
      <c r="H849" s="563" t="s">
        <v>924</v>
      </c>
      <c r="I849" s="578" t="s">
        <v>925</v>
      </c>
      <c r="J849" s="564" t="s">
        <v>757</v>
      </c>
      <c r="K849" s="561">
        <v>0</v>
      </c>
      <c r="L849" s="338" t="s">
        <v>926</v>
      </c>
      <c r="M849" s="565">
        <v>5</v>
      </c>
      <c r="N849" s="565">
        <v>1</v>
      </c>
      <c r="O849" s="566">
        <f t="shared" si="40"/>
        <v>0.2</v>
      </c>
      <c r="P849" s="567">
        <f t="shared" si="41"/>
        <v>0</v>
      </c>
      <c r="Q849" s="568" t="e">
        <f t="shared" si="39"/>
        <v>#DIV/0!</v>
      </c>
      <c r="R849" s="676" t="s">
        <v>926</v>
      </c>
    </row>
    <row r="850" spans="1:18" x14ac:dyDescent="0.2">
      <c r="A850" s="558" t="s">
        <v>277</v>
      </c>
      <c r="B850" s="559" t="s">
        <v>914</v>
      </c>
      <c r="C850" s="573" t="s">
        <v>99</v>
      </c>
      <c r="D850" s="327" t="s">
        <v>300</v>
      </c>
      <c r="E850" s="575" t="s">
        <v>1715</v>
      </c>
      <c r="F850" s="561" t="s">
        <v>109</v>
      </c>
      <c r="G850" s="562" t="s">
        <v>955</v>
      </c>
      <c r="H850" s="563" t="s">
        <v>927</v>
      </c>
      <c r="I850" s="578" t="s">
        <v>925</v>
      </c>
      <c r="J850" s="564" t="s">
        <v>757</v>
      </c>
      <c r="K850" s="561">
        <v>17</v>
      </c>
      <c r="L850" s="338"/>
      <c r="M850" s="565">
        <v>158</v>
      </c>
      <c r="N850" s="565">
        <v>15</v>
      </c>
      <c r="O850" s="566">
        <f t="shared" si="40"/>
        <v>9.49367088607595E-2</v>
      </c>
      <c r="P850" s="567">
        <f t="shared" si="41"/>
        <v>0.5584512285927028</v>
      </c>
      <c r="Q850" s="568">
        <f t="shared" si="39"/>
        <v>0.55845122859270291</v>
      </c>
      <c r="R850" s="675"/>
    </row>
    <row r="851" spans="1:18" x14ac:dyDescent="0.2">
      <c r="A851" s="558" t="s">
        <v>277</v>
      </c>
      <c r="B851" s="559" t="s">
        <v>914</v>
      </c>
      <c r="C851" s="573" t="s">
        <v>99</v>
      </c>
      <c r="D851" s="327" t="s">
        <v>292</v>
      </c>
      <c r="E851" s="575" t="s">
        <v>1715</v>
      </c>
      <c r="F851" s="561" t="s">
        <v>109</v>
      </c>
      <c r="G851" s="562" t="s">
        <v>955</v>
      </c>
      <c r="H851" s="563" t="s">
        <v>924</v>
      </c>
      <c r="I851" s="578" t="s">
        <v>925</v>
      </c>
      <c r="J851" s="564" t="s">
        <v>757</v>
      </c>
      <c r="K851" s="561">
        <v>36</v>
      </c>
      <c r="L851" s="338"/>
      <c r="M851" s="565">
        <v>7</v>
      </c>
      <c r="N851" s="565">
        <v>1</v>
      </c>
      <c r="O851" s="566">
        <f t="shared" si="40"/>
        <v>0.14285714285714285</v>
      </c>
      <c r="P851" s="567">
        <f t="shared" si="41"/>
        <v>0.3968253968253968</v>
      </c>
      <c r="Q851" s="568">
        <f t="shared" si="39"/>
        <v>0.3968253968253968</v>
      </c>
      <c r="R851" s="675"/>
    </row>
    <row r="852" spans="1:18" x14ac:dyDescent="0.2">
      <c r="A852" s="558" t="s">
        <v>277</v>
      </c>
      <c r="B852" s="559" t="s">
        <v>914</v>
      </c>
      <c r="C852" s="573" t="s">
        <v>99</v>
      </c>
      <c r="D852" s="327" t="s">
        <v>294</v>
      </c>
      <c r="E852" s="575" t="s">
        <v>1846</v>
      </c>
      <c r="F852" s="561" t="s">
        <v>109</v>
      </c>
      <c r="G852" s="562" t="s">
        <v>955</v>
      </c>
      <c r="H852" s="563" t="s">
        <v>924</v>
      </c>
      <c r="I852" s="578" t="s">
        <v>925</v>
      </c>
      <c r="J852" s="564" t="s">
        <v>757</v>
      </c>
      <c r="K852" s="561">
        <v>80</v>
      </c>
      <c r="L852" s="338"/>
      <c r="M852" s="565">
        <v>8</v>
      </c>
      <c r="N852" s="565">
        <v>3</v>
      </c>
      <c r="O852" s="566">
        <f t="shared" si="40"/>
        <v>0.375</v>
      </c>
      <c r="P852" s="567">
        <f t="shared" si="41"/>
        <v>0.46875</v>
      </c>
      <c r="Q852" s="568">
        <f t="shared" si="39"/>
        <v>0.46875</v>
      </c>
      <c r="R852" s="675"/>
    </row>
    <row r="853" spans="1:18" x14ac:dyDescent="0.2">
      <c r="A853" s="558" t="s">
        <v>277</v>
      </c>
      <c r="B853" s="559" t="s">
        <v>914</v>
      </c>
      <c r="C853" s="573" t="s">
        <v>99</v>
      </c>
      <c r="D853" s="327" t="s">
        <v>282</v>
      </c>
      <c r="E853" s="575" t="s">
        <v>1846</v>
      </c>
      <c r="F853" s="561" t="s">
        <v>109</v>
      </c>
      <c r="G853" s="562" t="s">
        <v>955</v>
      </c>
      <c r="H853" s="563" t="s">
        <v>924</v>
      </c>
      <c r="I853" s="578" t="s">
        <v>925</v>
      </c>
      <c r="J853" s="564" t="s">
        <v>757</v>
      </c>
      <c r="K853" s="561">
        <v>0</v>
      </c>
      <c r="L853" s="338" t="s">
        <v>926</v>
      </c>
      <c r="M853" s="565">
        <v>4</v>
      </c>
      <c r="N853" s="565">
        <v>1</v>
      </c>
      <c r="O853" s="566">
        <f t="shared" si="40"/>
        <v>0.25</v>
      </c>
      <c r="P853" s="567">
        <f t="shared" si="41"/>
        <v>0</v>
      </c>
      <c r="Q853" s="568" t="e">
        <f t="shared" si="39"/>
        <v>#DIV/0!</v>
      </c>
      <c r="R853" s="676" t="s">
        <v>926</v>
      </c>
    </row>
    <row r="854" spans="1:18" x14ac:dyDescent="0.2">
      <c r="A854" s="558" t="s">
        <v>277</v>
      </c>
      <c r="B854" s="559" t="s">
        <v>914</v>
      </c>
      <c r="C854" s="573" t="s">
        <v>99</v>
      </c>
      <c r="D854" s="327" t="s">
        <v>285</v>
      </c>
      <c r="E854" s="575" t="s">
        <v>1846</v>
      </c>
      <c r="F854" s="561" t="s">
        <v>109</v>
      </c>
      <c r="G854" s="562" t="s">
        <v>955</v>
      </c>
      <c r="H854" s="563" t="s">
        <v>924</v>
      </c>
      <c r="I854" s="578" t="s">
        <v>925</v>
      </c>
      <c r="J854" s="564" t="s">
        <v>757</v>
      </c>
      <c r="K854" s="561">
        <v>0</v>
      </c>
      <c r="L854" s="338" t="s">
        <v>926</v>
      </c>
      <c r="M854" s="565">
        <v>1</v>
      </c>
      <c r="N854" s="565">
        <v>0</v>
      </c>
      <c r="O854" s="566">
        <f t="shared" si="40"/>
        <v>0</v>
      </c>
      <c r="P854" s="567">
        <f t="shared" si="41"/>
        <v>0</v>
      </c>
      <c r="Q854" s="568" t="e">
        <f t="shared" si="39"/>
        <v>#DIV/0!</v>
      </c>
      <c r="R854" s="676" t="s">
        <v>926</v>
      </c>
    </row>
    <row r="855" spans="1:18" x14ac:dyDescent="0.2">
      <c r="A855" s="558" t="s">
        <v>277</v>
      </c>
      <c r="B855" s="559" t="s">
        <v>914</v>
      </c>
      <c r="C855" s="573" t="s">
        <v>296</v>
      </c>
      <c r="D855" s="327" t="s">
        <v>300</v>
      </c>
      <c r="E855" s="575" t="s">
        <v>1847</v>
      </c>
      <c r="F855" s="561" t="s">
        <v>109</v>
      </c>
      <c r="G855" s="562" t="s">
        <v>955</v>
      </c>
      <c r="H855" s="563" t="s">
        <v>927</v>
      </c>
      <c r="I855" s="578" t="s">
        <v>925</v>
      </c>
      <c r="J855" s="564" t="s">
        <v>757</v>
      </c>
      <c r="K855" s="561">
        <v>13</v>
      </c>
      <c r="L855" s="338"/>
      <c r="M855" s="565">
        <v>0</v>
      </c>
      <c r="N855" s="565">
        <v>0</v>
      </c>
      <c r="O855" s="566">
        <f t="shared" si="40"/>
        <v>0</v>
      </c>
      <c r="P855" s="567">
        <f t="shared" si="41"/>
        <v>0</v>
      </c>
      <c r="Q855" s="568" t="e">
        <f t="shared" si="39"/>
        <v>#DIV/0!</v>
      </c>
      <c r="R855" s="676" t="s">
        <v>1919</v>
      </c>
    </row>
    <row r="856" spans="1:18" x14ac:dyDescent="0.2">
      <c r="A856" s="558" t="s">
        <v>277</v>
      </c>
      <c r="B856" s="559" t="s">
        <v>914</v>
      </c>
      <c r="C856" s="573" t="s">
        <v>296</v>
      </c>
      <c r="D856" s="327" t="s">
        <v>292</v>
      </c>
      <c r="E856" s="575" t="s">
        <v>1847</v>
      </c>
      <c r="F856" s="561" t="s">
        <v>109</v>
      </c>
      <c r="G856" s="562" t="s">
        <v>955</v>
      </c>
      <c r="H856" s="563" t="s">
        <v>924</v>
      </c>
      <c r="I856" s="578" t="s">
        <v>925</v>
      </c>
      <c r="J856" s="564" t="s">
        <v>757</v>
      </c>
      <c r="K856" s="561">
        <v>0</v>
      </c>
      <c r="L856" s="338" t="s">
        <v>926</v>
      </c>
      <c r="M856" s="565">
        <v>3</v>
      </c>
      <c r="N856" s="565">
        <v>1</v>
      </c>
      <c r="O856" s="566">
        <f t="shared" si="40"/>
        <v>0.33333333333333331</v>
      </c>
      <c r="P856" s="567">
        <f t="shared" si="41"/>
        <v>0</v>
      </c>
      <c r="Q856" s="568" t="e">
        <f t="shared" si="39"/>
        <v>#DIV/0!</v>
      </c>
      <c r="R856" s="676" t="s">
        <v>926</v>
      </c>
    </row>
    <row r="857" spans="1:18" x14ac:dyDescent="0.2">
      <c r="A857" s="558" t="s">
        <v>277</v>
      </c>
      <c r="B857" s="559" t="s">
        <v>914</v>
      </c>
      <c r="C857" s="573" t="s">
        <v>296</v>
      </c>
      <c r="D857" s="327" t="s">
        <v>294</v>
      </c>
      <c r="E857" s="575" t="s">
        <v>1848</v>
      </c>
      <c r="F857" s="561" t="s">
        <v>109</v>
      </c>
      <c r="G857" s="562" t="s">
        <v>955</v>
      </c>
      <c r="H857" s="563" t="s">
        <v>924</v>
      </c>
      <c r="I857" s="578" t="s">
        <v>925</v>
      </c>
      <c r="J857" s="564" t="s">
        <v>757</v>
      </c>
      <c r="K857" s="561">
        <v>0</v>
      </c>
      <c r="L857" s="338" t="s">
        <v>926</v>
      </c>
      <c r="M857" s="565">
        <v>1</v>
      </c>
      <c r="N857" s="565">
        <v>0</v>
      </c>
      <c r="O857" s="566">
        <f t="shared" si="40"/>
        <v>0</v>
      </c>
      <c r="P857" s="567">
        <f t="shared" si="41"/>
        <v>0</v>
      </c>
      <c r="Q857" s="568" t="e">
        <f t="shared" si="39"/>
        <v>#DIV/0!</v>
      </c>
      <c r="R857" s="676" t="s">
        <v>926</v>
      </c>
    </row>
    <row r="858" spans="1:18" x14ac:dyDescent="0.2">
      <c r="A858" s="558" t="s">
        <v>277</v>
      </c>
      <c r="B858" s="559" t="s">
        <v>914</v>
      </c>
      <c r="C858" s="573" t="s">
        <v>296</v>
      </c>
      <c r="D858" s="327" t="s">
        <v>282</v>
      </c>
      <c r="E858" s="575" t="s">
        <v>1848</v>
      </c>
      <c r="F858" s="561" t="s">
        <v>109</v>
      </c>
      <c r="G858" s="562" t="s">
        <v>955</v>
      </c>
      <c r="H858" s="563" t="s">
        <v>924</v>
      </c>
      <c r="I858" s="578" t="s">
        <v>925</v>
      </c>
      <c r="J858" s="564" t="s">
        <v>757</v>
      </c>
      <c r="K858" s="561">
        <v>0</v>
      </c>
      <c r="L858" s="338" t="s">
        <v>926</v>
      </c>
      <c r="M858" s="565">
        <v>2</v>
      </c>
      <c r="N858" s="565">
        <v>1</v>
      </c>
      <c r="O858" s="566">
        <f t="shared" si="40"/>
        <v>0.5</v>
      </c>
      <c r="P858" s="567">
        <f t="shared" si="41"/>
        <v>0</v>
      </c>
      <c r="Q858" s="568" t="e">
        <f t="shared" si="39"/>
        <v>#DIV/0!</v>
      </c>
      <c r="R858" s="676" t="s">
        <v>926</v>
      </c>
    </row>
    <row r="859" spans="1:18" x14ac:dyDescent="0.2">
      <c r="A859" s="558" t="s">
        <v>277</v>
      </c>
      <c r="B859" s="559" t="s">
        <v>914</v>
      </c>
      <c r="C859" s="573" t="s">
        <v>296</v>
      </c>
      <c r="D859" s="327" t="s">
        <v>285</v>
      </c>
      <c r="E859" s="575" t="s">
        <v>1715</v>
      </c>
      <c r="F859" s="561" t="s">
        <v>109</v>
      </c>
      <c r="G859" s="562" t="s">
        <v>955</v>
      </c>
      <c r="H859" s="563" t="s">
        <v>924</v>
      </c>
      <c r="I859" s="578" t="s">
        <v>925</v>
      </c>
      <c r="J859" s="564" t="s">
        <v>757</v>
      </c>
      <c r="K859" s="561">
        <v>25</v>
      </c>
      <c r="L859" s="338"/>
      <c r="M859" s="565">
        <v>11</v>
      </c>
      <c r="N859" s="565">
        <v>3</v>
      </c>
      <c r="O859" s="566">
        <f t="shared" si="40"/>
        <v>0.27272727272727271</v>
      </c>
      <c r="P859" s="567">
        <f t="shared" si="41"/>
        <v>1.0909090909090908</v>
      </c>
      <c r="Q859" s="568">
        <f t="shared" si="39"/>
        <v>1.0909090909090908</v>
      </c>
      <c r="R859" s="675"/>
    </row>
    <row r="860" spans="1:18" x14ac:dyDescent="0.2">
      <c r="A860" s="558" t="s">
        <v>277</v>
      </c>
      <c r="B860" s="559" t="s">
        <v>914</v>
      </c>
      <c r="C860" s="573" t="s">
        <v>296</v>
      </c>
      <c r="D860" s="327" t="s">
        <v>298</v>
      </c>
      <c r="E860" s="575" t="s">
        <v>1715</v>
      </c>
      <c r="F860" s="561" t="s">
        <v>109</v>
      </c>
      <c r="G860" s="562" t="s">
        <v>955</v>
      </c>
      <c r="H860" s="563" t="s">
        <v>924</v>
      </c>
      <c r="I860" s="578" t="s">
        <v>925</v>
      </c>
      <c r="J860" s="564" t="s">
        <v>757</v>
      </c>
      <c r="K860" s="561">
        <v>10</v>
      </c>
      <c r="L860" s="338"/>
      <c r="M860" s="565">
        <v>20</v>
      </c>
      <c r="N860" s="565">
        <v>7</v>
      </c>
      <c r="O860" s="566">
        <f t="shared" si="40"/>
        <v>0.35</v>
      </c>
      <c r="P860" s="567">
        <f t="shared" si="41"/>
        <v>3.5</v>
      </c>
      <c r="Q860" s="568">
        <f t="shared" si="39"/>
        <v>3.5</v>
      </c>
      <c r="R860" s="675"/>
    </row>
    <row r="861" spans="1:18" x14ac:dyDescent="0.2">
      <c r="A861" s="558" t="s">
        <v>277</v>
      </c>
      <c r="B861" s="559" t="s">
        <v>914</v>
      </c>
      <c r="C861" s="573" t="s">
        <v>316</v>
      </c>
      <c r="D861" s="327" t="s">
        <v>292</v>
      </c>
      <c r="E861" s="575" t="s">
        <v>1849</v>
      </c>
      <c r="F861" s="561" t="s">
        <v>109</v>
      </c>
      <c r="G861" s="562" t="s">
        <v>955</v>
      </c>
      <c r="H861" s="563" t="s">
        <v>924</v>
      </c>
      <c r="I861" s="578" t="s">
        <v>925</v>
      </c>
      <c r="J861" s="564" t="s">
        <v>757</v>
      </c>
      <c r="K861" s="561">
        <v>0</v>
      </c>
      <c r="L861" s="338" t="s">
        <v>926</v>
      </c>
      <c r="M861" s="565">
        <v>0</v>
      </c>
      <c r="N861" s="565">
        <v>0</v>
      </c>
      <c r="O861" s="566">
        <f t="shared" si="40"/>
        <v>0</v>
      </c>
      <c r="P861" s="567">
        <f t="shared" si="41"/>
        <v>0</v>
      </c>
      <c r="Q861" s="568" t="e">
        <f t="shared" si="39"/>
        <v>#DIV/0!</v>
      </c>
      <c r="R861" s="676" t="s">
        <v>1919</v>
      </c>
    </row>
    <row r="862" spans="1:18" x14ac:dyDescent="0.2">
      <c r="A862" s="558" t="s">
        <v>277</v>
      </c>
      <c r="B862" s="559" t="s">
        <v>914</v>
      </c>
      <c r="C862" s="573" t="s">
        <v>316</v>
      </c>
      <c r="D862" s="327" t="s">
        <v>294</v>
      </c>
      <c r="E862" s="575" t="s">
        <v>1849</v>
      </c>
      <c r="F862" s="561" t="s">
        <v>109</v>
      </c>
      <c r="G862" s="562" t="s">
        <v>955</v>
      </c>
      <c r="H862" s="563" t="s">
        <v>924</v>
      </c>
      <c r="I862" s="578" t="s">
        <v>925</v>
      </c>
      <c r="J862" s="564" t="s">
        <v>757</v>
      </c>
      <c r="K862" s="561">
        <v>0</v>
      </c>
      <c r="L862" s="338" t="s">
        <v>926</v>
      </c>
      <c r="M862" s="565">
        <v>0</v>
      </c>
      <c r="N862" s="565">
        <v>0</v>
      </c>
      <c r="O862" s="566">
        <f t="shared" si="40"/>
        <v>0</v>
      </c>
      <c r="P862" s="567">
        <f t="shared" si="41"/>
        <v>0</v>
      </c>
      <c r="Q862" s="568" t="e">
        <f t="shared" si="39"/>
        <v>#DIV/0!</v>
      </c>
      <c r="R862" s="676" t="s">
        <v>1919</v>
      </c>
    </row>
    <row r="863" spans="1:18" x14ac:dyDescent="0.2">
      <c r="A863" s="558" t="s">
        <v>277</v>
      </c>
      <c r="B863" s="559" t="s">
        <v>914</v>
      </c>
      <c r="C863" s="573" t="s">
        <v>308</v>
      </c>
      <c r="D863" s="327" t="s">
        <v>300</v>
      </c>
      <c r="E863" s="575" t="s">
        <v>1715</v>
      </c>
      <c r="F863" s="561" t="s">
        <v>109</v>
      </c>
      <c r="G863" s="562" t="s">
        <v>955</v>
      </c>
      <c r="H863" s="563" t="s">
        <v>927</v>
      </c>
      <c r="I863" s="578" t="s">
        <v>925</v>
      </c>
      <c r="J863" s="564" t="s">
        <v>757</v>
      </c>
      <c r="K863" s="561">
        <v>38</v>
      </c>
      <c r="L863" s="338"/>
      <c r="M863" s="565">
        <v>51</v>
      </c>
      <c r="N863" s="565">
        <v>3</v>
      </c>
      <c r="O863" s="566">
        <f t="shared" si="40"/>
        <v>5.8823529411764705E-2</v>
      </c>
      <c r="P863" s="567">
        <f t="shared" si="41"/>
        <v>0.15479876160990713</v>
      </c>
      <c r="Q863" s="568">
        <f t="shared" si="39"/>
        <v>0.15479876160990713</v>
      </c>
      <c r="R863" s="675"/>
    </row>
    <row r="864" spans="1:18" x14ac:dyDescent="0.2">
      <c r="A864" s="558" t="s">
        <v>277</v>
      </c>
      <c r="B864" s="559" t="s">
        <v>914</v>
      </c>
      <c r="C864" s="573" t="s">
        <v>308</v>
      </c>
      <c r="D864" s="327" t="s">
        <v>292</v>
      </c>
      <c r="E864" s="575" t="s">
        <v>1850</v>
      </c>
      <c r="F864" s="561" t="s">
        <v>109</v>
      </c>
      <c r="G864" s="562" t="s">
        <v>955</v>
      </c>
      <c r="H864" s="563" t="s">
        <v>924</v>
      </c>
      <c r="I864" s="578" t="s">
        <v>925</v>
      </c>
      <c r="J864" s="564" t="s">
        <v>757</v>
      </c>
      <c r="K864" s="561">
        <v>0</v>
      </c>
      <c r="L864" s="338" t="s">
        <v>926</v>
      </c>
      <c r="M864" s="565">
        <v>7</v>
      </c>
      <c r="N864" s="565">
        <v>2</v>
      </c>
      <c r="O864" s="566">
        <f t="shared" si="40"/>
        <v>0.2857142857142857</v>
      </c>
      <c r="P864" s="567">
        <f t="shared" si="41"/>
        <v>0</v>
      </c>
      <c r="Q864" s="568" t="e">
        <f t="shared" si="39"/>
        <v>#DIV/0!</v>
      </c>
      <c r="R864" s="676" t="s">
        <v>926</v>
      </c>
    </row>
    <row r="865" spans="1:18" x14ac:dyDescent="0.2">
      <c r="A865" s="558" t="s">
        <v>277</v>
      </c>
      <c r="B865" s="559" t="s">
        <v>914</v>
      </c>
      <c r="C865" s="573" t="s">
        <v>308</v>
      </c>
      <c r="D865" s="327" t="s">
        <v>294</v>
      </c>
      <c r="E865" s="575" t="s">
        <v>1850</v>
      </c>
      <c r="F865" s="561" t="s">
        <v>109</v>
      </c>
      <c r="G865" s="562" t="s">
        <v>955</v>
      </c>
      <c r="H865" s="563" t="s">
        <v>924</v>
      </c>
      <c r="I865" s="578" t="s">
        <v>925</v>
      </c>
      <c r="J865" s="564" t="s">
        <v>757</v>
      </c>
      <c r="K865" s="561">
        <v>0</v>
      </c>
      <c r="L865" s="338" t="s">
        <v>926</v>
      </c>
      <c r="M865" s="565">
        <v>1</v>
      </c>
      <c r="N865" s="565">
        <v>0</v>
      </c>
      <c r="O865" s="566">
        <f t="shared" si="40"/>
        <v>0</v>
      </c>
      <c r="P865" s="567">
        <f t="shared" si="41"/>
        <v>0</v>
      </c>
      <c r="Q865" s="568" t="e">
        <f t="shared" si="39"/>
        <v>#DIV/0!</v>
      </c>
      <c r="R865" s="676" t="s">
        <v>926</v>
      </c>
    </row>
    <row r="866" spans="1:18" x14ac:dyDescent="0.2">
      <c r="A866" s="558" t="s">
        <v>277</v>
      </c>
      <c r="B866" s="559" t="s">
        <v>914</v>
      </c>
      <c r="C866" s="573" t="s">
        <v>305</v>
      </c>
      <c r="D866" s="327" t="s">
        <v>300</v>
      </c>
      <c r="E866" s="575" t="s">
        <v>1715</v>
      </c>
      <c r="F866" s="561" t="s">
        <v>109</v>
      </c>
      <c r="G866" s="562" t="s">
        <v>955</v>
      </c>
      <c r="H866" s="563" t="s">
        <v>927</v>
      </c>
      <c r="I866" s="578" t="s">
        <v>925</v>
      </c>
      <c r="J866" s="564" t="s">
        <v>757</v>
      </c>
      <c r="K866" s="561">
        <v>5</v>
      </c>
      <c r="L866" s="338"/>
      <c r="M866" s="565">
        <v>568</v>
      </c>
      <c r="N866" s="565">
        <v>24</v>
      </c>
      <c r="O866" s="566">
        <f t="shared" si="40"/>
        <v>4.2253521126760563E-2</v>
      </c>
      <c r="P866" s="567">
        <f t="shared" si="41"/>
        <v>0.84507042253521125</v>
      </c>
      <c r="Q866" s="568">
        <f t="shared" si="39"/>
        <v>0.84507042253521136</v>
      </c>
      <c r="R866" s="675"/>
    </row>
    <row r="867" spans="1:18" x14ac:dyDescent="0.2">
      <c r="A867" s="558" t="s">
        <v>277</v>
      </c>
      <c r="B867" s="559" t="s">
        <v>914</v>
      </c>
      <c r="C867" s="573" t="s">
        <v>305</v>
      </c>
      <c r="D867" s="327" t="s">
        <v>292</v>
      </c>
      <c r="E867" s="575" t="s">
        <v>1715</v>
      </c>
      <c r="F867" s="561" t="s">
        <v>109</v>
      </c>
      <c r="G867" s="562" t="s">
        <v>955</v>
      </c>
      <c r="H867" s="563" t="s">
        <v>924</v>
      </c>
      <c r="I867" s="578" t="s">
        <v>925</v>
      </c>
      <c r="J867" s="564" t="s">
        <v>757</v>
      </c>
      <c r="K867" s="561">
        <v>32</v>
      </c>
      <c r="L867" s="338"/>
      <c r="M867" s="565">
        <v>85</v>
      </c>
      <c r="N867" s="565">
        <v>22</v>
      </c>
      <c r="O867" s="566">
        <f t="shared" si="40"/>
        <v>0.25882352941176473</v>
      </c>
      <c r="P867" s="567">
        <f t="shared" si="41"/>
        <v>0.80882352941176472</v>
      </c>
      <c r="Q867" s="568">
        <f t="shared" si="39"/>
        <v>0.80882352941176472</v>
      </c>
      <c r="R867" s="675"/>
    </row>
    <row r="868" spans="1:18" x14ac:dyDescent="0.2">
      <c r="A868" s="558" t="s">
        <v>277</v>
      </c>
      <c r="B868" s="559" t="s">
        <v>914</v>
      </c>
      <c r="C868" s="573" t="s">
        <v>305</v>
      </c>
      <c r="D868" s="327" t="s">
        <v>294</v>
      </c>
      <c r="E868" s="575" t="s">
        <v>1851</v>
      </c>
      <c r="F868" s="561" t="s">
        <v>109</v>
      </c>
      <c r="G868" s="562" t="s">
        <v>955</v>
      </c>
      <c r="H868" s="563" t="s">
        <v>924</v>
      </c>
      <c r="I868" s="578" t="s">
        <v>925</v>
      </c>
      <c r="J868" s="564" t="s">
        <v>757</v>
      </c>
      <c r="K868" s="561">
        <v>33</v>
      </c>
      <c r="L868" s="338"/>
      <c r="M868" s="565">
        <v>24</v>
      </c>
      <c r="N868" s="565">
        <v>8</v>
      </c>
      <c r="O868" s="566">
        <f t="shared" si="40"/>
        <v>0.33333333333333331</v>
      </c>
      <c r="P868" s="567">
        <f t="shared" si="41"/>
        <v>1.0101010101010102</v>
      </c>
      <c r="Q868" s="568">
        <f t="shared" si="39"/>
        <v>1.0101010101010102</v>
      </c>
      <c r="R868" s="675"/>
    </row>
    <row r="869" spans="1:18" x14ac:dyDescent="0.2">
      <c r="A869" s="558" t="s">
        <v>277</v>
      </c>
      <c r="B869" s="559" t="s">
        <v>914</v>
      </c>
      <c r="C869" s="573" t="s">
        <v>305</v>
      </c>
      <c r="D869" s="327" t="s">
        <v>285</v>
      </c>
      <c r="E869" s="575" t="s">
        <v>1851</v>
      </c>
      <c r="F869" s="561" t="s">
        <v>109</v>
      </c>
      <c r="G869" s="562" t="s">
        <v>955</v>
      </c>
      <c r="H869" s="563" t="s">
        <v>924</v>
      </c>
      <c r="I869" s="578" t="s">
        <v>925</v>
      </c>
      <c r="J869" s="564" t="s">
        <v>757</v>
      </c>
      <c r="K869" s="561">
        <v>0</v>
      </c>
      <c r="L869" s="338" t="s">
        <v>926</v>
      </c>
      <c r="M869" s="565">
        <v>2</v>
      </c>
      <c r="N869" s="565">
        <v>1</v>
      </c>
      <c r="O869" s="566">
        <f t="shared" si="40"/>
        <v>0.5</v>
      </c>
      <c r="P869" s="567">
        <f t="shared" si="41"/>
        <v>0</v>
      </c>
      <c r="Q869" s="568" t="e">
        <f t="shared" si="39"/>
        <v>#DIV/0!</v>
      </c>
      <c r="R869" s="676" t="s">
        <v>926</v>
      </c>
    </row>
    <row r="870" spans="1:18" x14ac:dyDescent="0.2">
      <c r="A870" s="558" t="s">
        <v>277</v>
      </c>
      <c r="B870" s="559" t="s">
        <v>914</v>
      </c>
      <c r="C870" s="573" t="s">
        <v>97</v>
      </c>
      <c r="D870" s="327" t="s">
        <v>282</v>
      </c>
      <c r="E870" s="575" t="s">
        <v>1843</v>
      </c>
      <c r="F870" s="561" t="s">
        <v>109</v>
      </c>
      <c r="G870" s="562" t="s">
        <v>956</v>
      </c>
      <c r="H870" s="563" t="s">
        <v>924</v>
      </c>
      <c r="I870" s="578" t="s">
        <v>925</v>
      </c>
      <c r="J870" s="564" t="s">
        <v>757</v>
      </c>
      <c r="K870" s="561">
        <v>33</v>
      </c>
      <c r="L870" s="338"/>
      <c r="M870" s="565">
        <v>6</v>
      </c>
      <c r="N870" s="565">
        <v>3</v>
      </c>
      <c r="O870" s="566">
        <f t="shared" si="40"/>
        <v>0.5</v>
      </c>
      <c r="P870" s="567">
        <f t="shared" si="41"/>
        <v>1.5151515151515151</v>
      </c>
      <c r="Q870" s="568">
        <f t="shared" si="39"/>
        <v>1.5151515151515151</v>
      </c>
      <c r="R870" s="675"/>
    </row>
    <row r="871" spans="1:18" x14ac:dyDescent="0.2">
      <c r="A871" s="558" t="s">
        <v>277</v>
      </c>
      <c r="B871" s="559" t="s">
        <v>914</v>
      </c>
      <c r="C871" s="573" t="s">
        <v>97</v>
      </c>
      <c r="D871" s="327" t="s">
        <v>285</v>
      </c>
      <c r="E871" s="575" t="s">
        <v>1843</v>
      </c>
      <c r="F871" s="561" t="s">
        <v>109</v>
      </c>
      <c r="G871" s="562" t="s">
        <v>956</v>
      </c>
      <c r="H871" s="563" t="s">
        <v>924</v>
      </c>
      <c r="I871" s="578" t="s">
        <v>925</v>
      </c>
      <c r="J871" s="564" t="s">
        <v>757</v>
      </c>
      <c r="K871" s="561">
        <v>0</v>
      </c>
      <c r="L871" s="338" t="s">
        <v>926</v>
      </c>
      <c r="M871" s="565">
        <v>8</v>
      </c>
      <c r="N871" s="565">
        <v>7</v>
      </c>
      <c r="O871" s="566">
        <f t="shared" si="40"/>
        <v>0.875</v>
      </c>
      <c r="P871" s="567">
        <f t="shared" si="41"/>
        <v>0</v>
      </c>
      <c r="Q871" s="568" t="e">
        <f t="shared" si="39"/>
        <v>#DIV/0!</v>
      </c>
      <c r="R871" s="676" t="s">
        <v>926</v>
      </c>
    </row>
    <row r="872" spans="1:18" x14ac:dyDescent="0.2">
      <c r="A872" s="558" t="s">
        <v>277</v>
      </c>
      <c r="B872" s="559" t="s">
        <v>914</v>
      </c>
      <c r="C872" s="573" t="s">
        <v>286</v>
      </c>
      <c r="D872" s="327" t="s">
        <v>300</v>
      </c>
      <c r="E872" s="575" t="s">
        <v>1715</v>
      </c>
      <c r="F872" s="561" t="s">
        <v>109</v>
      </c>
      <c r="G872" s="562" t="s">
        <v>956</v>
      </c>
      <c r="H872" s="563" t="s">
        <v>927</v>
      </c>
      <c r="I872" s="578" t="s">
        <v>925</v>
      </c>
      <c r="J872" s="564" t="s">
        <v>757</v>
      </c>
      <c r="K872" s="561">
        <v>0</v>
      </c>
      <c r="L872" s="338" t="s">
        <v>926</v>
      </c>
      <c r="M872" s="565">
        <v>39</v>
      </c>
      <c r="N872" s="565">
        <v>5</v>
      </c>
      <c r="O872" s="566">
        <f t="shared" si="40"/>
        <v>0.12820512820512819</v>
      </c>
      <c r="P872" s="567">
        <f t="shared" si="41"/>
        <v>0</v>
      </c>
      <c r="Q872" s="568" t="e">
        <f t="shared" si="39"/>
        <v>#DIV/0!</v>
      </c>
      <c r="R872" s="676" t="s">
        <v>926</v>
      </c>
    </row>
    <row r="873" spans="1:18" x14ac:dyDescent="0.2">
      <c r="A873" s="558" t="s">
        <v>277</v>
      </c>
      <c r="B873" s="559" t="s">
        <v>914</v>
      </c>
      <c r="C873" s="573" t="s">
        <v>286</v>
      </c>
      <c r="D873" s="327" t="s">
        <v>292</v>
      </c>
      <c r="E873" s="575" t="s">
        <v>1715</v>
      </c>
      <c r="F873" s="561" t="s">
        <v>109</v>
      </c>
      <c r="G873" s="562" t="s">
        <v>956</v>
      </c>
      <c r="H873" s="563" t="s">
        <v>924</v>
      </c>
      <c r="I873" s="578" t="s">
        <v>925</v>
      </c>
      <c r="J873" s="564" t="s">
        <v>757</v>
      </c>
      <c r="K873" s="561">
        <v>26</v>
      </c>
      <c r="L873" s="338"/>
      <c r="M873" s="565">
        <v>12</v>
      </c>
      <c r="N873" s="565">
        <v>4</v>
      </c>
      <c r="O873" s="566">
        <f t="shared" si="40"/>
        <v>0.33333333333333331</v>
      </c>
      <c r="P873" s="567">
        <f t="shared" si="41"/>
        <v>1.2820512820512819</v>
      </c>
      <c r="Q873" s="568">
        <f t="shared" si="39"/>
        <v>1.2820512820512819</v>
      </c>
      <c r="R873" s="675"/>
    </row>
    <row r="874" spans="1:18" x14ac:dyDescent="0.2">
      <c r="A874" s="558" t="s">
        <v>277</v>
      </c>
      <c r="B874" s="559" t="s">
        <v>914</v>
      </c>
      <c r="C874" s="573" t="s">
        <v>286</v>
      </c>
      <c r="D874" s="327" t="s">
        <v>294</v>
      </c>
      <c r="E874" s="575" t="s">
        <v>1715</v>
      </c>
      <c r="F874" s="561" t="s">
        <v>109</v>
      </c>
      <c r="G874" s="562" t="s">
        <v>956</v>
      </c>
      <c r="H874" s="563" t="s">
        <v>924</v>
      </c>
      <c r="I874" s="578" t="s">
        <v>925</v>
      </c>
      <c r="J874" s="564" t="s">
        <v>757</v>
      </c>
      <c r="K874" s="561">
        <v>16</v>
      </c>
      <c r="L874" s="338"/>
      <c r="M874" s="565">
        <v>40</v>
      </c>
      <c r="N874" s="565">
        <v>7</v>
      </c>
      <c r="O874" s="566">
        <f t="shared" si="40"/>
        <v>0.17499999999999999</v>
      </c>
      <c r="P874" s="567">
        <f t="shared" si="41"/>
        <v>1.09375</v>
      </c>
      <c r="Q874" s="568">
        <f t="shared" si="39"/>
        <v>1.09375</v>
      </c>
      <c r="R874" s="675"/>
    </row>
    <row r="875" spans="1:18" x14ac:dyDescent="0.2">
      <c r="A875" s="558" t="s">
        <v>277</v>
      </c>
      <c r="B875" s="559" t="s">
        <v>914</v>
      </c>
      <c r="C875" s="573" t="s">
        <v>286</v>
      </c>
      <c r="D875" s="327" t="s">
        <v>282</v>
      </c>
      <c r="E875" s="575" t="s">
        <v>1715</v>
      </c>
      <c r="F875" s="561" t="s">
        <v>109</v>
      </c>
      <c r="G875" s="562" t="s">
        <v>956</v>
      </c>
      <c r="H875" s="563" t="s">
        <v>924</v>
      </c>
      <c r="I875" s="578" t="s">
        <v>925</v>
      </c>
      <c r="J875" s="564" t="s">
        <v>757</v>
      </c>
      <c r="K875" s="561">
        <v>6</v>
      </c>
      <c r="L875" s="338"/>
      <c r="M875" s="565">
        <v>68</v>
      </c>
      <c r="N875" s="565">
        <v>9</v>
      </c>
      <c r="O875" s="566">
        <f t="shared" si="40"/>
        <v>0.13235294117647059</v>
      </c>
      <c r="P875" s="567">
        <f t="shared" si="41"/>
        <v>2.2058823529411766</v>
      </c>
      <c r="Q875" s="568">
        <f t="shared" si="39"/>
        <v>2.2058823529411766</v>
      </c>
      <c r="R875" s="675"/>
    </row>
    <row r="876" spans="1:18" x14ac:dyDescent="0.2">
      <c r="A876" s="558" t="s">
        <v>277</v>
      </c>
      <c r="B876" s="559" t="s">
        <v>914</v>
      </c>
      <c r="C876" s="573" t="s">
        <v>286</v>
      </c>
      <c r="D876" s="327" t="s">
        <v>285</v>
      </c>
      <c r="E876" s="575" t="s">
        <v>1715</v>
      </c>
      <c r="F876" s="561" t="s">
        <v>109</v>
      </c>
      <c r="G876" s="562" t="s">
        <v>956</v>
      </c>
      <c r="H876" s="563" t="s">
        <v>924</v>
      </c>
      <c r="I876" s="578" t="s">
        <v>925</v>
      </c>
      <c r="J876" s="564" t="s">
        <v>757</v>
      </c>
      <c r="K876" s="561">
        <v>8</v>
      </c>
      <c r="L876" s="338"/>
      <c r="M876" s="565">
        <v>47</v>
      </c>
      <c r="N876" s="565">
        <v>12</v>
      </c>
      <c r="O876" s="566">
        <f t="shared" si="40"/>
        <v>0.25531914893617019</v>
      </c>
      <c r="P876" s="567">
        <f t="shared" si="41"/>
        <v>3.1914893617021276</v>
      </c>
      <c r="Q876" s="568">
        <f t="shared" si="39"/>
        <v>3.191489361702128</v>
      </c>
      <c r="R876" s="675"/>
    </row>
    <row r="877" spans="1:18" x14ac:dyDescent="0.2">
      <c r="A877" s="558" t="s">
        <v>277</v>
      </c>
      <c r="B877" s="559" t="s">
        <v>914</v>
      </c>
      <c r="C877" s="573" t="s">
        <v>303</v>
      </c>
      <c r="D877" s="327" t="s">
        <v>300</v>
      </c>
      <c r="E877" s="575" t="s">
        <v>1715</v>
      </c>
      <c r="F877" s="561" t="s">
        <v>109</v>
      </c>
      <c r="G877" s="562" t="s">
        <v>956</v>
      </c>
      <c r="H877" s="563" t="s">
        <v>927</v>
      </c>
      <c r="I877" s="578" t="s">
        <v>925</v>
      </c>
      <c r="J877" s="564" t="s">
        <v>757</v>
      </c>
      <c r="K877" s="561">
        <v>28.999999999999996</v>
      </c>
      <c r="L877" s="338"/>
      <c r="M877" s="565">
        <v>144</v>
      </c>
      <c r="N877" s="565">
        <v>7</v>
      </c>
      <c r="O877" s="566">
        <f t="shared" si="40"/>
        <v>4.8611111111111112E-2</v>
      </c>
      <c r="P877" s="567">
        <f t="shared" si="41"/>
        <v>0.16762452107279693</v>
      </c>
      <c r="Q877" s="568">
        <f t="shared" si="39"/>
        <v>0.16762452107279696</v>
      </c>
      <c r="R877" s="675"/>
    </row>
    <row r="878" spans="1:18" x14ac:dyDescent="0.2">
      <c r="A878" s="558" t="s">
        <v>277</v>
      </c>
      <c r="B878" s="559" t="s">
        <v>914</v>
      </c>
      <c r="C878" s="573" t="s">
        <v>303</v>
      </c>
      <c r="D878" s="327" t="s">
        <v>292</v>
      </c>
      <c r="E878" s="575" t="s">
        <v>1844</v>
      </c>
      <c r="F878" s="561" t="s">
        <v>109</v>
      </c>
      <c r="G878" s="562" t="s">
        <v>956</v>
      </c>
      <c r="H878" s="563" t="s">
        <v>924</v>
      </c>
      <c r="I878" s="578" t="s">
        <v>925</v>
      </c>
      <c r="J878" s="564" t="s">
        <v>757</v>
      </c>
      <c r="K878" s="561">
        <v>8</v>
      </c>
      <c r="L878" s="338"/>
      <c r="M878" s="565">
        <v>42</v>
      </c>
      <c r="N878" s="565">
        <v>6</v>
      </c>
      <c r="O878" s="566">
        <f t="shared" si="40"/>
        <v>0.14285714285714285</v>
      </c>
      <c r="P878" s="567">
        <f t="shared" si="41"/>
        <v>1.7857142857142858</v>
      </c>
      <c r="Q878" s="568">
        <f t="shared" si="39"/>
        <v>1.7857142857142858</v>
      </c>
      <c r="R878" s="675"/>
    </row>
    <row r="879" spans="1:18" x14ac:dyDescent="0.2">
      <c r="A879" s="558" t="s">
        <v>277</v>
      </c>
      <c r="B879" s="559" t="s">
        <v>914</v>
      </c>
      <c r="C879" s="573" t="s">
        <v>303</v>
      </c>
      <c r="D879" s="327" t="s">
        <v>294</v>
      </c>
      <c r="E879" s="575" t="s">
        <v>1844</v>
      </c>
      <c r="F879" s="561" t="s">
        <v>109</v>
      </c>
      <c r="G879" s="562" t="s">
        <v>956</v>
      </c>
      <c r="H879" s="563" t="s">
        <v>924</v>
      </c>
      <c r="I879" s="578" t="s">
        <v>925</v>
      </c>
      <c r="J879" s="564" t="s">
        <v>757</v>
      </c>
      <c r="K879" s="561">
        <v>0</v>
      </c>
      <c r="L879" s="338" t="s">
        <v>926</v>
      </c>
      <c r="M879" s="565">
        <v>10</v>
      </c>
      <c r="N879" s="565">
        <v>0</v>
      </c>
      <c r="O879" s="566">
        <f t="shared" si="40"/>
        <v>0</v>
      </c>
      <c r="P879" s="567">
        <f t="shared" si="41"/>
        <v>0</v>
      </c>
      <c r="Q879" s="568" t="e">
        <f t="shared" si="39"/>
        <v>#DIV/0!</v>
      </c>
      <c r="R879" s="676" t="s">
        <v>926</v>
      </c>
    </row>
    <row r="880" spans="1:18" x14ac:dyDescent="0.2">
      <c r="A880" s="558" t="s">
        <v>277</v>
      </c>
      <c r="B880" s="559" t="s">
        <v>914</v>
      </c>
      <c r="C880" s="573" t="s">
        <v>303</v>
      </c>
      <c r="D880" s="327" t="s">
        <v>282</v>
      </c>
      <c r="E880" s="575" t="s">
        <v>1845</v>
      </c>
      <c r="F880" s="561" t="s">
        <v>109</v>
      </c>
      <c r="G880" s="562" t="s">
        <v>956</v>
      </c>
      <c r="H880" s="563" t="s">
        <v>924</v>
      </c>
      <c r="I880" s="578" t="s">
        <v>925</v>
      </c>
      <c r="J880" s="564" t="s">
        <v>757</v>
      </c>
      <c r="K880" s="561">
        <v>0</v>
      </c>
      <c r="L880" s="338" t="s">
        <v>926</v>
      </c>
      <c r="M880" s="565">
        <v>2</v>
      </c>
      <c r="N880" s="565">
        <v>0</v>
      </c>
      <c r="O880" s="566">
        <f t="shared" si="40"/>
        <v>0</v>
      </c>
      <c r="P880" s="567">
        <f t="shared" si="41"/>
        <v>0</v>
      </c>
      <c r="Q880" s="568" t="e">
        <f t="shared" si="39"/>
        <v>#DIV/0!</v>
      </c>
      <c r="R880" s="676" t="s">
        <v>926</v>
      </c>
    </row>
    <row r="881" spans="1:18" x14ac:dyDescent="0.2">
      <c r="A881" s="558" t="s">
        <v>277</v>
      </c>
      <c r="B881" s="559" t="s">
        <v>914</v>
      </c>
      <c r="C881" s="573" t="s">
        <v>303</v>
      </c>
      <c r="D881" s="327" t="s">
        <v>285</v>
      </c>
      <c r="E881" s="575" t="s">
        <v>1845</v>
      </c>
      <c r="F881" s="561" t="s">
        <v>109</v>
      </c>
      <c r="G881" s="562" t="s">
        <v>956</v>
      </c>
      <c r="H881" s="563" t="s">
        <v>924</v>
      </c>
      <c r="I881" s="578" t="s">
        <v>925</v>
      </c>
      <c r="J881" s="564" t="s">
        <v>757</v>
      </c>
      <c r="K881" s="561">
        <v>0</v>
      </c>
      <c r="L881" s="338" t="s">
        <v>926</v>
      </c>
      <c r="M881" s="565">
        <v>5</v>
      </c>
      <c r="N881" s="565">
        <v>1</v>
      </c>
      <c r="O881" s="566">
        <f t="shared" si="40"/>
        <v>0.2</v>
      </c>
      <c r="P881" s="567">
        <f t="shared" si="41"/>
        <v>0</v>
      </c>
      <c r="Q881" s="568" t="e">
        <f t="shared" si="39"/>
        <v>#DIV/0!</v>
      </c>
      <c r="R881" s="676" t="s">
        <v>926</v>
      </c>
    </row>
    <row r="882" spans="1:18" x14ac:dyDescent="0.2">
      <c r="A882" s="558" t="s">
        <v>277</v>
      </c>
      <c r="B882" s="559" t="s">
        <v>914</v>
      </c>
      <c r="C882" s="573" t="s">
        <v>99</v>
      </c>
      <c r="D882" s="327" t="s">
        <v>300</v>
      </c>
      <c r="E882" s="575" t="s">
        <v>1715</v>
      </c>
      <c r="F882" s="561" t="s">
        <v>109</v>
      </c>
      <c r="G882" s="562" t="s">
        <v>956</v>
      </c>
      <c r="H882" s="563" t="s">
        <v>927</v>
      </c>
      <c r="I882" s="578" t="s">
        <v>925</v>
      </c>
      <c r="J882" s="564" t="s">
        <v>757</v>
      </c>
      <c r="K882" s="561">
        <v>17</v>
      </c>
      <c r="L882" s="338"/>
      <c r="M882" s="565">
        <v>158</v>
      </c>
      <c r="N882" s="565">
        <v>15</v>
      </c>
      <c r="O882" s="566">
        <f t="shared" si="40"/>
        <v>9.49367088607595E-2</v>
      </c>
      <c r="P882" s="567">
        <f t="shared" si="41"/>
        <v>0.5584512285927028</v>
      </c>
      <c r="Q882" s="568">
        <f t="shared" si="39"/>
        <v>0.55845122859270291</v>
      </c>
      <c r="R882" s="675"/>
    </row>
    <row r="883" spans="1:18" x14ac:dyDescent="0.2">
      <c r="A883" s="558" t="s">
        <v>277</v>
      </c>
      <c r="B883" s="559" t="s">
        <v>914</v>
      </c>
      <c r="C883" s="573" t="s">
        <v>99</v>
      </c>
      <c r="D883" s="327" t="s">
        <v>292</v>
      </c>
      <c r="E883" s="575" t="s">
        <v>1715</v>
      </c>
      <c r="F883" s="561" t="s">
        <v>109</v>
      </c>
      <c r="G883" s="562" t="s">
        <v>956</v>
      </c>
      <c r="H883" s="563" t="s">
        <v>924</v>
      </c>
      <c r="I883" s="578" t="s">
        <v>925</v>
      </c>
      <c r="J883" s="564" t="s">
        <v>757</v>
      </c>
      <c r="K883" s="561">
        <v>36</v>
      </c>
      <c r="L883" s="338"/>
      <c r="M883" s="565">
        <v>7</v>
      </c>
      <c r="N883" s="565">
        <v>1</v>
      </c>
      <c r="O883" s="566">
        <f t="shared" si="40"/>
        <v>0.14285714285714285</v>
      </c>
      <c r="P883" s="567">
        <f t="shared" si="41"/>
        <v>0.3968253968253968</v>
      </c>
      <c r="Q883" s="568">
        <f t="shared" si="39"/>
        <v>0.3968253968253968</v>
      </c>
      <c r="R883" s="675"/>
    </row>
    <row r="884" spans="1:18" x14ac:dyDescent="0.2">
      <c r="A884" s="558" t="s">
        <v>277</v>
      </c>
      <c r="B884" s="559" t="s">
        <v>914</v>
      </c>
      <c r="C884" s="573" t="s">
        <v>99</v>
      </c>
      <c r="D884" s="327" t="s">
        <v>294</v>
      </c>
      <c r="E884" s="575" t="s">
        <v>1846</v>
      </c>
      <c r="F884" s="561" t="s">
        <v>109</v>
      </c>
      <c r="G884" s="562" t="s">
        <v>956</v>
      </c>
      <c r="H884" s="563" t="s">
        <v>924</v>
      </c>
      <c r="I884" s="578" t="s">
        <v>925</v>
      </c>
      <c r="J884" s="564" t="s">
        <v>757</v>
      </c>
      <c r="K884" s="561">
        <v>80</v>
      </c>
      <c r="L884" s="338"/>
      <c r="M884" s="565">
        <v>8</v>
      </c>
      <c r="N884" s="565">
        <v>3</v>
      </c>
      <c r="O884" s="566">
        <f t="shared" si="40"/>
        <v>0.375</v>
      </c>
      <c r="P884" s="567">
        <f t="shared" si="41"/>
        <v>0.46875</v>
      </c>
      <c r="Q884" s="568">
        <f t="shared" si="39"/>
        <v>0.46875</v>
      </c>
      <c r="R884" s="675"/>
    </row>
    <row r="885" spans="1:18" x14ac:dyDescent="0.2">
      <c r="A885" s="558" t="s">
        <v>277</v>
      </c>
      <c r="B885" s="559" t="s">
        <v>914</v>
      </c>
      <c r="C885" s="573" t="s">
        <v>99</v>
      </c>
      <c r="D885" s="327" t="s">
        <v>282</v>
      </c>
      <c r="E885" s="575" t="s">
        <v>1846</v>
      </c>
      <c r="F885" s="561" t="s">
        <v>109</v>
      </c>
      <c r="G885" s="562" t="s">
        <v>956</v>
      </c>
      <c r="H885" s="563" t="s">
        <v>924</v>
      </c>
      <c r="I885" s="578" t="s">
        <v>925</v>
      </c>
      <c r="J885" s="564" t="s">
        <v>757</v>
      </c>
      <c r="K885" s="561">
        <v>0</v>
      </c>
      <c r="L885" s="338" t="s">
        <v>926</v>
      </c>
      <c r="M885" s="565">
        <v>4</v>
      </c>
      <c r="N885" s="565">
        <v>1</v>
      </c>
      <c r="O885" s="566">
        <f t="shared" si="40"/>
        <v>0.25</v>
      </c>
      <c r="P885" s="567">
        <f t="shared" si="41"/>
        <v>0</v>
      </c>
      <c r="Q885" s="568" t="e">
        <f t="shared" si="39"/>
        <v>#DIV/0!</v>
      </c>
      <c r="R885" s="676" t="s">
        <v>926</v>
      </c>
    </row>
    <row r="886" spans="1:18" x14ac:dyDescent="0.2">
      <c r="A886" s="558" t="s">
        <v>277</v>
      </c>
      <c r="B886" s="559" t="s">
        <v>914</v>
      </c>
      <c r="C886" s="573" t="s">
        <v>99</v>
      </c>
      <c r="D886" s="327" t="s">
        <v>285</v>
      </c>
      <c r="E886" s="575" t="s">
        <v>1846</v>
      </c>
      <c r="F886" s="561" t="s">
        <v>109</v>
      </c>
      <c r="G886" s="562" t="s">
        <v>956</v>
      </c>
      <c r="H886" s="563" t="s">
        <v>924</v>
      </c>
      <c r="I886" s="578" t="s">
        <v>925</v>
      </c>
      <c r="J886" s="564" t="s">
        <v>757</v>
      </c>
      <c r="K886" s="561">
        <v>0</v>
      </c>
      <c r="L886" s="338" t="s">
        <v>926</v>
      </c>
      <c r="M886" s="565">
        <v>1</v>
      </c>
      <c r="N886" s="565">
        <v>0</v>
      </c>
      <c r="O886" s="566">
        <f t="shared" si="40"/>
        <v>0</v>
      </c>
      <c r="P886" s="567">
        <f t="shared" si="41"/>
        <v>0</v>
      </c>
      <c r="Q886" s="568" t="e">
        <f t="shared" si="39"/>
        <v>#DIV/0!</v>
      </c>
      <c r="R886" s="676" t="s">
        <v>926</v>
      </c>
    </row>
    <row r="887" spans="1:18" x14ac:dyDescent="0.2">
      <c r="A887" s="558" t="s">
        <v>277</v>
      </c>
      <c r="B887" s="559" t="s">
        <v>914</v>
      </c>
      <c r="C887" s="573" t="s">
        <v>296</v>
      </c>
      <c r="D887" s="327" t="s">
        <v>300</v>
      </c>
      <c r="E887" s="575" t="s">
        <v>1847</v>
      </c>
      <c r="F887" s="561" t="s">
        <v>109</v>
      </c>
      <c r="G887" s="562" t="s">
        <v>956</v>
      </c>
      <c r="H887" s="563" t="s">
        <v>927</v>
      </c>
      <c r="I887" s="578" t="s">
        <v>925</v>
      </c>
      <c r="J887" s="564" t="s">
        <v>757</v>
      </c>
      <c r="K887" s="561">
        <v>13</v>
      </c>
      <c r="L887" s="338"/>
      <c r="M887" s="565">
        <v>0</v>
      </c>
      <c r="N887" s="565">
        <v>0</v>
      </c>
      <c r="O887" s="566">
        <f t="shared" si="40"/>
        <v>0</v>
      </c>
      <c r="P887" s="567">
        <f t="shared" si="41"/>
        <v>0</v>
      </c>
      <c r="Q887" s="568" t="e">
        <f t="shared" si="39"/>
        <v>#DIV/0!</v>
      </c>
      <c r="R887" s="676" t="s">
        <v>1919</v>
      </c>
    </row>
    <row r="888" spans="1:18" x14ac:dyDescent="0.2">
      <c r="A888" s="558" t="s">
        <v>277</v>
      </c>
      <c r="B888" s="559" t="s">
        <v>914</v>
      </c>
      <c r="C888" s="573" t="s">
        <v>296</v>
      </c>
      <c r="D888" s="327" t="s">
        <v>292</v>
      </c>
      <c r="E888" s="575" t="s">
        <v>1847</v>
      </c>
      <c r="F888" s="561" t="s">
        <v>109</v>
      </c>
      <c r="G888" s="562" t="s">
        <v>956</v>
      </c>
      <c r="H888" s="563" t="s">
        <v>924</v>
      </c>
      <c r="I888" s="578" t="s">
        <v>925</v>
      </c>
      <c r="J888" s="564" t="s">
        <v>757</v>
      </c>
      <c r="K888" s="561">
        <v>0</v>
      </c>
      <c r="L888" s="338" t="s">
        <v>926</v>
      </c>
      <c r="M888" s="565">
        <v>3</v>
      </c>
      <c r="N888" s="565">
        <v>1</v>
      </c>
      <c r="O888" s="566">
        <f t="shared" si="40"/>
        <v>0.33333333333333331</v>
      </c>
      <c r="P888" s="567">
        <f t="shared" si="41"/>
        <v>0</v>
      </c>
      <c r="Q888" s="568" t="e">
        <f t="shared" si="39"/>
        <v>#DIV/0!</v>
      </c>
      <c r="R888" s="676" t="s">
        <v>926</v>
      </c>
    </row>
    <row r="889" spans="1:18" x14ac:dyDescent="0.2">
      <c r="A889" s="558" t="s">
        <v>277</v>
      </c>
      <c r="B889" s="559" t="s">
        <v>914</v>
      </c>
      <c r="C889" s="573" t="s">
        <v>296</v>
      </c>
      <c r="D889" s="327" t="s">
        <v>294</v>
      </c>
      <c r="E889" s="575" t="s">
        <v>1848</v>
      </c>
      <c r="F889" s="561" t="s">
        <v>109</v>
      </c>
      <c r="G889" s="562" t="s">
        <v>956</v>
      </c>
      <c r="H889" s="563" t="s">
        <v>924</v>
      </c>
      <c r="I889" s="578" t="s">
        <v>925</v>
      </c>
      <c r="J889" s="564" t="s">
        <v>757</v>
      </c>
      <c r="K889" s="561">
        <v>0</v>
      </c>
      <c r="L889" s="338" t="s">
        <v>926</v>
      </c>
      <c r="M889" s="565">
        <v>1</v>
      </c>
      <c r="N889" s="565">
        <v>0</v>
      </c>
      <c r="O889" s="566">
        <f t="shared" si="40"/>
        <v>0</v>
      </c>
      <c r="P889" s="567">
        <f t="shared" si="41"/>
        <v>0</v>
      </c>
      <c r="Q889" s="568" t="e">
        <f t="shared" si="39"/>
        <v>#DIV/0!</v>
      </c>
      <c r="R889" s="676" t="s">
        <v>926</v>
      </c>
    </row>
    <row r="890" spans="1:18" x14ac:dyDescent="0.2">
      <c r="A890" s="558" t="s">
        <v>277</v>
      </c>
      <c r="B890" s="559" t="s">
        <v>914</v>
      </c>
      <c r="C890" s="573" t="s">
        <v>296</v>
      </c>
      <c r="D890" s="327" t="s">
        <v>282</v>
      </c>
      <c r="E890" s="575" t="s">
        <v>1848</v>
      </c>
      <c r="F890" s="561" t="s">
        <v>109</v>
      </c>
      <c r="G890" s="562" t="s">
        <v>956</v>
      </c>
      <c r="H890" s="563" t="s">
        <v>924</v>
      </c>
      <c r="I890" s="578" t="s">
        <v>925</v>
      </c>
      <c r="J890" s="564" t="s">
        <v>757</v>
      </c>
      <c r="K890" s="561">
        <v>0</v>
      </c>
      <c r="L890" s="338" t="s">
        <v>926</v>
      </c>
      <c r="M890" s="565">
        <v>2</v>
      </c>
      <c r="N890" s="565">
        <v>1</v>
      </c>
      <c r="O890" s="566">
        <f t="shared" si="40"/>
        <v>0.5</v>
      </c>
      <c r="P890" s="567">
        <f t="shared" si="41"/>
        <v>0</v>
      </c>
      <c r="Q890" s="568" t="e">
        <f t="shared" si="39"/>
        <v>#DIV/0!</v>
      </c>
      <c r="R890" s="676" t="s">
        <v>926</v>
      </c>
    </row>
    <row r="891" spans="1:18" x14ac:dyDescent="0.2">
      <c r="A891" s="558" t="s">
        <v>277</v>
      </c>
      <c r="B891" s="559" t="s">
        <v>914</v>
      </c>
      <c r="C891" s="573" t="s">
        <v>296</v>
      </c>
      <c r="D891" s="327" t="s">
        <v>285</v>
      </c>
      <c r="E891" s="575" t="s">
        <v>1715</v>
      </c>
      <c r="F891" s="561" t="s">
        <v>109</v>
      </c>
      <c r="G891" s="562" t="s">
        <v>956</v>
      </c>
      <c r="H891" s="563" t="s">
        <v>924</v>
      </c>
      <c r="I891" s="578" t="s">
        <v>925</v>
      </c>
      <c r="J891" s="564" t="s">
        <v>757</v>
      </c>
      <c r="K891" s="561">
        <v>25</v>
      </c>
      <c r="L891" s="338"/>
      <c r="M891" s="565">
        <v>11</v>
      </c>
      <c r="N891" s="565">
        <v>3</v>
      </c>
      <c r="O891" s="566">
        <f t="shared" si="40"/>
        <v>0.27272727272727271</v>
      </c>
      <c r="P891" s="567">
        <f t="shared" si="41"/>
        <v>1.0909090909090908</v>
      </c>
      <c r="Q891" s="568">
        <f t="shared" si="39"/>
        <v>1.0909090909090908</v>
      </c>
      <c r="R891" s="675"/>
    </row>
    <row r="892" spans="1:18" x14ac:dyDescent="0.2">
      <c r="A892" s="558" t="s">
        <v>277</v>
      </c>
      <c r="B892" s="559" t="s">
        <v>914</v>
      </c>
      <c r="C892" s="573" t="s">
        <v>296</v>
      </c>
      <c r="D892" s="327" t="s">
        <v>298</v>
      </c>
      <c r="E892" s="575" t="s">
        <v>1715</v>
      </c>
      <c r="F892" s="561" t="s">
        <v>109</v>
      </c>
      <c r="G892" s="562" t="s">
        <v>956</v>
      </c>
      <c r="H892" s="563" t="s">
        <v>924</v>
      </c>
      <c r="I892" s="578" t="s">
        <v>925</v>
      </c>
      <c r="J892" s="564" t="s">
        <v>757</v>
      </c>
      <c r="K892" s="561">
        <v>10</v>
      </c>
      <c r="L892" s="338"/>
      <c r="M892" s="565">
        <v>20</v>
      </c>
      <c r="N892" s="565">
        <v>7</v>
      </c>
      <c r="O892" s="566">
        <f t="shared" si="40"/>
        <v>0.35</v>
      </c>
      <c r="P892" s="567">
        <f t="shared" si="41"/>
        <v>3.5</v>
      </c>
      <c r="Q892" s="568">
        <f t="shared" si="39"/>
        <v>3.5</v>
      </c>
      <c r="R892" s="675"/>
    </row>
    <row r="893" spans="1:18" x14ac:dyDescent="0.2">
      <c r="A893" s="558" t="s">
        <v>277</v>
      </c>
      <c r="B893" s="559" t="s">
        <v>914</v>
      </c>
      <c r="C893" s="573" t="s">
        <v>316</v>
      </c>
      <c r="D893" s="327" t="s">
        <v>292</v>
      </c>
      <c r="E893" s="575" t="s">
        <v>1849</v>
      </c>
      <c r="F893" s="561" t="s">
        <v>109</v>
      </c>
      <c r="G893" s="562" t="s">
        <v>956</v>
      </c>
      <c r="H893" s="563" t="s">
        <v>924</v>
      </c>
      <c r="I893" s="578" t="s">
        <v>925</v>
      </c>
      <c r="J893" s="564" t="s">
        <v>757</v>
      </c>
      <c r="K893" s="561">
        <v>0</v>
      </c>
      <c r="L893" s="338" t="s">
        <v>926</v>
      </c>
      <c r="M893" s="565">
        <v>0</v>
      </c>
      <c r="N893" s="565">
        <v>0</v>
      </c>
      <c r="O893" s="566">
        <f t="shared" si="40"/>
        <v>0</v>
      </c>
      <c r="P893" s="567">
        <f t="shared" si="41"/>
        <v>0</v>
      </c>
      <c r="Q893" s="568" t="e">
        <f t="shared" si="39"/>
        <v>#DIV/0!</v>
      </c>
      <c r="R893" s="676" t="s">
        <v>1919</v>
      </c>
    </row>
    <row r="894" spans="1:18" x14ac:dyDescent="0.2">
      <c r="A894" s="558" t="s">
        <v>277</v>
      </c>
      <c r="B894" s="559" t="s">
        <v>914</v>
      </c>
      <c r="C894" s="573" t="s">
        <v>316</v>
      </c>
      <c r="D894" s="327" t="s">
        <v>294</v>
      </c>
      <c r="E894" s="575" t="s">
        <v>1849</v>
      </c>
      <c r="F894" s="561" t="s">
        <v>109</v>
      </c>
      <c r="G894" s="562" t="s">
        <v>956</v>
      </c>
      <c r="H894" s="563" t="s">
        <v>924</v>
      </c>
      <c r="I894" s="578" t="s">
        <v>925</v>
      </c>
      <c r="J894" s="564" t="s">
        <v>757</v>
      </c>
      <c r="K894" s="561">
        <v>0</v>
      </c>
      <c r="L894" s="338" t="s">
        <v>926</v>
      </c>
      <c r="M894" s="565">
        <v>0</v>
      </c>
      <c r="N894" s="565">
        <v>0</v>
      </c>
      <c r="O894" s="566">
        <f t="shared" si="40"/>
        <v>0</v>
      </c>
      <c r="P894" s="567">
        <f t="shared" si="41"/>
        <v>0</v>
      </c>
      <c r="Q894" s="568" t="e">
        <f t="shared" si="39"/>
        <v>#DIV/0!</v>
      </c>
      <c r="R894" s="676" t="s">
        <v>1919</v>
      </c>
    </row>
    <row r="895" spans="1:18" x14ac:dyDescent="0.2">
      <c r="A895" s="558" t="s">
        <v>277</v>
      </c>
      <c r="B895" s="559" t="s">
        <v>914</v>
      </c>
      <c r="C895" s="573" t="s">
        <v>308</v>
      </c>
      <c r="D895" s="327" t="s">
        <v>300</v>
      </c>
      <c r="E895" s="575" t="s">
        <v>1715</v>
      </c>
      <c r="F895" s="561" t="s">
        <v>109</v>
      </c>
      <c r="G895" s="562" t="s">
        <v>956</v>
      </c>
      <c r="H895" s="563" t="s">
        <v>927</v>
      </c>
      <c r="I895" s="578" t="s">
        <v>925</v>
      </c>
      <c r="J895" s="564" t="s">
        <v>757</v>
      </c>
      <c r="K895" s="561">
        <v>38</v>
      </c>
      <c r="L895" s="338"/>
      <c r="M895" s="565">
        <v>51</v>
      </c>
      <c r="N895" s="565">
        <v>3</v>
      </c>
      <c r="O895" s="566">
        <f t="shared" si="40"/>
        <v>5.8823529411764705E-2</v>
      </c>
      <c r="P895" s="567">
        <f t="shared" si="41"/>
        <v>0.15479876160990713</v>
      </c>
      <c r="Q895" s="568">
        <f t="shared" si="39"/>
        <v>0.15479876160990713</v>
      </c>
      <c r="R895" s="675"/>
    </row>
    <row r="896" spans="1:18" x14ac:dyDescent="0.2">
      <c r="A896" s="558" t="s">
        <v>277</v>
      </c>
      <c r="B896" s="559" t="s">
        <v>914</v>
      </c>
      <c r="C896" s="573" t="s">
        <v>308</v>
      </c>
      <c r="D896" s="327" t="s">
        <v>292</v>
      </c>
      <c r="E896" s="575" t="s">
        <v>1850</v>
      </c>
      <c r="F896" s="561" t="s">
        <v>109</v>
      </c>
      <c r="G896" s="562" t="s">
        <v>956</v>
      </c>
      <c r="H896" s="563" t="s">
        <v>924</v>
      </c>
      <c r="I896" s="578" t="s">
        <v>925</v>
      </c>
      <c r="J896" s="564" t="s">
        <v>757</v>
      </c>
      <c r="K896" s="561">
        <v>0</v>
      </c>
      <c r="L896" s="338" t="s">
        <v>926</v>
      </c>
      <c r="M896" s="565">
        <v>7</v>
      </c>
      <c r="N896" s="565">
        <v>2</v>
      </c>
      <c r="O896" s="566">
        <f t="shared" si="40"/>
        <v>0.2857142857142857</v>
      </c>
      <c r="P896" s="567">
        <f t="shared" si="41"/>
        <v>0</v>
      </c>
      <c r="Q896" s="568" t="e">
        <f t="shared" si="39"/>
        <v>#DIV/0!</v>
      </c>
      <c r="R896" s="676" t="s">
        <v>926</v>
      </c>
    </row>
    <row r="897" spans="1:18" x14ac:dyDescent="0.2">
      <c r="A897" s="558" t="s">
        <v>277</v>
      </c>
      <c r="B897" s="559" t="s">
        <v>914</v>
      </c>
      <c r="C897" s="573" t="s">
        <v>308</v>
      </c>
      <c r="D897" s="327" t="s">
        <v>294</v>
      </c>
      <c r="E897" s="575" t="s">
        <v>1850</v>
      </c>
      <c r="F897" s="561" t="s">
        <v>109</v>
      </c>
      <c r="G897" s="562" t="s">
        <v>956</v>
      </c>
      <c r="H897" s="563" t="s">
        <v>924</v>
      </c>
      <c r="I897" s="578" t="s">
        <v>925</v>
      </c>
      <c r="J897" s="564" t="s">
        <v>757</v>
      </c>
      <c r="K897" s="561">
        <v>0</v>
      </c>
      <c r="L897" s="338" t="s">
        <v>926</v>
      </c>
      <c r="M897" s="565">
        <v>1</v>
      </c>
      <c r="N897" s="565">
        <v>0</v>
      </c>
      <c r="O897" s="566">
        <f t="shared" si="40"/>
        <v>0</v>
      </c>
      <c r="P897" s="567">
        <f t="shared" si="41"/>
        <v>0</v>
      </c>
      <c r="Q897" s="568" t="e">
        <f t="shared" si="39"/>
        <v>#DIV/0!</v>
      </c>
      <c r="R897" s="676" t="s">
        <v>926</v>
      </c>
    </row>
    <row r="898" spans="1:18" x14ac:dyDescent="0.2">
      <c r="A898" s="558" t="s">
        <v>277</v>
      </c>
      <c r="B898" s="559" t="s">
        <v>914</v>
      </c>
      <c r="C898" s="573" t="s">
        <v>305</v>
      </c>
      <c r="D898" s="327" t="s">
        <v>300</v>
      </c>
      <c r="E898" s="575" t="s">
        <v>1715</v>
      </c>
      <c r="F898" s="561" t="s">
        <v>109</v>
      </c>
      <c r="G898" s="562" t="s">
        <v>956</v>
      </c>
      <c r="H898" s="563" t="s">
        <v>927</v>
      </c>
      <c r="I898" s="578" t="s">
        <v>925</v>
      </c>
      <c r="J898" s="564" t="s">
        <v>757</v>
      </c>
      <c r="K898" s="561">
        <v>5</v>
      </c>
      <c r="L898" s="338"/>
      <c r="M898" s="565">
        <v>568</v>
      </c>
      <c r="N898" s="565">
        <v>24</v>
      </c>
      <c r="O898" s="566">
        <f t="shared" si="40"/>
        <v>4.2253521126760563E-2</v>
      </c>
      <c r="P898" s="567">
        <f t="shared" si="41"/>
        <v>0.84507042253521125</v>
      </c>
      <c r="Q898" s="568">
        <f t="shared" si="39"/>
        <v>0.84507042253521136</v>
      </c>
      <c r="R898" s="675"/>
    </row>
    <row r="899" spans="1:18" x14ac:dyDescent="0.2">
      <c r="A899" s="558" t="s">
        <v>277</v>
      </c>
      <c r="B899" s="559" t="s">
        <v>914</v>
      </c>
      <c r="C899" s="573" t="s">
        <v>305</v>
      </c>
      <c r="D899" s="327" t="s">
        <v>292</v>
      </c>
      <c r="E899" s="575" t="s">
        <v>1715</v>
      </c>
      <c r="F899" s="561" t="s">
        <v>109</v>
      </c>
      <c r="G899" s="562" t="s">
        <v>956</v>
      </c>
      <c r="H899" s="563" t="s">
        <v>924</v>
      </c>
      <c r="I899" s="578" t="s">
        <v>925</v>
      </c>
      <c r="J899" s="564" t="s">
        <v>757</v>
      </c>
      <c r="K899" s="561">
        <v>32</v>
      </c>
      <c r="L899" s="338"/>
      <c r="M899" s="565">
        <v>85</v>
      </c>
      <c r="N899" s="565">
        <v>22</v>
      </c>
      <c r="O899" s="566">
        <f t="shared" si="40"/>
        <v>0.25882352941176473</v>
      </c>
      <c r="P899" s="567">
        <f t="shared" si="41"/>
        <v>0.80882352941176472</v>
      </c>
      <c r="Q899" s="568">
        <f t="shared" si="39"/>
        <v>0.80882352941176472</v>
      </c>
      <c r="R899" s="675"/>
    </row>
    <row r="900" spans="1:18" x14ac:dyDescent="0.2">
      <c r="A900" s="558" t="s">
        <v>277</v>
      </c>
      <c r="B900" s="559" t="s">
        <v>914</v>
      </c>
      <c r="C900" s="573" t="s">
        <v>305</v>
      </c>
      <c r="D900" s="327" t="s">
        <v>294</v>
      </c>
      <c r="E900" s="575" t="s">
        <v>1851</v>
      </c>
      <c r="F900" s="561" t="s">
        <v>109</v>
      </c>
      <c r="G900" s="562" t="s">
        <v>956</v>
      </c>
      <c r="H900" s="563" t="s">
        <v>924</v>
      </c>
      <c r="I900" s="578" t="s">
        <v>925</v>
      </c>
      <c r="J900" s="564" t="s">
        <v>757</v>
      </c>
      <c r="K900" s="561">
        <v>33</v>
      </c>
      <c r="L900" s="338"/>
      <c r="M900" s="565">
        <v>24</v>
      </c>
      <c r="N900" s="565">
        <v>8</v>
      </c>
      <c r="O900" s="566">
        <f t="shared" si="40"/>
        <v>0.33333333333333331</v>
      </c>
      <c r="P900" s="567">
        <f t="shared" si="41"/>
        <v>1.0101010101010102</v>
      </c>
      <c r="Q900" s="568">
        <f t="shared" si="39"/>
        <v>1.0101010101010102</v>
      </c>
      <c r="R900" s="675"/>
    </row>
    <row r="901" spans="1:18" x14ac:dyDescent="0.2">
      <c r="A901" s="558" t="s">
        <v>277</v>
      </c>
      <c r="B901" s="559" t="s">
        <v>914</v>
      </c>
      <c r="C901" s="573" t="s">
        <v>305</v>
      </c>
      <c r="D901" s="327" t="s">
        <v>285</v>
      </c>
      <c r="E901" s="575" t="s">
        <v>1851</v>
      </c>
      <c r="F901" s="561" t="s">
        <v>109</v>
      </c>
      <c r="G901" s="562" t="s">
        <v>956</v>
      </c>
      <c r="H901" s="563" t="s">
        <v>924</v>
      </c>
      <c r="I901" s="578" t="s">
        <v>925</v>
      </c>
      <c r="J901" s="564" t="s">
        <v>757</v>
      </c>
      <c r="K901" s="561">
        <v>0</v>
      </c>
      <c r="L901" s="338" t="s">
        <v>926</v>
      </c>
      <c r="M901" s="565">
        <v>2</v>
      </c>
      <c r="N901" s="565">
        <v>1</v>
      </c>
      <c r="O901" s="566">
        <f t="shared" si="40"/>
        <v>0.5</v>
      </c>
      <c r="P901" s="567">
        <f t="shared" si="41"/>
        <v>0</v>
      </c>
      <c r="Q901" s="568" t="e">
        <f t="shared" ref="Q901:Q964" si="42">N901/(M901*K901/100)</f>
        <v>#DIV/0!</v>
      </c>
      <c r="R901" s="676" t="s">
        <v>926</v>
      </c>
    </row>
    <row r="902" spans="1:18" x14ac:dyDescent="0.2">
      <c r="A902" s="558" t="s">
        <v>277</v>
      </c>
      <c r="B902" s="559" t="s">
        <v>914</v>
      </c>
      <c r="C902" s="573" t="s">
        <v>916</v>
      </c>
      <c r="D902" s="330" t="s">
        <v>300</v>
      </c>
      <c r="E902" s="575" t="s">
        <v>1852</v>
      </c>
      <c r="F902" s="561" t="s">
        <v>109</v>
      </c>
      <c r="G902" s="562" t="s">
        <v>937</v>
      </c>
      <c r="H902" s="563" t="s">
        <v>957</v>
      </c>
      <c r="I902" s="578" t="s">
        <v>925</v>
      </c>
      <c r="J902" s="564" t="s">
        <v>757</v>
      </c>
      <c r="K902" s="561">
        <v>10</v>
      </c>
      <c r="L902" s="338"/>
      <c r="M902" s="565">
        <v>548</v>
      </c>
      <c r="N902" s="565">
        <v>30</v>
      </c>
      <c r="O902" s="566">
        <f t="shared" ref="O902:O965" si="43">IFERROR(N902/M902,0)</f>
        <v>5.4744525547445258E-2</v>
      </c>
      <c r="P902" s="567">
        <f t="shared" ref="P902:P965" si="44">IFERROR(N902/(M902*(K902/100)),0)</f>
        <v>0.54744525547445255</v>
      </c>
      <c r="Q902" s="568">
        <f t="shared" si="42"/>
        <v>0.54744525547445255</v>
      </c>
      <c r="R902" s="675"/>
    </row>
    <row r="903" spans="1:18" x14ac:dyDescent="0.2">
      <c r="A903" s="558" t="s">
        <v>277</v>
      </c>
      <c r="B903" s="559" t="s">
        <v>914</v>
      </c>
      <c r="C903" s="573" t="s">
        <v>916</v>
      </c>
      <c r="D903" s="330" t="s">
        <v>292</v>
      </c>
      <c r="E903" s="575" t="s">
        <v>1852</v>
      </c>
      <c r="F903" s="561" t="s">
        <v>109</v>
      </c>
      <c r="G903" s="562" t="s">
        <v>937</v>
      </c>
      <c r="H903" s="563" t="s">
        <v>957</v>
      </c>
      <c r="I903" s="578" t="s">
        <v>925</v>
      </c>
      <c r="J903" s="564" t="s">
        <v>757</v>
      </c>
      <c r="K903" s="561">
        <v>10</v>
      </c>
      <c r="L903" s="338"/>
      <c r="M903" s="565">
        <v>95</v>
      </c>
      <c r="N903" s="565">
        <v>5</v>
      </c>
      <c r="O903" s="566">
        <f t="shared" si="43"/>
        <v>5.2631578947368418E-2</v>
      </c>
      <c r="P903" s="567">
        <f t="shared" si="44"/>
        <v>0.52631578947368418</v>
      </c>
      <c r="Q903" s="568">
        <f t="shared" si="42"/>
        <v>0.52631578947368418</v>
      </c>
      <c r="R903" s="675"/>
    </row>
    <row r="904" spans="1:18" x14ac:dyDescent="0.2">
      <c r="A904" s="558" t="s">
        <v>277</v>
      </c>
      <c r="B904" s="559" t="s">
        <v>914</v>
      </c>
      <c r="C904" s="573" t="s">
        <v>916</v>
      </c>
      <c r="D904" s="330" t="s">
        <v>294</v>
      </c>
      <c r="E904" s="575" t="s">
        <v>1852</v>
      </c>
      <c r="F904" s="561" t="s">
        <v>109</v>
      </c>
      <c r="G904" s="562" t="s">
        <v>937</v>
      </c>
      <c r="H904" s="563" t="s">
        <v>957</v>
      </c>
      <c r="I904" s="578" t="s">
        <v>925</v>
      </c>
      <c r="J904" s="564" t="s">
        <v>757</v>
      </c>
      <c r="K904" s="561">
        <v>10</v>
      </c>
      <c r="L904" s="338"/>
      <c r="M904" s="565">
        <v>18</v>
      </c>
      <c r="N904" s="565">
        <v>2</v>
      </c>
      <c r="O904" s="566">
        <f t="shared" si="43"/>
        <v>0.1111111111111111</v>
      </c>
      <c r="P904" s="567">
        <f t="shared" si="44"/>
        <v>1.1111111111111112</v>
      </c>
      <c r="Q904" s="568">
        <f t="shared" si="42"/>
        <v>1.1111111111111112</v>
      </c>
      <c r="R904" s="675"/>
    </row>
    <row r="905" spans="1:18" x14ac:dyDescent="0.2">
      <c r="A905" s="558" t="s">
        <v>277</v>
      </c>
      <c r="B905" s="559" t="s">
        <v>914</v>
      </c>
      <c r="C905" s="573" t="s">
        <v>916</v>
      </c>
      <c r="D905" s="330" t="s">
        <v>282</v>
      </c>
      <c r="E905" s="575" t="s">
        <v>1852</v>
      </c>
      <c r="F905" s="561" t="s">
        <v>109</v>
      </c>
      <c r="G905" s="562" t="s">
        <v>937</v>
      </c>
      <c r="H905" s="563" t="s">
        <v>957</v>
      </c>
      <c r="I905" s="578" t="s">
        <v>925</v>
      </c>
      <c r="J905" s="564" t="s">
        <v>757</v>
      </c>
      <c r="K905" s="561">
        <v>10</v>
      </c>
      <c r="L905" s="338"/>
      <c r="M905" s="565">
        <v>7</v>
      </c>
      <c r="N905" s="565">
        <v>1</v>
      </c>
      <c r="O905" s="566">
        <f t="shared" si="43"/>
        <v>0.14285714285714285</v>
      </c>
      <c r="P905" s="567">
        <f t="shared" si="44"/>
        <v>1.4285714285714284</v>
      </c>
      <c r="Q905" s="568">
        <f t="shared" si="42"/>
        <v>1.4285714285714286</v>
      </c>
      <c r="R905" s="675"/>
    </row>
    <row r="906" spans="1:18" x14ac:dyDescent="0.2">
      <c r="A906" s="558" t="s">
        <v>277</v>
      </c>
      <c r="B906" s="559" t="s">
        <v>914</v>
      </c>
      <c r="C906" s="573" t="s">
        <v>916</v>
      </c>
      <c r="D906" s="330" t="s">
        <v>285</v>
      </c>
      <c r="E906" s="575" t="s">
        <v>1852</v>
      </c>
      <c r="F906" s="561" t="s">
        <v>109</v>
      </c>
      <c r="G906" s="562" t="s">
        <v>937</v>
      </c>
      <c r="H906" s="563" t="s">
        <v>957</v>
      </c>
      <c r="I906" s="578" t="s">
        <v>925</v>
      </c>
      <c r="J906" s="564" t="s">
        <v>757</v>
      </c>
      <c r="K906" s="561">
        <v>10</v>
      </c>
      <c r="L906" s="338"/>
      <c r="M906" s="565">
        <v>6</v>
      </c>
      <c r="N906" s="565">
        <v>1</v>
      </c>
      <c r="O906" s="566">
        <f t="shared" si="43"/>
        <v>0.16666666666666666</v>
      </c>
      <c r="P906" s="567">
        <f t="shared" si="44"/>
        <v>1.6666666666666665</v>
      </c>
      <c r="Q906" s="568">
        <f t="shared" si="42"/>
        <v>1.6666666666666667</v>
      </c>
      <c r="R906" s="675"/>
    </row>
    <row r="907" spans="1:18" x14ac:dyDescent="0.2">
      <c r="A907" s="558" t="s">
        <v>277</v>
      </c>
      <c r="B907" s="559" t="s">
        <v>914</v>
      </c>
      <c r="C907" s="573" t="s">
        <v>916</v>
      </c>
      <c r="D907" s="330" t="s">
        <v>298</v>
      </c>
      <c r="E907" s="575" t="s">
        <v>1852</v>
      </c>
      <c r="F907" s="561" t="s">
        <v>109</v>
      </c>
      <c r="G907" s="562" t="s">
        <v>937</v>
      </c>
      <c r="H907" s="563" t="s">
        <v>957</v>
      </c>
      <c r="I907" s="578" t="s">
        <v>925</v>
      </c>
      <c r="J907" s="564" t="s">
        <v>757</v>
      </c>
      <c r="K907" s="561">
        <v>10</v>
      </c>
      <c r="L907" s="338"/>
      <c r="M907" s="565">
        <v>0</v>
      </c>
      <c r="N907" s="565">
        <v>0</v>
      </c>
      <c r="O907" s="566">
        <f t="shared" si="43"/>
        <v>0</v>
      </c>
      <c r="P907" s="567">
        <f t="shared" si="44"/>
        <v>0</v>
      </c>
      <c r="Q907" s="568" t="e">
        <f t="shared" si="42"/>
        <v>#DIV/0!</v>
      </c>
      <c r="R907" s="676" t="s">
        <v>1919</v>
      </c>
    </row>
    <row r="908" spans="1:18" x14ac:dyDescent="0.2">
      <c r="A908" s="558" t="s">
        <v>277</v>
      </c>
      <c r="B908" s="559" t="s">
        <v>914</v>
      </c>
      <c r="C908" s="573" t="s">
        <v>916</v>
      </c>
      <c r="D908" s="330" t="s">
        <v>300</v>
      </c>
      <c r="E908" s="575" t="s">
        <v>1852</v>
      </c>
      <c r="F908" s="561" t="s">
        <v>109</v>
      </c>
      <c r="G908" s="562" t="s">
        <v>938</v>
      </c>
      <c r="H908" s="563" t="s">
        <v>7</v>
      </c>
      <c r="I908" s="563" t="s">
        <v>7</v>
      </c>
      <c r="J908" s="563" t="s">
        <v>7</v>
      </c>
      <c r="K908" s="563" t="s">
        <v>7</v>
      </c>
      <c r="L908" s="327" t="s">
        <v>922</v>
      </c>
      <c r="M908" s="565">
        <v>548</v>
      </c>
      <c r="N908" s="579">
        <v>0</v>
      </c>
      <c r="O908" s="566">
        <f t="shared" si="43"/>
        <v>0</v>
      </c>
      <c r="P908" s="567">
        <f t="shared" si="44"/>
        <v>0</v>
      </c>
      <c r="Q908" s="568" t="e">
        <f t="shared" si="42"/>
        <v>#VALUE!</v>
      </c>
      <c r="R908" s="675"/>
    </row>
    <row r="909" spans="1:18" x14ac:dyDescent="0.2">
      <c r="A909" s="558" t="s">
        <v>277</v>
      </c>
      <c r="B909" s="559" t="s">
        <v>914</v>
      </c>
      <c r="C909" s="573" t="s">
        <v>916</v>
      </c>
      <c r="D909" s="330" t="s">
        <v>292</v>
      </c>
      <c r="E909" s="575" t="s">
        <v>1852</v>
      </c>
      <c r="F909" s="561" t="s">
        <v>109</v>
      </c>
      <c r="G909" s="562" t="s">
        <v>938</v>
      </c>
      <c r="H909" s="563" t="s">
        <v>7</v>
      </c>
      <c r="I909" s="563" t="s">
        <v>7</v>
      </c>
      <c r="J909" s="563" t="s">
        <v>7</v>
      </c>
      <c r="K909" s="563" t="s">
        <v>7</v>
      </c>
      <c r="L909" s="327" t="s">
        <v>922</v>
      </c>
      <c r="M909" s="565">
        <v>95</v>
      </c>
      <c r="N909" s="579">
        <v>0</v>
      </c>
      <c r="O909" s="566">
        <f t="shared" si="43"/>
        <v>0</v>
      </c>
      <c r="P909" s="567">
        <f t="shared" si="44"/>
        <v>0</v>
      </c>
      <c r="Q909" s="568" t="e">
        <f t="shared" si="42"/>
        <v>#VALUE!</v>
      </c>
      <c r="R909" s="675"/>
    </row>
    <row r="910" spans="1:18" x14ac:dyDescent="0.2">
      <c r="A910" s="558" t="s">
        <v>277</v>
      </c>
      <c r="B910" s="559" t="s">
        <v>914</v>
      </c>
      <c r="C910" s="573" t="s">
        <v>916</v>
      </c>
      <c r="D910" s="330" t="s">
        <v>294</v>
      </c>
      <c r="E910" s="575" t="s">
        <v>1852</v>
      </c>
      <c r="F910" s="561" t="s">
        <v>109</v>
      </c>
      <c r="G910" s="562" t="s">
        <v>938</v>
      </c>
      <c r="H910" s="563" t="s">
        <v>7</v>
      </c>
      <c r="I910" s="563" t="s">
        <v>7</v>
      </c>
      <c r="J910" s="563" t="s">
        <v>7</v>
      </c>
      <c r="K910" s="563" t="s">
        <v>7</v>
      </c>
      <c r="L910" s="327" t="s">
        <v>922</v>
      </c>
      <c r="M910" s="565">
        <v>18</v>
      </c>
      <c r="N910" s="579">
        <v>0</v>
      </c>
      <c r="O910" s="566">
        <f t="shared" si="43"/>
        <v>0</v>
      </c>
      <c r="P910" s="567">
        <f t="shared" si="44"/>
        <v>0</v>
      </c>
      <c r="Q910" s="568" t="e">
        <f t="shared" si="42"/>
        <v>#VALUE!</v>
      </c>
      <c r="R910" s="675"/>
    </row>
    <row r="911" spans="1:18" x14ac:dyDescent="0.2">
      <c r="A911" s="558" t="s">
        <v>277</v>
      </c>
      <c r="B911" s="559" t="s">
        <v>914</v>
      </c>
      <c r="C911" s="573" t="s">
        <v>916</v>
      </c>
      <c r="D911" s="330" t="s">
        <v>282</v>
      </c>
      <c r="E911" s="575" t="s">
        <v>1852</v>
      </c>
      <c r="F911" s="561" t="s">
        <v>109</v>
      </c>
      <c r="G911" s="562" t="s">
        <v>938</v>
      </c>
      <c r="H911" s="563" t="s">
        <v>7</v>
      </c>
      <c r="I911" s="563" t="s">
        <v>7</v>
      </c>
      <c r="J911" s="563" t="s">
        <v>7</v>
      </c>
      <c r="K911" s="563" t="s">
        <v>7</v>
      </c>
      <c r="L911" s="327" t="s">
        <v>922</v>
      </c>
      <c r="M911" s="565">
        <v>7</v>
      </c>
      <c r="N911" s="579">
        <v>0</v>
      </c>
      <c r="O911" s="566">
        <f t="shared" si="43"/>
        <v>0</v>
      </c>
      <c r="P911" s="567">
        <f t="shared" si="44"/>
        <v>0</v>
      </c>
      <c r="Q911" s="568" t="e">
        <f t="shared" si="42"/>
        <v>#VALUE!</v>
      </c>
      <c r="R911" s="675"/>
    </row>
    <row r="912" spans="1:18" x14ac:dyDescent="0.2">
      <c r="A912" s="558" t="s">
        <v>277</v>
      </c>
      <c r="B912" s="559" t="s">
        <v>914</v>
      </c>
      <c r="C912" s="573" t="s">
        <v>916</v>
      </c>
      <c r="D912" s="330" t="s">
        <v>285</v>
      </c>
      <c r="E912" s="575" t="s">
        <v>1852</v>
      </c>
      <c r="F912" s="561" t="s">
        <v>109</v>
      </c>
      <c r="G912" s="562" t="s">
        <v>938</v>
      </c>
      <c r="H912" s="563" t="s">
        <v>7</v>
      </c>
      <c r="I912" s="563" t="s">
        <v>7</v>
      </c>
      <c r="J912" s="563" t="s">
        <v>7</v>
      </c>
      <c r="K912" s="563" t="s">
        <v>7</v>
      </c>
      <c r="L912" s="327" t="s">
        <v>922</v>
      </c>
      <c r="M912" s="565">
        <v>6</v>
      </c>
      <c r="N912" s="579">
        <v>0</v>
      </c>
      <c r="O912" s="566">
        <f t="shared" si="43"/>
        <v>0</v>
      </c>
      <c r="P912" s="567">
        <f t="shared" si="44"/>
        <v>0</v>
      </c>
      <c r="Q912" s="568" t="e">
        <f t="shared" si="42"/>
        <v>#VALUE!</v>
      </c>
      <c r="R912" s="675"/>
    </row>
    <row r="913" spans="1:18" x14ac:dyDescent="0.2">
      <c r="A913" s="558" t="s">
        <v>277</v>
      </c>
      <c r="B913" s="559" t="s">
        <v>914</v>
      </c>
      <c r="C913" s="573" t="s">
        <v>916</v>
      </c>
      <c r="D913" s="330" t="s">
        <v>298</v>
      </c>
      <c r="E913" s="575" t="s">
        <v>1852</v>
      </c>
      <c r="F913" s="561" t="s">
        <v>109</v>
      </c>
      <c r="G913" s="562" t="s">
        <v>938</v>
      </c>
      <c r="H913" s="563" t="s">
        <v>7</v>
      </c>
      <c r="I913" s="563" t="s">
        <v>7</v>
      </c>
      <c r="J913" s="563" t="s">
        <v>7</v>
      </c>
      <c r="K913" s="563" t="s">
        <v>7</v>
      </c>
      <c r="L913" s="327" t="s">
        <v>922</v>
      </c>
      <c r="M913" s="565">
        <v>0</v>
      </c>
      <c r="N913" s="579">
        <v>0</v>
      </c>
      <c r="O913" s="566">
        <f t="shared" si="43"/>
        <v>0</v>
      </c>
      <c r="P913" s="567">
        <f t="shared" si="44"/>
        <v>0</v>
      </c>
      <c r="Q913" s="568" t="e">
        <f t="shared" si="42"/>
        <v>#VALUE!</v>
      </c>
      <c r="R913" s="676" t="s">
        <v>1919</v>
      </c>
    </row>
    <row r="914" spans="1:18" x14ac:dyDescent="0.2">
      <c r="A914" s="558" t="s">
        <v>277</v>
      </c>
      <c r="B914" s="559" t="s">
        <v>914</v>
      </c>
      <c r="C914" s="573" t="s">
        <v>97</v>
      </c>
      <c r="D914" s="327" t="s">
        <v>282</v>
      </c>
      <c r="E914" s="575" t="s">
        <v>1843</v>
      </c>
      <c r="F914" s="561" t="s">
        <v>109</v>
      </c>
      <c r="G914" s="562" t="s">
        <v>220</v>
      </c>
      <c r="H914" s="562" t="s">
        <v>958</v>
      </c>
      <c r="I914" s="562" t="s">
        <v>919</v>
      </c>
      <c r="J914" s="562" t="s">
        <v>757</v>
      </c>
      <c r="K914" s="561">
        <v>100</v>
      </c>
      <c r="L914" s="562"/>
      <c r="M914" s="565">
        <v>6</v>
      </c>
      <c r="N914" s="565">
        <v>6</v>
      </c>
      <c r="O914" s="566">
        <f t="shared" si="43"/>
        <v>1</v>
      </c>
      <c r="P914" s="567">
        <f t="shared" si="44"/>
        <v>1</v>
      </c>
      <c r="Q914" s="568">
        <f t="shared" si="42"/>
        <v>1</v>
      </c>
      <c r="R914" s="675"/>
    </row>
    <row r="915" spans="1:18" x14ac:dyDescent="0.2">
      <c r="A915" s="558" t="s">
        <v>277</v>
      </c>
      <c r="B915" s="559" t="s">
        <v>914</v>
      </c>
      <c r="C915" s="573" t="s">
        <v>97</v>
      </c>
      <c r="D915" s="327" t="s">
        <v>285</v>
      </c>
      <c r="E915" s="575" t="s">
        <v>1843</v>
      </c>
      <c r="F915" s="561" t="s">
        <v>109</v>
      </c>
      <c r="G915" s="562" t="s">
        <v>220</v>
      </c>
      <c r="H915" s="562" t="s">
        <v>958</v>
      </c>
      <c r="I915" s="562" t="s">
        <v>919</v>
      </c>
      <c r="J915" s="562" t="s">
        <v>757</v>
      </c>
      <c r="K915" s="561">
        <v>100</v>
      </c>
      <c r="L915" s="562"/>
      <c r="M915" s="565">
        <v>8</v>
      </c>
      <c r="N915" s="565">
        <v>8</v>
      </c>
      <c r="O915" s="566">
        <f t="shared" si="43"/>
        <v>1</v>
      </c>
      <c r="P915" s="567">
        <f t="shared" si="44"/>
        <v>1</v>
      </c>
      <c r="Q915" s="568">
        <f t="shared" si="42"/>
        <v>1</v>
      </c>
      <c r="R915" s="675"/>
    </row>
    <row r="916" spans="1:18" x14ac:dyDescent="0.2">
      <c r="A916" s="558" t="s">
        <v>277</v>
      </c>
      <c r="B916" s="559" t="s">
        <v>914</v>
      </c>
      <c r="C916" s="573" t="s">
        <v>286</v>
      </c>
      <c r="D916" s="327" t="s">
        <v>300</v>
      </c>
      <c r="E916" s="575" t="s">
        <v>1715</v>
      </c>
      <c r="F916" s="561" t="s">
        <v>109</v>
      </c>
      <c r="G916" s="562" t="s">
        <v>220</v>
      </c>
      <c r="H916" s="562" t="s">
        <v>958</v>
      </c>
      <c r="I916" s="562" t="s">
        <v>919</v>
      </c>
      <c r="J916" s="562" t="s">
        <v>757</v>
      </c>
      <c r="K916" s="561">
        <v>100</v>
      </c>
      <c r="L916" s="562"/>
      <c r="M916" s="565">
        <v>39</v>
      </c>
      <c r="N916" s="565">
        <v>39</v>
      </c>
      <c r="O916" s="566">
        <f t="shared" si="43"/>
        <v>1</v>
      </c>
      <c r="P916" s="567">
        <f t="shared" si="44"/>
        <v>1</v>
      </c>
      <c r="Q916" s="568">
        <f t="shared" si="42"/>
        <v>1</v>
      </c>
      <c r="R916" s="675"/>
    </row>
    <row r="917" spans="1:18" x14ac:dyDescent="0.2">
      <c r="A917" s="558" t="s">
        <v>277</v>
      </c>
      <c r="B917" s="559" t="s">
        <v>914</v>
      </c>
      <c r="C917" s="573" t="s">
        <v>286</v>
      </c>
      <c r="D917" s="327" t="s">
        <v>292</v>
      </c>
      <c r="E917" s="575" t="s">
        <v>1715</v>
      </c>
      <c r="F917" s="561" t="s">
        <v>109</v>
      </c>
      <c r="G917" s="562" t="s">
        <v>220</v>
      </c>
      <c r="H917" s="562" t="s">
        <v>958</v>
      </c>
      <c r="I917" s="562" t="s">
        <v>919</v>
      </c>
      <c r="J917" s="562" t="s">
        <v>757</v>
      </c>
      <c r="K917" s="561">
        <v>100</v>
      </c>
      <c r="L917" s="562"/>
      <c r="M917" s="565">
        <v>12</v>
      </c>
      <c r="N917" s="565">
        <v>12</v>
      </c>
      <c r="O917" s="566">
        <f t="shared" si="43"/>
        <v>1</v>
      </c>
      <c r="P917" s="567">
        <f t="shared" si="44"/>
        <v>1</v>
      </c>
      <c r="Q917" s="568">
        <f t="shared" si="42"/>
        <v>1</v>
      </c>
      <c r="R917" s="675"/>
    </row>
    <row r="918" spans="1:18" x14ac:dyDescent="0.2">
      <c r="A918" s="558" t="s">
        <v>277</v>
      </c>
      <c r="B918" s="559" t="s">
        <v>914</v>
      </c>
      <c r="C918" s="573" t="s">
        <v>286</v>
      </c>
      <c r="D918" s="327" t="s">
        <v>294</v>
      </c>
      <c r="E918" s="575" t="s">
        <v>1715</v>
      </c>
      <c r="F918" s="561" t="s">
        <v>109</v>
      </c>
      <c r="G918" s="562" t="s">
        <v>220</v>
      </c>
      <c r="H918" s="562" t="s">
        <v>958</v>
      </c>
      <c r="I918" s="562" t="s">
        <v>919</v>
      </c>
      <c r="J918" s="562" t="s">
        <v>757</v>
      </c>
      <c r="K918" s="561">
        <v>100</v>
      </c>
      <c r="L918" s="562"/>
      <c r="M918" s="565">
        <v>40</v>
      </c>
      <c r="N918" s="565">
        <v>40</v>
      </c>
      <c r="O918" s="566">
        <f t="shared" si="43"/>
        <v>1</v>
      </c>
      <c r="P918" s="567">
        <f t="shared" si="44"/>
        <v>1</v>
      </c>
      <c r="Q918" s="568">
        <f t="shared" si="42"/>
        <v>1</v>
      </c>
      <c r="R918" s="675"/>
    </row>
    <row r="919" spans="1:18" x14ac:dyDescent="0.2">
      <c r="A919" s="558" t="s">
        <v>277</v>
      </c>
      <c r="B919" s="559" t="s">
        <v>914</v>
      </c>
      <c r="C919" s="573" t="s">
        <v>286</v>
      </c>
      <c r="D919" s="327" t="s">
        <v>282</v>
      </c>
      <c r="E919" s="575" t="s">
        <v>1715</v>
      </c>
      <c r="F919" s="561" t="s">
        <v>109</v>
      </c>
      <c r="G919" s="562" t="s">
        <v>220</v>
      </c>
      <c r="H919" s="562" t="s">
        <v>958</v>
      </c>
      <c r="I919" s="562" t="s">
        <v>919</v>
      </c>
      <c r="J919" s="562" t="s">
        <v>757</v>
      </c>
      <c r="K919" s="561">
        <v>100</v>
      </c>
      <c r="L919" s="562"/>
      <c r="M919" s="565">
        <v>68</v>
      </c>
      <c r="N919" s="565">
        <v>68</v>
      </c>
      <c r="O919" s="566">
        <f t="shared" si="43"/>
        <v>1</v>
      </c>
      <c r="P919" s="567">
        <f t="shared" si="44"/>
        <v>1</v>
      </c>
      <c r="Q919" s="568">
        <f t="shared" si="42"/>
        <v>1</v>
      </c>
      <c r="R919" s="675"/>
    </row>
    <row r="920" spans="1:18" x14ac:dyDescent="0.2">
      <c r="A920" s="558" t="s">
        <v>277</v>
      </c>
      <c r="B920" s="559" t="s">
        <v>914</v>
      </c>
      <c r="C920" s="573" t="s">
        <v>286</v>
      </c>
      <c r="D920" s="327" t="s">
        <v>285</v>
      </c>
      <c r="E920" s="575" t="s">
        <v>1715</v>
      </c>
      <c r="F920" s="561" t="s">
        <v>109</v>
      </c>
      <c r="G920" s="562" t="s">
        <v>220</v>
      </c>
      <c r="H920" s="562" t="s">
        <v>958</v>
      </c>
      <c r="I920" s="562" t="s">
        <v>919</v>
      </c>
      <c r="J920" s="562" t="s">
        <v>757</v>
      </c>
      <c r="K920" s="561">
        <v>100</v>
      </c>
      <c r="L920" s="562"/>
      <c r="M920" s="565">
        <v>47</v>
      </c>
      <c r="N920" s="565">
        <v>47</v>
      </c>
      <c r="O920" s="566">
        <f t="shared" si="43"/>
        <v>1</v>
      </c>
      <c r="P920" s="567">
        <f t="shared" si="44"/>
        <v>1</v>
      </c>
      <c r="Q920" s="568">
        <f t="shared" si="42"/>
        <v>1</v>
      </c>
      <c r="R920" s="675"/>
    </row>
    <row r="921" spans="1:18" x14ac:dyDescent="0.2">
      <c r="A921" s="558" t="s">
        <v>277</v>
      </c>
      <c r="B921" s="559" t="s">
        <v>914</v>
      </c>
      <c r="C921" s="573" t="s">
        <v>303</v>
      </c>
      <c r="D921" s="327" t="s">
        <v>300</v>
      </c>
      <c r="E921" s="575" t="s">
        <v>1715</v>
      </c>
      <c r="F921" s="561" t="s">
        <v>109</v>
      </c>
      <c r="G921" s="562" t="s">
        <v>220</v>
      </c>
      <c r="H921" s="562" t="s">
        <v>958</v>
      </c>
      <c r="I921" s="562" t="s">
        <v>919</v>
      </c>
      <c r="J921" s="562" t="s">
        <v>757</v>
      </c>
      <c r="K921" s="561">
        <v>100</v>
      </c>
      <c r="L921" s="562"/>
      <c r="M921" s="565">
        <v>144</v>
      </c>
      <c r="N921" s="565">
        <v>144</v>
      </c>
      <c r="O921" s="566">
        <f t="shared" si="43"/>
        <v>1</v>
      </c>
      <c r="P921" s="567">
        <f t="shared" si="44"/>
        <v>1</v>
      </c>
      <c r="Q921" s="568">
        <f t="shared" si="42"/>
        <v>1</v>
      </c>
      <c r="R921" s="675"/>
    </row>
    <row r="922" spans="1:18" x14ac:dyDescent="0.2">
      <c r="A922" s="558" t="s">
        <v>277</v>
      </c>
      <c r="B922" s="559" t="s">
        <v>914</v>
      </c>
      <c r="C922" s="573" t="s">
        <v>303</v>
      </c>
      <c r="D922" s="327" t="s">
        <v>292</v>
      </c>
      <c r="E922" s="575" t="s">
        <v>1844</v>
      </c>
      <c r="F922" s="561" t="s">
        <v>109</v>
      </c>
      <c r="G922" s="562" t="s">
        <v>220</v>
      </c>
      <c r="H922" s="562" t="s">
        <v>958</v>
      </c>
      <c r="I922" s="562" t="s">
        <v>919</v>
      </c>
      <c r="J922" s="562" t="s">
        <v>757</v>
      </c>
      <c r="K922" s="561">
        <v>100</v>
      </c>
      <c r="L922" s="562"/>
      <c r="M922" s="565">
        <v>42</v>
      </c>
      <c r="N922" s="565">
        <v>42</v>
      </c>
      <c r="O922" s="566">
        <f t="shared" si="43"/>
        <v>1</v>
      </c>
      <c r="P922" s="567">
        <f t="shared" si="44"/>
        <v>1</v>
      </c>
      <c r="Q922" s="568">
        <f t="shared" si="42"/>
        <v>1</v>
      </c>
      <c r="R922" s="675"/>
    </row>
    <row r="923" spans="1:18" x14ac:dyDescent="0.2">
      <c r="A923" s="558" t="s">
        <v>277</v>
      </c>
      <c r="B923" s="559" t="s">
        <v>914</v>
      </c>
      <c r="C923" s="573" t="s">
        <v>303</v>
      </c>
      <c r="D923" s="327" t="s">
        <v>294</v>
      </c>
      <c r="E923" s="575" t="s">
        <v>1844</v>
      </c>
      <c r="F923" s="561" t="s">
        <v>109</v>
      </c>
      <c r="G923" s="562" t="s">
        <v>220</v>
      </c>
      <c r="H923" s="562" t="s">
        <v>958</v>
      </c>
      <c r="I923" s="562" t="s">
        <v>919</v>
      </c>
      <c r="J923" s="562" t="s">
        <v>757</v>
      </c>
      <c r="K923" s="561">
        <v>100</v>
      </c>
      <c r="L923" s="562"/>
      <c r="M923" s="565">
        <v>10</v>
      </c>
      <c r="N923" s="565">
        <v>10</v>
      </c>
      <c r="O923" s="566">
        <f t="shared" si="43"/>
        <v>1</v>
      </c>
      <c r="P923" s="567">
        <f t="shared" si="44"/>
        <v>1</v>
      </c>
      <c r="Q923" s="568">
        <f t="shared" si="42"/>
        <v>1</v>
      </c>
      <c r="R923" s="675"/>
    </row>
    <row r="924" spans="1:18" x14ac:dyDescent="0.2">
      <c r="A924" s="558" t="s">
        <v>277</v>
      </c>
      <c r="B924" s="559" t="s">
        <v>914</v>
      </c>
      <c r="C924" s="573" t="s">
        <v>303</v>
      </c>
      <c r="D924" s="327" t="s">
        <v>282</v>
      </c>
      <c r="E924" s="575" t="s">
        <v>1845</v>
      </c>
      <c r="F924" s="561" t="s">
        <v>109</v>
      </c>
      <c r="G924" s="562" t="s">
        <v>220</v>
      </c>
      <c r="H924" s="562" t="s">
        <v>958</v>
      </c>
      <c r="I924" s="562" t="s">
        <v>919</v>
      </c>
      <c r="J924" s="562" t="s">
        <v>757</v>
      </c>
      <c r="K924" s="561">
        <v>100</v>
      </c>
      <c r="L924" s="562"/>
      <c r="M924" s="565">
        <v>2</v>
      </c>
      <c r="N924" s="565">
        <v>2</v>
      </c>
      <c r="O924" s="566">
        <f t="shared" si="43"/>
        <v>1</v>
      </c>
      <c r="P924" s="567">
        <f t="shared" si="44"/>
        <v>1</v>
      </c>
      <c r="Q924" s="568">
        <f t="shared" si="42"/>
        <v>1</v>
      </c>
      <c r="R924" s="675"/>
    </row>
    <row r="925" spans="1:18" x14ac:dyDescent="0.2">
      <c r="A925" s="558" t="s">
        <v>277</v>
      </c>
      <c r="B925" s="559" t="s">
        <v>914</v>
      </c>
      <c r="C925" s="573" t="s">
        <v>303</v>
      </c>
      <c r="D925" s="327" t="s">
        <v>285</v>
      </c>
      <c r="E925" s="575" t="s">
        <v>1845</v>
      </c>
      <c r="F925" s="561" t="s">
        <v>109</v>
      </c>
      <c r="G925" s="562" t="s">
        <v>220</v>
      </c>
      <c r="H925" s="562" t="s">
        <v>958</v>
      </c>
      <c r="I925" s="562" t="s">
        <v>919</v>
      </c>
      <c r="J925" s="562" t="s">
        <v>757</v>
      </c>
      <c r="K925" s="561">
        <v>100</v>
      </c>
      <c r="L925" s="562"/>
      <c r="M925" s="565">
        <v>5</v>
      </c>
      <c r="N925" s="565">
        <v>5</v>
      </c>
      <c r="O925" s="566">
        <f t="shared" si="43"/>
        <v>1</v>
      </c>
      <c r="P925" s="567">
        <f t="shared" si="44"/>
        <v>1</v>
      </c>
      <c r="Q925" s="568">
        <f t="shared" si="42"/>
        <v>1</v>
      </c>
      <c r="R925" s="675"/>
    </row>
    <row r="926" spans="1:18" x14ac:dyDescent="0.2">
      <c r="A926" s="558" t="s">
        <v>277</v>
      </c>
      <c r="B926" s="559" t="s">
        <v>914</v>
      </c>
      <c r="C926" s="573" t="s">
        <v>99</v>
      </c>
      <c r="D926" s="327" t="s">
        <v>300</v>
      </c>
      <c r="E926" s="575" t="s">
        <v>1715</v>
      </c>
      <c r="F926" s="561" t="s">
        <v>109</v>
      </c>
      <c r="G926" s="562" t="s">
        <v>220</v>
      </c>
      <c r="H926" s="562" t="s">
        <v>958</v>
      </c>
      <c r="I926" s="562" t="s">
        <v>919</v>
      </c>
      <c r="J926" s="562" t="s">
        <v>757</v>
      </c>
      <c r="K926" s="561">
        <v>100</v>
      </c>
      <c r="L926" s="562"/>
      <c r="M926" s="565">
        <v>158</v>
      </c>
      <c r="N926" s="565">
        <v>158</v>
      </c>
      <c r="O926" s="566">
        <f t="shared" si="43"/>
        <v>1</v>
      </c>
      <c r="P926" s="567">
        <f t="shared" si="44"/>
        <v>1</v>
      </c>
      <c r="Q926" s="568">
        <f t="shared" si="42"/>
        <v>1</v>
      </c>
      <c r="R926" s="675"/>
    </row>
    <row r="927" spans="1:18" x14ac:dyDescent="0.2">
      <c r="A927" s="558" t="s">
        <v>277</v>
      </c>
      <c r="B927" s="559" t="s">
        <v>914</v>
      </c>
      <c r="C927" s="573" t="s">
        <v>99</v>
      </c>
      <c r="D927" s="327" t="s">
        <v>292</v>
      </c>
      <c r="E927" s="575" t="s">
        <v>1715</v>
      </c>
      <c r="F927" s="561" t="s">
        <v>109</v>
      </c>
      <c r="G927" s="562" t="s">
        <v>220</v>
      </c>
      <c r="H927" s="562" t="s">
        <v>958</v>
      </c>
      <c r="I927" s="562" t="s">
        <v>919</v>
      </c>
      <c r="J927" s="562" t="s">
        <v>757</v>
      </c>
      <c r="K927" s="561">
        <v>100</v>
      </c>
      <c r="L927" s="562"/>
      <c r="M927" s="565">
        <v>7</v>
      </c>
      <c r="N927" s="565">
        <v>7</v>
      </c>
      <c r="O927" s="566">
        <f t="shared" si="43"/>
        <v>1</v>
      </c>
      <c r="P927" s="567">
        <f t="shared" si="44"/>
        <v>1</v>
      </c>
      <c r="Q927" s="568">
        <f t="shared" si="42"/>
        <v>1</v>
      </c>
      <c r="R927" s="675"/>
    </row>
    <row r="928" spans="1:18" x14ac:dyDescent="0.2">
      <c r="A928" s="558" t="s">
        <v>277</v>
      </c>
      <c r="B928" s="559" t="s">
        <v>914</v>
      </c>
      <c r="C928" s="573" t="s">
        <v>99</v>
      </c>
      <c r="D928" s="327" t="s">
        <v>294</v>
      </c>
      <c r="E928" s="575" t="s">
        <v>1846</v>
      </c>
      <c r="F928" s="561" t="s">
        <v>109</v>
      </c>
      <c r="G928" s="562" t="s">
        <v>220</v>
      </c>
      <c r="H928" s="562" t="s">
        <v>958</v>
      </c>
      <c r="I928" s="562" t="s">
        <v>919</v>
      </c>
      <c r="J928" s="562" t="s">
        <v>757</v>
      </c>
      <c r="K928" s="561">
        <v>100</v>
      </c>
      <c r="L928" s="562"/>
      <c r="M928" s="565">
        <v>8</v>
      </c>
      <c r="N928" s="565">
        <v>8</v>
      </c>
      <c r="O928" s="566">
        <f t="shared" si="43"/>
        <v>1</v>
      </c>
      <c r="P928" s="567">
        <f t="shared" si="44"/>
        <v>1</v>
      </c>
      <c r="Q928" s="568">
        <f t="shared" si="42"/>
        <v>1</v>
      </c>
      <c r="R928" s="675"/>
    </row>
    <row r="929" spans="1:18" x14ac:dyDescent="0.2">
      <c r="A929" s="558" t="s">
        <v>277</v>
      </c>
      <c r="B929" s="559" t="s">
        <v>914</v>
      </c>
      <c r="C929" s="573" t="s">
        <v>99</v>
      </c>
      <c r="D929" s="327" t="s">
        <v>282</v>
      </c>
      <c r="E929" s="575" t="s">
        <v>1846</v>
      </c>
      <c r="F929" s="561" t="s">
        <v>109</v>
      </c>
      <c r="G929" s="562" t="s">
        <v>220</v>
      </c>
      <c r="H929" s="562" t="s">
        <v>958</v>
      </c>
      <c r="I929" s="562" t="s">
        <v>919</v>
      </c>
      <c r="J929" s="562" t="s">
        <v>757</v>
      </c>
      <c r="K929" s="561">
        <v>100</v>
      </c>
      <c r="L929" s="562"/>
      <c r="M929" s="565">
        <v>4</v>
      </c>
      <c r="N929" s="565">
        <v>4</v>
      </c>
      <c r="O929" s="566">
        <f t="shared" si="43"/>
        <v>1</v>
      </c>
      <c r="P929" s="567">
        <f t="shared" si="44"/>
        <v>1</v>
      </c>
      <c r="Q929" s="568">
        <f t="shared" si="42"/>
        <v>1</v>
      </c>
      <c r="R929" s="675"/>
    </row>
    <row r="930" spans="1:18" x14ac:dyDescent="0.2">
      <c r="A930" s="558" t="s">
        <v>277</v>
      </c>
      <c r="B930" s="559" t="s">
        <v>914</v>
      </c>
      <c r="C930" s="573" t="s">
        <v>99</v>
      </c>
      <c r="D930" s="327" t="s">
        <v>285</v>
      </c>
      <c r="E930" s="575" t="s">
        <v>1846</v>
      </c>
      <c r="F930" s="561" t="s">
        <v>109</v>
      </c>
      <c r="G930" s="562" t="s">
        <v>220</v>
      </c>
      <c r="H930" s="562" t="s">
        <v>958</v>
      </c>
      <c r="I930" s="562" t="s">
        <v>919</v>
      </c>
      <c r="J930" s="562" t="s">
        <v>757</v>
      </c>
      <c r="K930" s="561">
        <v>100</v>
      </c>
      <c r="L930" s="562"/>
      <c r="M930" s="565">
        <v>1</v>
      </c>
      <c r="N930" s="565">
        <v>1</v>
      </c>
      <c r="O930" s="566">
        <f t="shared" si="43"/>
        <v>1</v>
      </c>
      <c r="P930" s="567">
        <f t="shared" si="44"/>
        <v>1</v>
      </c>
      <c r="Q930" s="568">
        <f t="shared" si="42"/>
        <v>1</v>
      </c>
      <c r="R930" s="675"/>
    </row>
    <row r="931" spans="1:18" x14ac:dyDescent="0.2">
      <c r="A931" s="558" t="s">
        <v>277</v>
      </c>
      <c r="B931" s="559" t="s">
        <v>914</v>
      </c>
      <c r="C931" s="573" t="s">
        <v>296</v>
      </c>
      <c r="D931" s="327" t="s">
        <v>300</v>
      </c>
      <c r="E931" s="575" t="s">
        <v>1847</v>
      </c>
      <c r="F931" s="561" t="s">
        <v>109</v>
      </c>
      <c r="G931" s="562" t="s">
        <v>220</v>
      </c>
      <c r="H931" s="562" t="s">
        <v>958</v>
      </c>
      <c r="I931" s="562" t="s">
        <v>919</v>
      </c>
      <c r="J931" s="562" t="s">
        <v>757</v>
      </c>
      <c r="K931" s="561">
        <v>100</v>
      </c>
      <c r="L931" s="562"/>
      <c r="M931" s="565">
        <v>0</v>
      </c>
      <c r="N931" s="565">
        <v>0</v>
      </c>
      <c r="O931" s="566">
        <f t="shared" si="43"/>
        <v>0</v>
      </c>
      <c r="P931" s="567">
        <f t="shared" si="44"/>
        <v>0</v>
      </c>
      <c r="Q931" s="568" t="e">
        <f t="shared" si="42"/>
        <v>#DIV/0!</v>
      </c>
      <c r="R931" s="676" t="s">
        <v>1919</v>
      </c>
    </row>
    <row r="932" spans="1:18" x14ac:dyDescent="0.2">
      <c r="A932" s="558" t="s">
        <v>277</v>
      </c>
      <c r="B932" s="559" t="s">
        <v>914</v>
      </c>
      <c r="C932" s="573" t="s">
        <v>296</v>
      </c>
      <c r="D932" s="327" t="s">
        <v>292</v>
      </c>
      <c r="E932" s="575" t="s">
        <v>1847</v>
      </c>
      <c r="F932" s="561" t="s">
        <v>109</v>
      </c>
      <c r="G932" s="562" t="s">
        <v>220</v>
      </c>
      <c r="H932" s="562" t="s">
        <v>958</v>
      </c>
      <c r="I932" s="562" t="s">
        <v>919</v>
      </c>
      <c r="J932" s="562" t="s">
        <v>757</v>
      </c>
      <c r="K932" s="561">
        <v>100</v>
      </c>
      <c r="L932" s="562"/>
      <c r="M932" s="565">
        <v>3</v>
      </c>
      <c r="N932" s="565">
        <v>3</v>
      </c>
      <c r="O932" s="566">
        <f t="shared" si="43"/>
        <v>1</v>
      </c>
      <c r="P932" s="567">
        <f t="shared" si="44"/>
        <v>1</v>
      </c>
      <c r="Q932" s="568">
        <f t="shared" si="42"/>
        <v>1</v>
      </c>
      <c r="R932" s="675"/>
    </row>
    <row r="933" spans="1:18" x14ac:dyDescent="0.2">
      <c r="A933" s="558" t="s">
        <v>277</v>
      </c>
      <c r="B933" s="559" t="s">
        <v>914</v>
      </c>
      <c r="C933" s="573" t="s">
        <v>296</v>
      </c>
      <c r="D933" s="327" t="s">
        <v>294</v>
      </c>
      <c r="E933" s="575" t="s">
        <v>1848</v>
      </c>
      <c r="F933" s="561" t="s">
        <v>109</v>
      </c>
      <c r="G933" s="562" t="s">
        <v>220</v>
      </c>
      <c r="H933" s="562" t="s">
        <v>958</v>
      </c>
      <c r="I933" s="562" t="s">
        <v>919</v>
      </c>
      <c r="J933" s="562" t="s">
        <v>757</v>
      </c>
      <c r="K933" s="561">
        <v>100</v>
      </c>
      <c r="L933" s="562"/>
      <c r="M933" s="565">
        <v>1</v>
      </c>
      <c r="N933" s="565">
        <v>1</v>
      </c>
      <c r="O933" s="566">
        <f t="shared" si="43"/>
        <v>1</v>
      </c>
      <c r="P933" s="567">
        <f t="shared" si="44"/>
        <v>1</v>
      </c>
      <c r="Q933" s="568">
        <f t="shared" si="42"/>
        <v>1</v>
      </c>
      <c r="R933" s="675"/>
    </row>
    <row r="934" spans="1:18" x14ac:dyDescent="0.2">
      <c r="A934" s="558" t="s">
        <v>277</v>
      </c>
      <c r="B934" s="559" t="s">
        <v>914</v>
      </c>
      <c r="C934" s="573" t="s">
        <v>296</v>
      </c>
      <c r="D934" s="327" t="s">
        <v>282</v>
      </c>
      <c r="E934" s="575" t="s">
        <v>1848</v>
      </c>
      <c r="F934" s="561" t="s">
        <v>109</v>
      </c>
      <c r="G934" s="562" t="s">
        <v>220</v>
      </c>
      <c r="H934" s="562" t="s">
        <v>958</v>
      </c>
      <c r="I934" s="562" t="s">
        <v>919</v>
      </c>
      <c r="J934" s="562" t="s">
        <v>757</v>
      </c>
      <c r="K934" s="561">
        <v>100</v>
      </c>
      <c r="L934" s="562"/>
      <c r="M934" s="565">
        <v>2</v>
      </c>
      <c r="N934" s="565">
        <v>2</v>
      </c>
      <c r="O934" s="566">
        <f t="shared" si="43"/>
        <v>1</v>
      </c>
      <c r="P934" s="567">
        <f t="shared" si="44"/>
        <v>1</v>
      </c>
      <c r="Q934" s="568">
        <f t="shared" si="42"/>
        <v>1</v>
      </c>
      <c r="R934" s="675"/>
    </row>
    <row r="935" spans="1:18" x14ac:dyDescent="0.2">
      <c r="A935" s="558" t="s">
        <v>277</v>
      </c>
      <c r="B935" s="559" t="s">
        <v>914</v>
      </c>
      <c r="C935" s="573" t="s">
        <v>296</v>
      </c>
      <c r="D935" s="327" t="s">
        <v>285</v>
      </c>
      <c r="E935" s="575" t="s">
        <v>1715</v>
      </c>
      <c r="F935" s="561" t="s">
        <v>109</v>
      </c>
      <c r="G935" s="562" t="s">
        <v>220</v>
      </c>
      <c r="H935" s="562" t="s">
        <v>958</v>
      </c>
      <c r="I935" s="562" t="s">
        <v>919</v>
      </c>
      <c r="J935" s="562" t="s">
        <v>757</v>
      </c>
      <c r="K935" s="561">
        <v>100</v>
      </c>
      <c r="L935" s="562"/>
      <c r="M935" s="565">
        <v>11</v>
      </c>
      <c r="N935" s="565">
        <v>11</v>
      </c>
      <c r="O935" s="566">
        <f t="shared" si="43"/>
        <v>1</v>
      </c>
      <c r="P935" s="567">
        <f t="shared" si="44"/>
        <v>1</v>
      </c>
      <c r="Q935" s="568">
        <f t="shared" si="42"/>
        <v>1</v>
      </c>
      <c r="R935" s="675"/>
    </row>
    <row r="936" spans="1:18" x14ac:dyDescent="0.2">
      <c r="A936" s="558" t="s">
        <v>277</v>
      </c>
      <c r="B936" s="559" t="s">
        <v>914</v>
      </c>
      <c r="C936" s="573" t="s">
        <v>296</v>
      </c>
      <c r="D936" s="327" t="s">
        <v>298</v>
      </c>
      <c r="E936" s="575" t="s">
        <v>1715</v>
      </c>
      <c r="F936" s="561" t="s">
        <v>109</v>
      </c>
      <c r="G936" s="562" t="s">
        <v>220</v>
      </c>
      <c r="H936" s="562" t="s">
        <v>958</v>
      </c>
      <c r="I936" s="562" t="s">
        <v>919</v>
      </c>
      <c r="J936" s="562" t="s">
        <v>757</v>
      </c>
      <c r="K936" s="561">
        <v>100</v>
      </c>
      <c r="L936" s="562"/>
      <c r="M936" s="565">
        <v>20</v>
      </c>
      <c r="N936" s="565">
        <v>20</v>
      </c>
      <c r="O936" s="566">
        <f t="shared" si="43"/>
        <v>1</v>
      </c>
      <c r="P936" s="567">
        <f t="shared" si="44"/>
        <v>1</v>
      </c>
      <c r="Q936" s="568">
        <f t="shared" si="42"/>
        <v>1</v>
      </c>
      <c r="R936" s="675"/>
    </row>
    <row r="937" spans="1:18" x14ac:dyDescent="0.2">
      <c r="A937" s="558" t="s">
        <v>277</v>
      </c>
      <c r="B937" s="559" t="s">
        <v>914</v>
      </c>
      <c r="C937" s="573" t="s">
        <v>316</v>
      </c>
      <c r="D937" s="327" t="s">
        <v>292</v>
      </c>
      <c r="E937" s="575" t="s">
        <v>1849</v>
      </c>
      <c r="F937" s="561" t="s">
        <v>109</v>
      </c>
      <c r="G937" s="562" t="s">
        <v>220</v>
      </c>
      <c r="H937" s="562" t="s">
        <v>958</v>
      </c>
      <c r="I937" s="562" t="s">
        <v>919</v>
      </c>
      <c r="J937" s="562" t="s">
        <v>757</v>
      </c>
      <c r="K937" s="561">
        <v>100</v>
      </c>
      <c r="L937" s="338"/>
      <c r="M937" s="565">
        <v>0</v>
      </c>
      <c r="N937" s="565">
        <v>0</v>
      </c>
      <c r="O937" s="566">
        <f t="shared" si="43"/>
        <v>0</v>
      </c>
      <c r="P937" s="567">
        <f t="shared" si="44"/>
        <v>0</v>
      </c>
      <c r="Q937" s="568" t="e">
        <f t="shared" si="42"/>
        <v>#DIV/0!</v>
      </c>
      <c r="R937" s="676" t="s">
        <v>1919</v>
      </c>
    </row>
    <row r="938" spans="1:18" x14ac:dyDescent="0.2">
      <c r="A938" s="558" t="s">
        <v>277</v>
      </c>
      <c r="B938" s="559" t="s">
        <v>914</v>
      </c>
      <c r="C938" s="573" t="s">
        <v>316</v>
      </c>
      <c r="D938" s="327" t="s">
        <v>294</v>
      </c>
      <c r="E938" s="575" t="s">
        <v>1849</v>
      </c>
      <c r="F938" s="561" t="s">
        <v>109</v>
      </c>
      <c r="G938" s="562" t="s">
        <v>220</v>
      </c>
      <c r="H938" s="562" t="s">
        <v>958</v>
      </c>
      <c r="I938" s="562" t="s">
        <v>919</v>
      </c>
      <c r="J938" s="562" t="s">
        <v>757</v>
      </c>
      <c r="K938" s="561">
        <v>100</v>
      </c>
      <c r="L938" s="338"/>
      <c r="M938" s="565">
        <v>0</v>
      </c>
      <c r="N938" s="565">
        <v>0</v>
      </c>
      <c r="O938" s="566">
        <f t="shared" si="43"/>
        <v>0</v>
      </c>
      <c r="P938" s="567">
        <f t="shared" si="44"/>
        <v>0</v>
      </c>
      <c r="Q938" s="568" t="e">
        <f t="shared" si="42"/>
        <v>#DIV/0!</v>
      </c>
      <c r="R938" s="676" t="s">
        <v>1919</v>
      </c>
    </row>
    <row r="939" spans="1:18" x14ac:dyDescent="0.2">
      <c r="A939" s="558" t="s">
        <v>277</v>
      </c>
      <c r="B939" s="559" t="s">
        <v>914</v>
      </c>
      <c r="C939" s="573" t="s">
        <v>308</v>
      </c>
      <c r="D939" s="327" t="s">
        <v>300</v>
      </c>
      <c r="E939" s="575" t="s">
        <v>1715</v>
      </c>
      <c r="F939" s="561" t="s">
        <v>109</v>
      </c>
      <c r="G939" s="562" t="s">
        <v>220</v>
      </c>
      <c r="H939" s="562" t="s">
        <v>958</v>
      </c>
      <c r="I939" s="562" t="s">
        <v>919</v>
      </c>
      <c r="J939" s="562" t="s">
        <v>757</v>
      </c>
      <c r="K939" s="561">
        <v>100</v>
      </c>
      <c r="L939" s="338"/>
      <c r="M939" s="565">
        <v>51</v>
      </c>
      <c r="N939" s="565">
        <v>51</v>
      </c>
      <c r="O939" s="566">
        <f t="shared" si="43"/>
        <v>1</v>
      </c>
      <c r="P939" s="567">
        <f t="shared" si="44"/>
        <v>1</v>
      </c>
      <c r="Q939" s="568">
        <f t="shared" si="42"/>
        <v>1</v>
      </c>
      <c r="R939" s="675"/>
    </row>
    <row r="940" spans="1:18" x14ac:dyDescent="0.2">
      <c r="A940" s="558" t="s">
        <v>277</v>
      </c>
      <c r="B940" s="559" t="s">
        <v>914</v>
      </c>
      <c r="C940" s="573" t="s">
        <v>308</v>
      </c>
      <c r="D940" s="327" t="s">
        <v>292</v>
      </c>
      <c r="E940" s="575" t="s">
        <v>1850</v>
      </c>
      <c r="F940" s="561" t="s">
        <v>109</v>
      </c>
      <c r="G940" s="562" t="s">
        <v>220</v>
      </c>
      <c r="H940" s="562" t="s">
        <v>958</v>
      </c>
      <c r="I940" s="562" t="s">
        <v>919</v>
      </c>
      <c r="J940" s="562" t="s">
        <v>757</v>
      </c>
      <c r="K940" s="561">
        <v>100</v>
      </c>
      <c r="L940" s="338"/>
      <c r="M940" s="565">
        <v>7</v>
      </c>
      <c r="N940" s="565">
        <v>7</v>
      </c>
      <c r="O940" s="566">
        <f t="shared" si="43"/>
        <v>1</v>
      </c>
      <c r="P940" s="567">
        <f t="shared" si="44"/>
        <v>1</v>
      </c>
      <c r="Q940" s="568">
        <f t="shared" si="42"/>
        <v>1</v>
      </c>
      <c r="R940" s="675"/>
    </row>
    <row r="941" spans="1:18" x14ac:dyDescent="0.2">
      <c r="A941" s="558" t="s">
        <v>277</v>
      </c>
      <c r="B941" s="559" t="s">
        <v>914</v>
      </c>
      <c r="C941" s="573" t="s">
        <v>308</v>
      </c>
      <c r="D941" s="327" t="s">
        <v>294</v>
      </c>
      <c r="E941" s="575" t="s">
        <v>1850</v>
      </c>
      <c r="F941" s="561" t="s">
        <v>109</v>
      </c>
      <c r="G941" s="562" t="s">
        <v>220</v>
      </c>
      <c r="H941" s="562" t="s">
        <v>958</v>
      </c>
      <c r="I941" s="562" t="s">
        <v>919</v>
      </c>
      <c r="J941" s="562" t="s">
        <v>757</v>
      </c>
      <c r="K941" s="561">
        <v>100</v>
      </c>
      <c r="L941" s="338"/>
      <c r="M941" s="565">
        <v>1</v>
      </c>
      <c r="N941" s="565">
        <v>1</v>
      </c>
      <c r="O941" s="566">
        <f t="shared" si="43"/>
        <v>1</v>
      </c>
      <c r="P941" s="567">
        <f t="shared" si="44"/>
        <v>1</v>
      </c>
      <c r="Q941" s="568">
        <f t="shared" si="42"/>
        <v>1</v>
      </c>
      <c r="R941" s="675"/>
    </row>
    <row r="942" spans="1:18" x14ac:dyDescent="0.2">
      <c r="A942" s="558" t="s">
        <v>277</v>
      </c>
      <c r="B942" s="559" t="s">
        <v>914</v>
      </c>
      <c r="C942" s="573" t="s">
        <v>305</v>
      </c>
      <c r="D942" s="327" t="s">
        <v>300</v>
      </c>
      <c r="E942" s="575" t="s">
        <v>1715</v>
      </c>
      <c r="F942" s="561" t="s">
        <v>109</v>
      </c>
      <c r="G942" s="562" t="s">
        <v>220</v>
      </c>
      <c r="H942" s="562" t="s">
        <v>958</v>
      </c>
      <c r="I942" s="562" t="s">
        <v>919</v>
      </c>
      <c r="J942" s="562" t="s">
        <v>757</v>
      </c>
      <c r="K942" s="561">
        <v>100</v>
      </c>
      <c r="L942" s="338"/>
      <c r="M942" s="565">
        <v>568</v>
      </c>
      <c r="N942" s="565">
        <v>568</v>
      </c>
      <c r="O942" s="566">
        <f t="shared" si="43"/>
        <v>1</v>
      </c>
      <c r="P942" s="567">
        <f t="shared" si="44"/>
        <v>1</v>
      </c>
      <c r="Q942" s="568">
        <f t="shared" si="42"/>
        <v>1</v>
      </c>
      <c r="R942" s="675"/>
    </row>
    <row r="943" spans="1:18" x14ac:dyDescent="0.2">
      <c r="A943" s="558" t="s">
        <v>277</v>
      </c>
      <c r="B943" s="559" t="s">
        <v>914</v>
      </c>
      <c r="C943" s="573" t="s">
        <v>305</v>
      </c>
      <c r="D943" s="327" t="s">
        <v>292</v>
      </c>
      <c r="E943" s="575" t="s">
        <v>1715</v>
      </c>
      <c r="F943" s="561" t="s">
        <v>109</v>
      </c>
      <c r="G943" s="562" t="s">
        <v>220</v>
      </c>
      <c r="H943" s="562" t="s">
        <v>958</v>
      </c>
      <c r="I943" s="562" t="s">
        <v>919</v>
      </c>
      <c r="J943" s="562" t="s">
        <v>757</v>
      </c>
      <c r="K943" s="561">
        <v>100</v>
      </c>
      <c r="L943" s="338"/>
      <c r="M943" s="565">
        <v>85</v>
      </c>
      <c r="N943" s="565">
        <v>85</v>
      </c>
      <c r="O943" s="566">
        <f t="shared" si="43"/>
        <v>1</v>
      </c>
      <c r="P943" s="567">
        <f t="shared" si="44"/>
        <v>1</v>
      </c>
      <c r="Q943" s="568">
        <f t="shared" si="42"/>
        <v>1</v>
      </c>
      <c r="R943" s="675"/>
    </row>
    <row r="944" spans="1:18" x14ac:dyDescent="0.2">
      <c r="A944" s="558" t="s">
        <v>277</v>
      </c>
      <c r="B944" s="559" t="s">
        <v>914</v>
      </c>
      <c r="C944" s="573" t="s">
        <v>305</v>
      </c>
      <c r="D944" s="327" t="s">
        <v>294</v>
      </c>
      <c r="E944" s="575" t="s">
        <v>1851</v>
      </c>
      <c r="F944" s="561" t="s">
        <v>109</v>
      </c>
      <c r="G944" s="562" t="s">
        <v>220</v>
      </c>
      <c r="H944" s="562" t="s">
        <v>958</v>
      </c>
      <c r="I944" s="562" t="s">
        <v>919</v>
      </c>
      <c r="J944" s="562" t="s">
        <v>757</v>
      </c>
      <c r="K944" s="561">
        <v>100</v>
      </c>
      <c r="L944" s="338"/>
      <c r="M944" s="565">
        <v>24</v>
      </c>
      <c r="N944" s="565">
        <v>24</v>
      </c>
      <c r="O944" s="566">
        <f t="shared" si="43"/>
        <v>1</v>
      </c>
      <c r="P944" s="567">
        <f t="shared" si="44"/>
        <v>1</v>
      </c>
      <c r="Q944" s="568">
        <f t="shared" si="42"/>
        <v>1</v>
      </c>
      <c r="R944" s="675"/>
    </row>
    <row r="945" spans="1:18" x14ac:dyDescent="0.2">
      <c r="A945" s="558" t="s">
        <v>277</v>
      </c>
      <c r="B945" s="559" t="s">
        <v>914</v>
      </c>
      <c r="C945" s="573" t="s">
        <v>305</v>
      </c>
      <c r="D945" s="327" t="s">
        <v>285</v>
      </c>
      <c r="E945" s="575" t="s">
        <v>1851</v>
      </c>
      <c r="F945" s="561" t="s">
        <v>109</v>
      </c>
      <c r="G945" s="562" t="s">
        <v>220</v>
      </c>
      <c r="H945" s="562" t="s">
        <v>958</v>
      </c>
      <c r="I945" s="562" t="s">
        <v>919</v>
      </c>
      <c r="J945" s="562" t="s">
        <v>757</v>
      </c>
      <c r="K945" s="561">
        <v>100</v>
      </c>
      <c r="L945" s="338"/>
      <c r="M945" s="565">
        <v>2</v>
      </c>
      <c r="N945" s="565">
        <v>2</v>
      </c>
      <c r="O945" s="566">
        <f t="shared" si="43"/>
        <v>1</v>
      </c>
      <c r="P945" s="567">
        <f t="shared" si="44"/>
        <v>1</v>
      </c>
      <c r="Q945" s="568">
        <f t="shared" si="42"/>
        <v>1</v>
      </c>
      <c r="R945" s="675"/>
    </row>
    <row r="946" spans="1:18" x14ac:dyDescent="0.2">
      <c r="A946" s="558" t="s">
        <v>277</v>
      </c>
      <c r="B946" s="559" t="s">
        <v>914</v>
      </c>
      <c r="C946" s="573" t="s">
        <v>97</v>
      </c>
      <c r="D946" s="327" t="s">
        <v>282</v>
      </c>
      <c r="E946" s="575" t="s">
        <v>1843</v>
      </c>
      <c r="F946" s="561" t="s">
        <v>109</v>
      </c>
      <c r="G946" s="562" t="s">
        <v>959</v>
      </c>
      <c r="H946" s="562" t="s">
        <v>958</v>
      </c>
      <c r="I946" s="562" t="s">
        <v>919</v>
      </c>
      <c r="J946" s="562" t="s">
        <v>757</v>
      </c>
      <c r="K946" s="561">
        <v>100</v>
      </c>
      <c r="L946" s="338"/>
      <c r="M946" s="565">
        <v>6</v>
      </c>
      <c r="N946" s="565">
        <v>6</v>
      </c>
      <c r="O946" s="566">
        <f t="shared" si="43"/>
        <v>1</v>
      </c>
      <c r="P946" s="567">
        <f t="shared" si="44"/>
        <v>1</v>
      </c>
      <c r="Q946" s="568">
        <f t="shared" si="42"/>
        <v>1</v>
      </c>
      <c r="R946" s="675"/>
    </row>
    <row r="947" spans="1:18" x14ac:dyDescent="0.2">
      <c r="A947" s="558" t="s">
        <v>277</v>
      </c>
      <c r="B947" s="559" t="s">
        <v>914</v>
      </c>
      <c r="C947" s="573" t="s">
        <v>97</v>
      </c>
      <c r="D947" s="327" t="s">
        <v>285</v>
      </c>
      <c r="E947" s="575" t="s">
        <v>1843</v>
      </c>
      <c r="F947" s="561" t="s">
        <v>109</v>
      </c>
      <c r="G947" s="562" t="s">
        <v>959</v>
      </c>
      <c r="H947" s="562" t="s">
        <v>958</v>
      </c>
      <c r="I947" s="562" t="s">
        <v>919</v>
      </c>
      <c r="J947" s="562" t="s">
        <v>757</v>
      </c>
      <c r="K947" s="561">
        <v>100</v>
      </c>
      <c r="L947" s="338"/>
      <c r="M947" s="565">
        <v>8</v>
      </c>
      <c r="N947" s="565">
        <v>8</v>
      </c>
      <c r="O947" s="566">
        <f t="shared" si="43"/>
        <v>1</v>
      </c>
      <c r="P947" s="567">
        <f t="shared" si="44"/>
        <v>1</v>
      </c>
      <c r="Q947" s="568">
        <f t="shared" si="42"/>
        <v>1</v>
      </c>
      <c r="R947" s="675"/>
    </row>
    <row r="948" spans="1:18" x14ac:dyDescent="0.2">
      <c r="A948" s="558" t="s">
        <v>277</v>
      </c>
      <c r="B948" s="559" t="s">
        <v>914</v>
      </c>
      <c r="C948" s="573" t="s">
        <v>286</v>
      </c>
      <c r="D948" s="327" t="s">
        <v>300</v>
      </c>
      <c r="E948" s="575" t="s">
        <v>1715</v>
      </c>
      <c r="F948" s="561" t="s">
        <v>109</v>
      </c>
      <c r="G948" s="562" t="s">
        <v>959</v>
      </c>
      <c r="H948" s="562" t="s">
        <v>958</v>
      </c>
      <c r="I948" s="562" t="s">
        <v>919</v>
      </c>
      <c r="J948" s="562" t="s">
        <v>757</v>
      </c>
      <c r="K948" s="561">
        <v>100</v>
      </c>
      <c r="L948" s="338"/>
      <c r="M948" s="565">
        <v>39</v>
      </c>
      <c r="N948" s="565">
        <v>39</v>
      </c>
      <c r="O948" s="566">
        <f t="shared" si="43"/>
        <v>1</v>
      </c>
      <c r="P948" s="567">
        <f t="shared" si="44"/>
        <v>1</v>
      </c>
      <c r="Q948" s="568">
        <f t="shared" si="42"/>
        <v>1</v>
      </c>
      <c r="R948" s="675"/>
    </row>
    <row r="949" spans="1:18" x14ac:dyDescent="0.2">
      <c r="A949" s="558" t="s">
        <v>277</v>
      </c>
      <c r="B949" s="559" t="s">
        <v>914</v>
      </c>
      <c r="C949" s="573" t="s">
        <v>286</v>
      </c>
      <c r="D949" s="327" t="s">
        <v>292</v>
      </c>
      <c r="E949" s="575" t="s">
        <v>1715</v>
      </c>
      <c r="F949" s="561" t="s">
        <v>109</v>
      </c>
      <c r="G949" s="562" t="s">
        <v>959</v>
      </c>
      <c r="H949" s="562" t="s">
        <v>958</v>
      </c>
      <c r="I949" s="562" t="s">
        <v>919</v>
      </c>
      <c r="J949" s="562" t="s">
        <v>757</v>
      </c>
      <c r="K949" s="561">
        <v>100</v>
      </c>
      <c r="L949" s="338"/>
      <c r="M949" s="565">
        <v>12</v>
      </c>
      <c r="N949" s="565">
        <v>12</v>
      </c>
      <c r="O949" s="566">
        <f t="shared" si="43"/>
        <v>1</v>
      </c>
      <c r="P949" s="567">
        <f t="shared" si="44"/>
        <v>1</v>
      </c>
      <c r="Q949" s="568">
        <f t="shared" si="42"/>
        <v>1</v>
      </c>
      <c r="R949" s="675"/>
    </row>
    <row r="950" spans="1:18" x14ac:dyDescent="0.2">
      <c r="A950" s="558" t="s">
        <v>277</v>
      </c>
      <c r="B950" s="559" t="s">
        <v>914</v>
      </c>
      <c r="C950" s="573" t="s">
        <v>286</v>
      </c>
      <c r="D950" s="327" t="s">
        <v>294</v>
      </c>
      <c r="E950" s="575" t="s">
        <v>1715</v>
      </c>
      <c r="F950" s="561" t="s">
        <v>109</v>
      </c>
      <c r="G950" s="562" t="s">
        <v>959</v>
      </c>
      <c r="H950" s="562" t="s">
        <v>958</v>
      </c>
      <c r="I950" s="562" t="s">
        <v>919</v>
      </c>
      <c r="J950" s="562" t="s">
        <v>757</v>
      </c>
      <c r="K950" s="561">
        <v>100</v>
      </c>
      <c r="L950" s="338"/>
      <c r="M950" s="565">
        <v>40</v>
      </c>
      <c r="N950" s="565">
        <v>40</v>
      </c>
      <c r="O950" s="566">
        <f t="shared" si="43"/>
        <v>1</v>
      </c>
      <c r="P950" s="567">
        <f t="shared" si="44"/>
        <v>1</v>
      </c>
      <c r="Q950" s="568">
        <f t="shared" si="42"/>
        <v>1</v>
      </c>
      <c r="R950" s="675"/>
    </row>
    <row r="951" spans="1:18" x14ac:dyDescent="0.2">
      <c r="A951" s="558" t="s">
        <v>277</v>
      </c>
      <c r="B951" s="559" t="s">
        <v>914</v>
      </c>
      <c r="C951" s="573" t="s">
        <v>286</v>
      </c>
      <c r="D951" s="327" t="s">
        <v>282</v>
      </c>
      <c r="E951" s="575" t="s">
        <v>1715</v>
      </c>
      <c r="F951" s="561" t="s">
        <v>109</v>
      </c>
      <c r="G951" s="562" t="s">
        <v>959</v>
      </c>
      <c r="H951" s="562" t="s">
        <v>958</v>
      </c>
      <c r="I951" s="562" t="s">
        <v>919</v>
      </c>
      <c r="J951" s="562" t="s">
        <v>757</v>
      </c>
      <c r="K951" s="561">
        <v>100</v>
      </c>
      <c r="L951" s="338"/>
      <c r="M951" s="565">
        <v>68</v>
      </c>
      <c r="N951" s="565">
        <v>68</v>
      </c>
      <c r="O951" s="566">
        <f t="shared" si="43"/>
        <v>1</v>
      </c>
      <c r="P951" s="567">
        <f t="shared" si="44"/>
        <v>1</v>
      </c>
      <c r="Q951" s="568">
        <f t="shared" si="42"/>
        <v>1</v>
      </c>
      <c r="R951" s="675"/>
    </row>
    <row r="952" spans="1:18" x14ac:dyDescent="0.2">
      <c r="A952" s="558" t="s">
        <v>277</v>
      </c>
      <c r="B952" s="559" t="s">
        <v>914</v>
      </c>
      <c r="C952" s="573" t="s">
        <v>286</v>
      </c>
      <c r="D952" s="327" t="s">
        <v>285</v>
      </c>
      <c r="E952" s="575" t="s">
        <v>1715</v>
      </c>
      <c r="F952" s="561" t="s">
        <v>109</v>
      </c>
      <c r="G952" s="562" t="s">
        <v>959</v>
      </c>
      <c r="H952" s="562" t="s">
        <v>958</v>
      </c>
      <c r="I952" s="562" t="s">
        <v>919</v>
      </c>
      <c r="J952" s="562" t="s">
        <v>757</v>
      </c>
      <c r="K952" s="561">
        <v>100</v>
      </c>
      <c r="L952" s="338"/>
      <c r="M952" s="565">
        <v>47</v>
      </c>
      <c r="N952" s="565">
        <v>47</v>
      </c>
      <c r="O952" s="566">
        <f t="shared" si="43"/>
        <v>1</v>
      </c>
      <c r="P952" s="567">
        <f t="shared" si="44"/>
        <v>1</v>
      </c>
      <c r="Q952" s="568">
        <f t="shared" si="42"/>
        <v>1</v>
      </c>
      <c r="R952" s="675"/>
    </row>
    <row r="953" spans="1:18" x14ac:dyDescent="0.2">
      <c r="A953" s="558" t="s">
        <v>277</v>
      </c>
      <c r="B953" s="559" t="s">
        <v>914</v>
      </c>
      <c r="C953" s="573" t="s">
        <v>303</v>
      </c>
      <c r="D953" s="327" t="s">
        <v>300</v>
      </c>
      <c r="E953" s="575" t="s">
        <v>1715</v>
      </c>
      <c r="F953" s="561" t="s">
        <v>109</v>
      </c>
      <c r="G953" s="562" t="s">
        <v>959</v>
      </c>
      <c r="H953" s="562" t="s">
        <v>958</v>
      </c>
      <c r="I953" s="562" t="s">
        <v>919</v>
      </c>
      <c r="J953" s="562" t="s">
        <v>757</v>
      </c>
      <c r="K953" s="561">
        <v>100</v>
      </c>
      <c r="L953" s="338"/>
      <c r="M953" s="565">
        <v>144</v>
      </c>
      <c r="N953" s="565">
        <v>144</v>
      </c>
      <c r="O953" s="566">
        <f t="shared" si="43"/>
        <v>1</v>
      </c>
      <c r="P953" s="567">
        <f t="shared" si="44"/>
        <v>1</v>
      </c>
      <c r="Q953" s="568">
        <f t="shared" si="42"/>
        <v>1</v>
      </c>
      <c r="R953" s="675"/>
    </row>
    <row r="954" spans="1:18" x14ac:dyDescent="0.2">
      <c r="A954" s="558" t="s">
        <v>277</v>
      </c>
      <c r="B954" s="559" t="s">
        <v>914</v>
      </c>
      <c r="C954" s="573" t="s">
        <v>303</v>
      </c>
      <c r="D954" s="327" t="s">
        <v>292</v>
      </c>
      <c r="E954" s="575" t="s">
        <v>1844</v>
      </c>
      <c r="F954" s="561" t="s">
        <v>109</v>
      </c>
      <c r="G954" s="562" t="s">
        <v>959</v>
      </c>
      <c r="H954" s="562" t="s">
        <v>958</v>
      </c>
      <c r="I954" s="562" t="s">
        <v>919</v>
      </c>
      <c r="J954" s="562" t="s">
        <v>757</v>
      </c>
      <c r="K954" s="561">
        <v>100</v>
      </c>
      <c r="L954" s="338"/>
      <c r="M954" s="565">
        <v>42</v>
      </c>
      <c r="N954" s="565">
        <v>42</v>
      </c>
      <c r="O954" s="566">
        <f t="shared" si="43"/>
        <v>1</v>
      </c>
      <c r="P954" s="567">
        <f t="shared" si="44"/>
        <v>1</v>
      </c>
      <c r="Q954" s="568">
        <f t="shared" si="42"/>
        <v>1</v>
      </c>
      <c r="R954" s="675"/>
    </row>
    <row r="955" spans="1:18" x14ac:dyDescent="0.2">
      <c r="A955" s="558" t="s">
        <v>277</v>
      </c>
      <c r="B955" s="559" t="s">
        <v>914</v>
      </c>
      <c r="C955" s="573" t="s">
        <v>303</v>
      </c>
      <c r="D955" s="327" t="s">
        <v>294</v>
      </c>
      <c r="E955" s="575" t="s">
        <v>1844</v>
      </c>
      <c r="F955" s="561" t="s">
        <v>109</v>
      </c>
      <c r="G955" s="562" t="s">
        <v>959</v>
      </c>
      <c r="H955" s="562" t="s">
        <v>958</v>
      </c>
      <c r="I955" s="562" t="s">
        <v>919</v>
      </c>
      <c r="J955" s="562" t="s">
        <v>757</v>
      </c>
      <c r="K955" s="561">
        <v>100</v>
      </c>
      <c r="L955" s="338"/>
      <c r="M955" s="565">
        <v>10</v>
      </c>
      <c r="N955" s="565">
        <v>10</v>
      </c>
      <c r="O955" s="566">
        <f t="shared" si="43"/>
        <v>1</v>
      </c>
      <c r="P955" s="567">
        <f t="shared" si="44"/>
        <v>1</v>
      </c>
      <c r="Q955" s="568">
        <f t="shared" si="42"/>
        <v>1</v>
      </c>
      <c r="R955" s="675"/>
    </row>
    <row r="956" spans="1:18" x14ac:dyDescent="0.2">
      <c r="A956" s="558" t="s">
        <v>277</v>
      </c>
      <c r="B956" s="559" t="s">
        <v>914</v>
      </c>
      <c r="C956" s="573" t="s">
        <v>303</v>
      </c>
      <c r="D956" s="327" t="s">
        <v>282</v>
      </c>
      <c r="E956" s="575" t="s">
        <v>1845</v>
      </c>
      <c r="F956" s="561" t="s">
        <v>109</v>
      </c>
      <c r="G956" s="562" t="s">
        <v>959</v>
      </c>
      <c r="H956" s="562" t="s">
        <v>958</v>
      </c>
      <c r="I956" s="562" t="s">
        <v>919</v>
      </c>
      <c r="J956" s="562" t="s">
        <v>757</v>
      </c>
      <c r="K956" s="561">
        <v>100</v>
      </c>
      <c r="L956" s="338"/>
      <c r="M956" s="565">
        <v>2</v>
      </c>
      <c r="N956" s="565">
        <v>2</v>
      </c>
      <c r="O956" s="566">
        <f t="shared" si="43"/>
        <v>1</v>
      </c>
      <c r="P956" s="567">
        <f t="shared" si="44"/>
        <v>1</v>
      </c>
      <c r="Q956" s="568">
        <f t="shared" si="42"/>
        <v>1</v>
      </c>
      <c r="R956" s="675"/>
    </row>
    <row r="957" spans="1:18" x14ac:dyDescent="0.2">
      <c r="A957" s="558" t="s">
        <v>277</v>
      </c>
      <c r="B957" s="559" t="s">
        <v>914</v>
      </c>
      <c r="C957" s="573" t="s">
        <v>303</v>
      </c>
      <c r="D957" s="327" t="s">
        <v>285</v>
      </c>
      <c r="E957" s="575" t="s">
        <v>1845</v>
      </c>
      <c r="F957" s="561" t="s">
        <v>109</v>
      </c>
      <c r="G957" s="562" t="s">
        <v>959</v>
      </c>
      <c r="H957" s="562" t="s">
        <v>958</v>
      </c>
      <c r="I957" s="562" t="s">
        <v>919</v>
      </c>
      <c r="J957" s="562" t="s">
        <v>757</v>
      </c>
      <c r="K957" s="561">
        <v>100</v>
      </c>
      <c r="L957" s="338"/>
      <c r="M957" s="565">
        <v>5</v>
      </c>
      <c r="N957" s="565">
        <v>5</v>
      </c>
      <c r="O957" s="566">
        <f t="shared" si="43"/>
        <v>1</v>
      </c>
      <c r="P957" s="567">
        <f t="shared" si="44"/>
        <v>1</v>
      </c>
      <c r="Q957" s="568">
        <f t="shared" si="42"/>
        <v>1</v>
      </c>
      <c r="R957" s="675"/>
    </row>
    <row r="958" spans="1:18" x14ac:dyDescent="0.2">
      <c r="A958" s="558" t="s">
        <v>277</v>
      </c>
      <c r="B958" s="559" t="s">
        <v>914</v>
      </c>
      <c r="C958" s="573" t="s">
        <v>99</v>
      </c>
      <c r="D958" s="327" t="s">
        <v>300</v>
      </c>
      <c r="E958" s="575" t="s">
        <v>1715</v>
      </c>
      <c r="F958" s="561" t="s">
        <v>109</v>
      </c>
      <c r="G958" s="562" t="s">
        <v>959</v>
      </c>
      <c r="H958" s="562" t="s">
        <v>958</v>
      </c>
      <c r="I958" s="562" t="s">
        <v>919</v>
      </c>
      <c r="J958" s="562" t="s">
        <v>757</v>
      </c>
      <c r="K958" s="561">
        <v>100</v>
      </c>
      <c r="L958" s="338"/>
      <c r="M958" s="565">
        <v>158</v>
      </c>
      <c r="N958" s="565">
        <v>158</v>
      </c>
      <c r="O958" s="566">
        <f t="shared" si="43"/>
        <v>1</v>
      </c>
      <c r="P958" s="567">
        <f t="shared" si="44"/>
        <v>1</v>
      </c>
      <c r="Q958" s="568">
        <f t="shared" si="42"/>
        <v>1</v>
      </c>
      <c r="R958" s="675"/>
    </row>
    <row r="959" spans="1:18" x14ac:dyDescent="0.2">
      <c r="A959" s="558" t="s">
        <v>277</v>
      </c>
      <c r="B959" s="559" t="s">
        <v>914</v>
      </c>
      <c r="C959" s="573" t="s">
        <v>99</v>
      </c>
      <c r="D959" s="327" t="s">
        <v>292</v>
      </c>
      <c r="E959" s="575" t="s">
        <v>1715</v>
      </c>
      <c r="F959" s="561" t="s">
        <v>109</v>
      </c>
      <c r="G959" s="562" t="s">
        <v>959</v>
      </c>
      <c r="H959" s="562" t="s">
        <v>958</v>
      </c>
      <c r="I959" s="562" t="s">
        <v>919</v>
      </c>
      <c r="J959" s="562" t="s">
        <v>757</v>
      </c>
      <c r="K959" s="561">
        <v>100</v>
      </c>
      <c r="L959" s="338"/>
      <c r="M959" s="565">
        <v>7</v>
      </c>
      <c r="N959" s="565">
        <v>7</v>
      </c>
      <c r="O959" s="566">
        <f t="shared" si="43"/>
        <v>1</v>
      </c>
      <c r="P959" s="567">
        <f t="shared" si="44"/>
        <v>1</v>
      </c>
      <c r="Q959" s="568">
        <f t="shared" si="42"/>
        <v>1</v>
      </c>
      <c r="R959" s="675"/>
    </row>
    <row r="960" spans="1:18" x14ac:dyDescent="0.2">
      <c r="A960" s="558" t="s">
        <v>277</v>
      </c>
      <c r="B960" s="559" t="s">
        <v>914</v>
      </c>
      <c r="C960" s="573" t="s">
        <v>99</v>
      </c>
      <c r="D960" s="327" t="s">
        <v>294</v>
      </c>
      <c r="E960" s="575" t="s">
        <v>1846</v>
      </c>
      <c r="F960" s="561" t="s">
        <v>109</v>
      </c>
      <c r="G960" s="562" t="s">
        <v>959</v>
      </c>
      <c r="H960" s="562" t="s">
        <v>958</v>
      </c>
      <c r="I960" s="562" t="s">
        <v>919</v>
      </c>
      <c r="J960" s="562" t="s">
        <v>757</v>
      </c>
      <c r="K960" s="561">
        <v>100</v>
      </c>
      <c r="L960" s="338"/>
      <c r="M960" s="565">
        <v>8</v>
      </c>
      <c r="N960" s="565">
        <v>8</v>
      </c>
      <c r="O960" s="566">
        <f t="shared" si="43"/>
        <v>1</v>
      </c>
      <c r="P960" s="567">
        <f t="shared" si="44"/>
        <v>1</v>
      </c>
      <c r="Q960" s="568">
        <f t="shared" si="42"/>
        <v>1</v>
      </c>
      <c r="R960" s="675"/>
    </row>
    <row r="961" spans="1:18" x14ac:dyDescent="0.2">
      <c r="A961" s="558" t="s">
        <v>277</v>
      </c>
      <c r="B961" s="559" t="s">
        <v>914</v>
      </c>
      <c r="C961" s="573" t="s">
        <v>99</v>
      </c>
      <c r="D961" s="327" t="s">
        <v>282</v>
      </c>
      <c r="E961" s="575" t="s">
        <v>1846</v>
      </c>
      <c r="F961" s="561" t="s">
        <v>109</v>
      </c>
      <c r="G961" s="562" t="s">
        <v>959</v>
      </c>
      <c r="H961" s="562" t="s">
        <v>958</v>
      </c>
      <c r="I961" s="562" t="s">
        <v>919</v>
      </c>
      <c r="J961" s="562" t="s">
        <v>757</v>
      </c>
      <c r="K961" s="561">
        <v>100</v>
      </c>
      <c r="L961" s="338"/>
      <c r="M961" s="565">
        <v>4</v>
      </c>
      <c r="N961" s="565">
        <v>4</v>
      </c>
      <c r="O961" s="566">
        <f t="shared" si="43"/>
        <v>1</v>
      </c>
      <c r="P961" s="567">
        <f t="shared" si="44"/>
        <v>1</v>
      </c>
      <c r="Q961" s="568">
        <f t="shared" si="42"/>
        <v>1</v>
      </c>
      <c r="R961" s="675"/>
    </row>
    <row r="962" spans="1:18" x14ac:dyDescent="0.2">
      <c r="A962" s="558" t="s">
        <v>277</v>
      </c>
      <c r="B962" s="559" t="s">
        <v>914</v>
      </c>
      <c r="C962" s="573" t="s">
        <v>99</v>
      </c>
      <c r="D962" s="327" t="s">
        <v>285</v>
      </c>
      <c r="E962" s="575" t="s">
        <v>1846</v>
      </c>
      <c r="F962" s="561" t="s">
        <v>109</v>
      </c>
      <c r="G962" s="562" t="s">
        <v>959</v>
      </c>
      <c r="H962" s="562" t="s">
        <v>958</v>
      </c>
      <c r="I962" s="562" t="s">
        <v>919</v>
      </c>
      <c r="J962" s="562" t="s">
        <v>757</v>
      </c>
      <c r="K962" s="561">
        <v>100</v>
      </c>
      <c r="L962" s="338"/>
      <c r="M962" s="565">
        <v>1</v>
      </c>
      <c r="N962" s="565">
        <v>1</v>
      </c>
      <c r="O962" s="566">
        <f t="shared" si="43"/>
        <v>1</v>
      </c>
      <c r="P962" s="567">
        <f t="shared" si="44"/>
        <v>1</v>
      </c>
      <c r="Q962" s="568">
        <f t="shared" si="42"/>
        <v>1</v>
      </c>
      <c r="R962" s="675"/>
    </row>
    <row r="963" spans="1:18" x14ac:dyDescent="0.2">
      <c r="A963" s="558" t="s">
        <v>277</v>
      </c>
      <c r="B963" s="559" t="s">
        <v>914</v>
      </c>
      <c r="C963" s="573" t="s">
        <v>296</v>
      </c>
      <c r="D963" s="327" t="s">
        <v>300</v>
      </c>
      <c r="E963" s="575" t="s">
        <v>1847</v>
      </c>
      <c r="F963" s="561" t="s">
        <v>109</v>
      </c>
      <c r="G963" s="562" t="s">
        <v>959</v>
      </c>
      <c r="H963" s="562" t="s">
        <v>958</v>
      </c>
      <c r="I963" s="562" t="s">
        <v>919</v>
      </c>
      <c r="J963" s="562" t="s">
        <v>757</v>
      </c>
      <c r="K963" s="561">
        <v>100</v>
      </c>
      <c r="L963" s="338"/>
      <c r="M963" s="565">
        <v>0</v>
      </c>
      <c r="N963" s="565">
        <v>0</v>
      </c>
      <c r="O963" s="566">
        <f t="shared" si="43"/>
        <v>0</v>
      </c>
      <c r="P963" s="567">
        <f t="shared" si="44"/>
        <v>0</v>
      </c>
      <c r="Q963" s="568" t="e">
        <f t="shared" si="42"/>
        <v>#DIV/0!</v>
      </c>
      <c r="R963" s="676" t="s">
        <v>1919</v>
      </c>
    </row>
    <row r="964" spans="1:18" x14ac:dyDescent="0.2">
      <c r="A964" s="558" t="s">
        <v>277</v>
      </c>
      <c r="B964" s="559" t="s">
        <v>914</v>
      </c>
      <c r="C964" s="573" t="s">
        <v>296</v>
      </c>
      <c r="D964" s="327" t="s">
        <v>292</v>
      </c>
      <c r="E964" s="575" t="s">
        <v>1847</v>
      </c>
      <c r="F964" s="561" t="s">
        <v>109</v>
      </c>
      <c r="G964" s="562" t="s">
        <v>959</v>
      </c>
      <c r="H964" s="562" t="s">
        <v>958</v>
      </c>
      <c r="I964" s="562" t="s">
        <v>919</v>
      </c>
      <c r="J964" s="562" t="s">
        <v>757</v>
      </c>
      <c r="K964" s="561">
        <v>100</v>
      </c>
      <c r="L964" s="338"/>
      <c r="M964" s="565">
        <v>3</v>
      </c>
      <c r="N964" s="565">
        <v>3</v>
      </c>
      <c r="O964" s="566">
        <f t="shared" si="43"/>
        <v>1</v>
      </c>
      <c r="P964" s="567">
        <f t="shared" si="44"/>
        <v>1</v>
      </c>
      <c r="Q964" s="568">
        <f t="shared" si="42"/>
        <v>1</v>
      </c>
      <c r="R964" s="675"/>
    </row>
    <row r="965" spans="1:18" x14ac:dyDescent="0.2">
      <c r="A965" s="558" t="s">
        <v>277</v>
      </c>
      <c r="B965" s="559" t="s">
        <v>914</v>
      </c>
      <c r="C965" s="573" t="s">
        <v>296</v>
      </c>
      <c r="D965" s="327" t="s">
        <v>294</v>
      </c>
      <c r="E965" s="575" t="s">
        <v>1848</v>
      </c>
      <c r="F965" s="561" t="s">
        <v>109</v>
      </c>
      <c r="G965" s="562" t="s">
        <v>959</v>
      </c>
      <c r="H965" s="562" t="s">
        <v>958</v>
      </c>
      <c r="I965" s="562" t="s">
        <v>919</v>
      </c>
      <c r="J965" s="562" t="s">
        <v>757</v>
      </c>
      <c r="K965" s="561">
        <v>100</v>
      </c>
      <c r="L965" s="338"/>
      <c r="M965" s="565">
        <v>1</v>
      </c>
      <c r="N965" s="565">
        <v>1</v>
      </c>
      <c r="O965" s="566">
        <f t="shared" si="43"/>
        <v>1</v>
      </c>
      <c r="P965" s="567">
        <f t="shared" si="44"/>
        <v>1</v>
      </c>
      <c r="Q965" s="568">
        <f t="shared" ref="Q965:Q1028" si="45">N965/(M965*K965/100)</f>
        <v>1</v>
      </c>
      <c r="R965" s="675"/>
    </row>
    <row r="966" spans="1:18" x14ac:dyDescent="0.2">
      <c r="A966" s="558" t="s">
        <v>277</v>
      </c>
      <c r="B966" s="559" t="s">
        <v>914</v>
      </c>
      <c r="C966" s="573" t="s">
        <v>296</v>
      </c>
      <c r="D966" s="327" t="s">
        <v>282</v>
      </c>
      <c r="E966" s="575" t="s">
        <v>1848</v>
      </c>
      <c r="F966" s="561" t="s">
        <v>109</v>
      </c>
      <c r="G966" s="562" t="s">
        <v>959</v>
      </c>
      <c r="H966" s="562" t="s">
        <v>958</v>
      </c>
      <c r="I966" s="562" t="s">
        <v>919</v>
      </c>
      <c r="J966" s="562" t="s">
        <v>757</v>
      </c>
      <c r="K966" s="561">
        <v>100</v>
      </c>
      <c r="L966" s="338"/>
      <c r="M966" s="565">
        <v>2</v>
      </c>
      <c r="N966" s="565">
        <v>2</v>
      </c>
      <c r="O966" s="566">
        <f t="shared" ref="O966:O1029" si="46">IFERROR(N966/M966,0)</f>
        <v>1</v>
      </c>
      <c r="P966" s="567">
        <f t="shared" ref="P966:P1029" si="47">IFERROR(N966/(M966*(K966/100)),0)</f>
        <v>1</v>
      </c>
      <c r="Q966" s="568">
        <f t="shared" si="45"/>
        <v>1</v>
      </c>
      <c r="R966" s="675"/>
    </row>
    <row r="967" spans="1:18" x14ac:dyDescent="0.2">
      <c r="A967" s="558" t="s">
        <v>277</v>
      </c>
      <c r="B967" s="559" t="s">
        <v>914</v>
      </c>
      <c r="C967" s="573" t="s">
        <v>296</v>
      </c>
      <c r="D967" s="327" t="s">
        <v>285</v>
      </c>
      <c r="E967" s="575" t="s">
        <v>1715</v>
      </c>
      <c r="F967" s="561" t="s">
        <v>109</v>
      </c>
      <c r="G967" s="562" t="s">
        <v>959</v>
      </c>
      <c r="H967" s="562" t="s">
        <v>958</v>
      </c>
      <c r="I967" s="562" t="s">
        <v>919</v>
      </c>
      <c r="J967" s="562" t="s">
        <v>757</v>
      </c>
      <c r="K967" s="561">
        <v>100</v>
      </c>
      <c r="L967" s="338"/>
      <c r="M967" s="565">
        <v>11</v>
      </c>
      <c r="N967" s="565">
        <v>11</v>
      </c>
      <c r="O967" s="566">
        <f t="shared" si="46"/>
        <v>1</v>
      </c>
      <c r="P967" s="567">
        <f t="shared" si="47"/>
        <v>1</v>
      </c>
      <c r="Q967" s="568">
        <f t="shared" si="45"/>
        <v>1</v>
      </c>
      <c r="R967" s="675"/>
    </row>
    <row r="968" spans="1:18" x14ac:dyDescent="0.2">
      <c r="A968" s="558" t="s">
        <v>277</v>
      </c>
      <c r="B968" s="559" t="s">
        <v>914</v>
      </c>
      <c r="C968" s="573" t="s">
        <v>296</v>
      </c>
      <c r="D968" s="327" t="s">
        <v>298</v>
      </c>
      <c r="E968" s="575" t="s">
        <v>1715</v>
      </c>
      <c r="F968" s="561" t="s">
        <v>109</v>
      </c>
      <c r="G968" s="562" t="s">
        <v>959</v>
      </c>
      <c r="H968" s="562" t="s">
        <v>958</v>
      </c>
      <c r="I968" s="562" t="s">
        <v>919</v>
      </c>
      <c r="J968" s="562" t="s">
        <v>757</v>
      </c>
      <c r="K968" s="561">
        <v>100</v>
      </c>
      <c r="L968" s="338"/>
      <c r="M968" s="565">
        <v>20</v>
      </c>
      <c r="N968" s="565">
        <v>20</v>
      </c>
      <c r="O968" s="566">
        <f t="shared" si="46"/>
        <v>1</v>
      </c>
      <c r="P968" s="567">
        <f t="shared" si="47"/>
        <v>1</v>
      </c>
      <c r="Q968" s="568">
        <f t="shared" si="45"/>
        <v>1</v>
      </c>
      <c r="R968" s="675"/>
    </row>
    <row r="969" spans="1:18" x14ac:dyDescent="0.2">
      <c r="A969" s="558" t="s">
        <v>277</v>
      </c>
      <c r="B969" s="559" t="s">
        <v>914</v>
      </c>
      <c r="C969" s="573" t="s">
        <v>316</v>
      </c>
      <c r="D969" s="327" t="s">
        <v>292</v>
      </c>
      <c r="E969" s="575" t="s">
        <v>1849</v>
      </c>
      <c r="F969" s="561" t="s">
        <v>109</v>
      </c>
      <c r="G969" s="562" t="s">
        <v>959</v>
      </c>
      <c r="H969" s="562" t="s">
        <v>958</v>
      </c>
      <c r="I969" s="562" t="s">
        <v>919</v>
      </c>
      <c r="J969" s="562" t="s">
        <v>757</v>
      </c>
      <c r="K969" s="561">
        <v>100</v>
      </c>
      <c r="L969" s="338"/>
      <c r="M969" s="565">
        <v>0</v>
      </c>
      <c r="N969" s="565">
        <v>0</v>
      </c>
      <c r="O969" s="566">
        <f t="shared" si="46"/>
        <v>0</v>
      </c>
      <c r="P969" s="567">
        <f t="shared" si="47"/>
        <v>0</v>
      </c>
      <c r="Q969" s="568" t="e">
        <f t="shared" si="45"/>
        <v>#DIV/0!</v>
      </c>
      <c r="R969" s="676" t="s">
        <v>1919</v>
      </c>
    </row>
    <row r="970" spans="1:18" x14ac:dyDescent="0.2">
      <c r="A970" s="558" t="s">
        <v>277</v>
      </c>
      <c r="B970" s="559" t="s">
        <v>914</v>
      </c>
      <c r="C970" s="573" t="s">
        <v>316</v>
      </c>
      <c r="D970" s="327" t="s">
        <v>294</v>
      </c>
      <c r="E970" s="575" t="s">
        <v>1849</v>
      </c>
      <c r="F970" s="561" t="s">
        <v>109</v>
      </c>
      <c r="G970" s="562" t="s">
        <v>959</v>
      </c>
      <c r="H970" s="562" t="s">
        <v>958</v>
      </c>
      <c r="I970" s="562" t="s">
        <v>919</v>
      </c>
      <c r="J970" s="562" t="s">
        <v>757</v>
      </c>
      <c r="K970" s="561">
        <v>100</v>
      </c>
      <c r="L970" s="338"/>
      <c r="M970" s="565">
        <v>0</v>
      </c>
      <c r="N970" s="565">
        <v>0</v>
      </c>
      <c r="O970" s="566">
        <f t="shared" si="46"/>
        <v>0</v>
      </c>
      <c r="P970" s="567">
        <f t="shared" si="47"/>
        <v>0</v>
      </c>
      <c r="Q970" s="568" t="e">
        <f t="shared" si="45"/>
        <v>#DIV/0!</v>
      </c>
      <c r="R970" s="676" t="s">
        <v>1919</v>
      </c>
    </row>
    <row r="971" spans="1:18" x14ac:dyDescent="0.2">
      <c r="A971" s="558" t="s">
        <v>277</v>
      </c>
      <c r="B971" s="559" t="s">
        <v>914</v>
      </c>
      <c r="C971" s="573" t="s">
        <v>308</v>
      </c>
      <c r="D971" s="327" t="s">
        <v>300</v>
      </c>
      <c r="E971" s="575" t="s">
        <v>1715</v>
      </c>
      <c r="F971" s="561" t="s">
        <v>109</v>
      </c>
      <c r="G971" s="562" t="s">
        <v>959</v>
      </c>
      <c r="H971" s="562" t="s">
        <v>958</v>
      </c>
      <c r="I971" s="562" t="s">
        <v>919</v>
      </c>
      <c r="J971" s="562" t="s">
        <v>757</v>
      </c>
      <c r="K971" s="561">
        <v>100</v>
      </c>
      <c r="L971" s="338"/>
      <c r="M971" s="565">
        <v>51</v>
      </c>
      <c r="N971" s="565">
        <v>51</v>
      </c>
      <c r="O971" s="566">
        <f t="shared" si="46"/>
        <v>1</v>
      </c>
      <c r="P971" s="567">
        <f t="shared" si="47"/>
        <v>1</v>
      </c>
      <c r="Q971" s="568">
        <f t="shared" si="45"/>
        <v>1</v>
      </c>
      <c r="R971" s="675"/>
    </row>
    <row r="972" spans="1:18" x14ac:dyDescent="0.2">
      <c r="A972" s="558" t="s">
        <v>277</v>
      </c>
      <c r="B972" s="559" t="s">
        <v>914</v>
      </c>
      <c r="C972" s="573" t="s">
        <v>308</v>
      </c>
      <c r="D972" s="327" t="s">
        <v>292</v>
      </c>
      <c r="E972" s="575" t="s">
        <v>1850</v>
      </c>
      <c r="F972" s="561" t="s">
        <v>109</v>
      </c>
      <c r="G972" s="562" t="s">
        <v>959</v>
      </c>
      <c r="H972" s="562" t="s">
        <v>958</v>
      </c>
      <c r="I972" s="562" t="s">
        <v>919</v>
      </c>
      <c r="J972" s="562" t="s">
        <v>757</v>
      </c>
      <c r="K972" s="561">
        <v>100</v>
      </c>
      <c r="L972" s="338"/>
      <c r="M972" s="565">
        <v>7</v>
      </c>
      <c r="N972" s="565">
        <v>7</v>
      </c>
      <c r="O972" s="566">
        <f t="shared" si="46"/>
        <v>1</v>
      </c>
      <c r="P972" s="567">
        <f t="shared" si="47"/>
        <v>1</v>
      </c>
      <c r="Q972" s="568">
        <f t="shared" si="45"/>
        <v>1</v>
      </c>
      <c r="R972" s="675"/>
    </row>
    <row r="973" spans="1:18" x14ac:dyDescent="0.2">
      <c r="A973" s="558" t="s">
        <v>277</v>
      </c>
      <c r="B973" s="559" t="s">
        <v>914</v>
      </c>
      <c r="C973" s="573" t="s">
        <v>308</v>
      </c>
      <c r="D973" s="327" t="s">
        <v>294</v>
      </c>
      <c r="E973" s="575" t="s">
        <v>1850</v>
      </c>
      <c r="F973" s="561" t="s">
        <v>109</v>
      </c>
      <c r="G973" s="562" t="s">
        <v>959</v>
      </c>
      <c r="H973" s="562" t="s">
        <v>958</v>
      </c>
      <c r="I973" s="562" t="s">
        <v>919</v>
      </c>
      <c r="J973" s="562" t="s">
        <v>757</v>
      </c>
      <c r="K973" s="561">
        <v>100</v>
      </c>
      <c r="L973" s="338"/>
      <c r="M973" s="565">
        <v>1</v>
      </c>
      <c r="N973" s="565">
        <v>1</v>
      </c>
      <c r="O973" s="566">
        <f t="shared" si="46"/>
        <v>1</v>
      </c>
      <c r="P973" s="567">
        <f t="shared" si="47"/>
        <v>1</v>
      </c>
      <c r="Q973" s="568">
        <f t="shared" si="45"/>
        <v>1</v>
      </c>
      <c r="R973" s="675"/>
    </row>
    <row r="974" spans="1:18" x14ac:dyDescent="0.2">
      <c r="A974" s="558" t="s">
        <v>277</v>
      </c>
      <c r="B974" s="559" t="s">
        <v>914</v>
      </c>
      <c r="C974" s="573" t="s">
        <v>305</v>
      </c>
      <c r="D974" s="327" t="s">
        <v>300</v>
      </c>
      <c r="E974" s="575" t="s">
        <v>1715</v>
      </c>
      <c r="F974" s="561" t="s">
        <v>109</v>
      </c>
      <c r="G974" s="562" t="s">
        <v>959</v>
      </c>
      <c r="H974" s="562" t="s">
        <v>958</v>
      </c>
      <c r="I974" s="562" t="s">
        <v>919</v>
      </c>
      <c r="J974" s="562" t="s">
        <v>757</v>
      </c>
      <c r="K974" s="561">
        <v>100</v>
      </c>
      <c r="L974" s="338"/>
      <c r="M974" s="565">
        <v>568</v>
      </c>
      <c r="N974" s="565">
        <v>568</v>
      </c>
      <c r="O974" s="566">
        <f t="shared" si="46"/>
        <v>1</v>
      </c>
      <c r="P974" s="567">
        <f t="shared" si="47"/>
        <v>1</v>
      </c>
      <c r="Q974" s="568">
        <f t="shared" si="45"/>
        <v>1</v>
      </c>
      <c r="R974" s="675"/>
    </row>
    <row r="975" spans="1:18" x14ac:dyDescent="0.2">
      <c r="A975" s="558" t="s">
        <v>277</v>
      </c>
      <c r="B975" s="559" t="s">
        <v>914</v>
      </c>
      <c r="C975" s="573" t="s">
        <v>305</v>
      </c>
      <c r="D975" s="327" t="s">
        <v>292</v>
      </c>
      <c r="E975" s="575" t="s">
        <v>1715</v>
      </c>
      <c r="F975" s="561" t="s">
        <v>109</v>
      </c>
      <c r="G975" s="562" t="s">
        <v>959</v>
      </c>
      <c r="H975" s="562" t="s">
        <v>958</v>
      </c>
      <c r="I975" s="562" t="s">
        <v>919</v>
      </c>
      <c r="J975" s="562" t="s">
        <v>757</v>
      </c>
      <c r="K975" s="561">
        <v>100</v>
      </c>
      <c r="L975" s="338"/>
      <c r="M975" s="565">
        <v>85</v>
      </c>
      <c r="N975" s="565">
        <v>85</v>
      </c>
      <c r="O975" s="566">
        <f t="shared" si="46"/>
        <v>1</v>
      </c>
      <c r="P975" s="567">
        <f t="shared" si="47"/>
        <v>1</v>
      </c>
      <c r="Q975" s="568">
        <f t="shared" si="45"/>
        <v>1</v>
      </c>
      <c r="R975" s="675"/>
    </row>
    <row r="976" spans="1:18" x14ac:dyDescent="0.2">
      <c r="A976" s="558" t="s">
        <v>277</v>
      </c>
      <c r="B976" s="559" t="s">
        <v>914</v>
      </c>
      <c r="C976" s="573" t="s">
        <v>305</v>
      </c>
      <c r="D976" s="327" t="s">
        <v>294</v>
      </c>
      <c r="E976" s="575" t="s">
        <v>1851</v>
      </c>
      <c r="F976" s="561" t="s">
        <v>109</v>
      </c>
      <c r="G976" s="562" t="s">
        <v>959</v>
      </c>
      <c r="H976" s="562" t="s">
        <v>958</v>
      </c>
      <c r="I976" s="562" t="s">
        <v>919</v>
      </c>
      <c r="J976" s="562" t="s">
        <v>757</v>
      </c>
      <c r="K976" s="561">
        <v>100</v>
      </c>
      <c r="L976" s="338"/>
      <c r="M976" s="565">
        <v>24</v>
      </c>
      <c r="N976" s="565">
        <v>24</v>
      </c>
      <c r="O976" s="566">
        <f t="shared" si="46"/>
        <v>1</v>
      </c>
      <c r="P976" s="567">
        <f t="shared" si="47"/>
        <v>1</v>
      </c>
      <c r="Q976" s="568">
        <f t="shared" si="45"/>
        <v>1</v>
      </c>
      <c r="R976" s="675"/>
    </row>
    <row r="977" spans="1:18" x14ac:dyDescent="0.2">
      <c r="A977" s="558" t="s">
        <v>277</v>
      </c>
      <c r="B977" s="559" t="s">
        <v>914</v>
      </c>
      <c r="C977" s="573" t="s">
        <v>305</v>
      </c>
      <c r="D977" s="327" t="s">
        <v>285</v>
      </c>
      <c r="E977" s="575" t="s">
        <v>1851</v>
      </c>
      <c r="F977" s="561" t="s">
        <v>109</v>
      </c>
      <c r="G977" s="562" t="s">
        <v>959</v>
      </c>
      <c r="H977" s="562" t="s">
        <v>958</v>
      </c>
      <c r="I977" s="562" t="s">
        <v>919</v>
      </c>
      <c r="J977" s="562" t="s">
        <v>757</v>
      </c>
      <c r="K977" s="561">
        <v>100</v>
      </c>
      <c r="L977" s="338"/>
      <c r="M977" s="565">
        <v>2</v>
      </c>
      <c r="N977" s="565">
        <v>2</v>
      </c>
      <c r="O977" s="566">
        <f t="shared" si="46"/>
        <v>1</v>
      </c>
      <c r="P977" s="567">
        <f t="shared" si="47"/>
        <v>1</v>
      </c>
      <c r="Q977" s="568">
        <f t="shared" si="45"/>
        <v>1</v>
      </c>
      <c r="R977" s="675"/>
    </row>
    <row r="978" spans="1:18" x14ac:dyDescent="0.2">
      <c r="A978" s="558" t="s">
        <v>277</v>
      </c>
      <c r="B978" s="559" t="s">
        <v>914</v>
      </c>
      <c r="C978" s="573" t="s">
        <v>97</v>
      </c>
      <c r="D978" s="327" t="s">
        <v>282</v>
      </c>
      <c r="E978" s="575" t="s">
        <v>1843</v>
      </c>
      <c r="F978" s="561" t="s">
        <v>109</v>
      </c>
      <c r="G978" s="562" t="s">
        <v>960</v>
      </c>
      <c r="H978" s="562" t="s">
        <v>958</v>
      </c>
      <c r="I978" s="562" t="s">
        <v>919</v>
      </c>
      <c r="J978" s="562" t="s">
        <v>757</v>
      </c>
      <c r="K978" s="561">
        <v>100</v>
      </c>
      <c r="L978" s="338"/>
      <c r="M978" s="565">
        <v>6</v>
      </c>
      <c r="N978" s="565">
        <v>6</v>
      </c>
      <c r="O978" s="566">
        <f t="shared" si="46"/>
        <v>1</v>
      </c>
      <c r="P978" s="567">
        <f t="shared" si="47"/>
        <v>1</v>
      </c>
      <c r="Q978" s="568">
        <f t="shared" si="45"/>
        <v>1</v>
      </c>
      <c r="R978" s="675"/>
    </row>
    <row r="979" spans="1:18" x14ac:dyDescent="0.2">
      <c r="A979" s="558" t="s">
        <v>277</v>
      </c>
      <c r="B979" s="559" t="s">
        <v>914</v>
      </c>
      <c r="C979" s="573" t="s">
        <v>97</v>
      </c>
      <c r="D979" s="327" t="s">
        <v>285</v>
      </c>
      <c r="E979" s="575" t="s">
        <v>1843</v>
      </c>
      <c r="F979" s="561" t="s">
        <v>109</v>
      </c>
      <c r="G979" s="562" t="s">
        <v>960</v>
      </c>
      <c r="H979" s="562" t="s">
        <v>958</v>
      </c>
      <c r="I979" s="562" t="s">
        <v>919</v>
      </c>
      <c r="J979" s="562" t="s">
        <v>757</v>
      </c>
      <c r="K979" s="561">
        <v>100</v>
      </c>
      <c r="L979" s="338"/>
      <c r="M979" s="565">
        <v>8</v>
      </c>
      <c r="N979" s="565">
        <v>8</v>
      </c>
      <c r="O979" s="566">
        <f t="shared" si="46"/>
        <v>1</v>
      </c>
      <c r="P979" s="567">
        <f t="shared" si="47"/>
        <v>1</v>
      </c>
      <c r="Q979" s="568">
        <f t="shared" si="45"/>
        <v>1</v>
      </c>
      <c r="R979" s="675"/>
    </row>
    <row r="980" spans="1:18" x14ac:dyDescent="0.2">
      <c r="A980" s="558" t="s">
        <v>277</v>
      </c>
      <c r="B980" s="559" t="s">
        <v>914</v>
      </c>
      <c r="C980" s="573" t="s">
        <v>286</v>
      </c>
      <c r="D980" s="327" t="s">
        <v>300</v>
      </c>
      <c r="E980" s="575" t="s">
        <v>1715</v>
      </c>
      <c r="F980" s="561" t="s">
        <v>109</v>
      </c>
      <c r="G980" s="562" t="s">
        <v>960</v>
      </c>
      <c r="H980" s="562" t="s">
        <v>958</v>
      </c>
      <c r="I980" s="562" t="s">
        <v>919</v>
      </c>
      <c r="J980" s="562" t="s">
        <v>757</v>
      </c>
      <c r="K980" s="561">
        <v>100</v>
      </c>
      <c r="L980" s="338"/>
      <c r="M980" s="565">
        <v>39</v>
      </c>
      <c r="N980" s="565">
        <v>39</v>
      </c>
      <c r="O980" s="566">
        <f t="shared" si="46"/>
        <v>1</v>
      </c>
      <c r="P980" s="567">
        <f t="shared" si="47"/>
        <v>1</v>
      </c>
      <c r="Q980" s="568">
        <f t="shared" si="45"/>
        <v>1</v>
      </c>
      <c r="R980" s="675"/>
    </row>
    <row r="981" spans="1:18" x14ac:dyDescent="0.2">
      <c r="A981" s="558" t="s">
        <v>277</v>
      </c>
      <c r="B981" s="559" t="s">
        <v>914</v>
      </c>
      <c r="C981" s="573" t="s">
        <v>286</v>
      </c>
      <c r="D981" s="327" t="s">
        <v>292</v>
      </c>
      <c r="E981" s="575" t="s">
        <v>1715</v>
      </c>
      <c r="F981" s="561" t="s">
        <v>109</v>
      </c>
      <c r="G981" s="562" t="s">
        <v>960</v>
      </c>
      <c r="H981" s="562" t="s">
        <v>958</v>
      </c>
      <c r="I981" s="562" t="s">
        <v>919</v>
      </c>
      <c r="J981" s="562" t="s">
        <v>757</v>
      </c>
      <c r="K981" s="561">
        <v>100</v>
      </c>
      <c r="L981" s="338"/>
      <c r="M981" s="565">
        <v>12</v>
      </c>
      <c r="N981" s="565">
        <v>12</v>
      </c>
      <c r="O981" s="566">
        <f t="shared" si="46"/>
        <v>1</v>
      </c>
      <c r="P981" s="567">
        <f t="shared" si="47"/>
        <v>1</v>
      </c>
      <c r="Q981" s="568">
        <f t="shared" si="45"/>
        <v>1</v>
      </c>
      <c r="R981" s="675"/>
    </row>
    <row r="982" spans="1:18" x14ac:dyDescent="0.2">
      <c r="A982" s="558" t="s">
        <v>277</v>
      </c>
      <c r="B982" s="559" t="s">
        <v>914</v>
      </c>
      <c r="C982" s="573" t="s">
        <v>286</v>
      </c>
      <c r="D982" s="327" t="s">
        <v>294</v>
      </c>
      <c r="E982" s="575" t="s">
        <v>1715</v>
      </c>
      <c r="F982" s="561" t="s">
        <v>109</v>
      </c>
      <c r="G982" s="562" t="s">
        <v>960</v>
      </c>
      <c r="H982" s="562" t="s">
        <v>958</v>
      </c>
      <c r="I982" s="562" t="s">
        <v>919</v>
      </c>
      <c r="J982" s="562" t="s">
        <v>757</v>
      </c>
      <c r="K982" s="561">
        <v>100</v>
      </c>
      <c r="L982" s="338"/>
      <c r="M982" s="565">
        <v>40</v>
      </c>
      <c r="N982" s="565">
        <v>40</v>
      </c>
      <c r="O982" s="566">
        <f t="shared" si="46"/>
        <v>1</v>
      </c>
      <c r="P982" s="567">
        <f t="shared" si="47"/>
        <v>1</v>
      </c>
      <c r="Q982" s="568">
        <f t="shared" si="45"/>
        <v>1</v>
      </c>
      <c r="R982" s="675"/>
    </row>
    <row r="983" spans="1:18" x14ac:dyDescent="0.2">
      <c r="A983" s="558" t="s">
        <v>277</v>
      </c>
      <c r="B983" s="559" t="s">
        <v>914</v>
      </c>
      <c r="C983" s="573" t="s">
        <v>286</v>
      </c>
      <c r="D983" s="327" t="s">
        <v>282</v>
      </c>
      <c r="E983" s="575" t="s">
        <v>1715</v>
      </c>
      <c r="F983" s="561" t="s">
        <v>109</v>
      </c>
      <c r="G983" s="562" t="s">
        <v>960</v>
      </c>
      <c r="H983" s="562" t="s">
        <v>958</v>
      </c>
      <c r="I983" s="562" t="s">
        <v>919</v>
      </c>
      <c r="J983" s="562" t="s">
        <v>757</v>
      </c>
      <c r="K983" s="561">
        <v>100</v>
      </c>
      <c r="L983" s="338"/>
      <c r="M983" s="565">
        <v>68</v>
      </c>
      <c r="N983" s="565">
        <v>68</v>
      </c>
      <c r="O983" s="566">
        <f t="shared" si="46"/>
        <v>1</v>
      </c>
      <c r="P983" s="567">
        <f t="shared" si="47"/>
        <v>1</v>
      </c>
      <c r="Q983" s="568">
        <f t="shared" si="45"/>
        <v>1</v>
      </c>
      <c r="R983" s="675"/>
    </row>
    <row r="984" spans="1:18" x14ac:dyDescent="0.2">
      <c r="A984" s="558" t="s">
        <v>277</v>
      </c>
      <c r="B984" s="559" t="s">
        <v>914</v>
      </c>
      <c r="C984" s="573" t="s">
        <v>286</v>
      </c>
      <c r="D984" s="327" t="s">
        <v>285</v>
      </c>
      <c r="E984" s="575" t="s">
        <v>1715</v>
      </c>
      <c r="F984" s="561" t="s">
        <v>109</v>
      </c>
      <c r="G984" s="562" t="s">
        <v>960</v>
      </c>
      <c r="H984" s="562" t="s">
        <v>958</v>
      </c>
      <c r="I984" s="562" t="s">
        <v>919</v>
      </c>
      <c r="J984" s="562" t="s">
        <v>757</v>
      </c>
      <c r="K984" s="561">
        <v>100</v>
      </c>
      <c r="L984" s="338"/>
      <c r="M984" s="565">
        <v>47</v>
      </c>
      <c r="N984" s="565">
        <v>47</v>
      </c>
      <c r="O984" s="566">
        <f t="shared" si="46"/>
        <v>1</v>
      </c>
      <c r="P984" s="567">
        <f t="shared" si="47"/>
        <v>1</v>
      </c>
      <c r="Q984" s="568">
        <f t="shared" si="45"/>
        <v>1</v>
      </c>
      <c r="R984" s="675"/>
    </row>
    <row r="985" spans="1:18" x14ac:dyDescent="0.2">
      <c r="A985" s="558" t="s">
        <v>277</v>
      </c>
      <c r="B985" s="559" t="s">
        <v>914</v>
      </c>
      <c r="C985" s="573" t="s">
        <v>303</v>
      </c>
      <c r="D985" s="327" t="s">
        <v>300</v>
      </c>
      <c r="E985" s="575" t="s">
        <v>1715</v>
      </c>
      <c r="F985" s="561" t="s">
        <v>109</v>
      </c>
      <c r="G985" s="562" t="s">
        <v>960</v>
      </c>
      <c r="H985" s="562" t="s">
        <v>958</v>
      </c>
      <c r="I985" s="562" t="s">
        <v>919</v>
      </c>
      <c r="J985" s="562" t="s">
        <v>757</v>
      </c>
      <c r="K985" s="561">
        <v>100</v>
      </c>
      <c r="L985" s="338"/>
      <c r="M985" s="565">
        <v>144</v>
      </c>
      <c r="N985" s="565">
        <v>144</v>
      </c>
      <c r="O985" s="566">
        <f t="shared" si="46"/>
        <v>1</v>
      </c>
      <c r="P985" s="567">
        <f t="shared" si="47"/>
        <v>1</v>
      </c>
      <c r="Q985" s="568">
        <f t="shared" si="45"/>
        <v>1</v>
      </c>
      <c r="R985" s="675"/>
    </row>
    <row r="986" spans="1:18" x14ac:dyDescent="0.2">
      <c r="A986" s="558" t="s">
        <v>277</v>
      </c>
      <c r="B986" s="559" t="s">
        <v>914</v>
      </c>
      <c r="C986" s="573" t="s">
        <v>303</v>
      </c>
      <c r="D986" s="327" t="s">
        <v>292</v>
      </c>
      <c r="E986" s="575" t="s">
        <v>1844</v>
      </c>
      <c r="F986" s="561" t="s">
        <v>109</v>
      </c>
      <c r="G986" s="562" t="s">
        <v>960</v>
      </c>
      <c r="H986" s="562" t="s">
        <v>958</v>
      </c>
      <c r="I986" s="562" t="s">
        <v>919</v>
      </c>
      <c r="J986" s="562" t="s">
        <v>757</v>
      </c>
      <c r="K986" s="561">
        <v>100</v>
      </c>
      <c r="L986" s="338"/>
      <c r="M986" s="565">
        <v>42</v>
      </c>
      <c r="N986" s="565">
        <v>42</v>
      </c>
      <c r="O986" s="566">
        <f t="shared" si="46"/>
        <v>1</v>
      </c>
      <c r="P986" s="567">
        <f t="shared" si="47"/>
        <v>1</v>
      </c>
      <c r="Q986" s="568">
        <f t="shared" si="45"/>
        <v>1</v>
      </c>
      <c r="R986" s="675"/>
    </row>
    <row r="987" spans="1:18" x14ac:dyDescent="0.2">
      <c r="A987" s="558" t="s">
        <v>277</v>
      </c>
      <c r="B987" s="559" t="s">
        <v>914</v>
      </c>
      <c r="C987" s="573" t="s">
        <v>303</v>
      </c>
      <c r="D987" s="327" t="s">
        <v>294</v>
      </c>
      <c r="E987" s="575" t="s">
        <v>1844</v>
      </c>
      <c r="F987" s="561" t="s">
        <v>109</v>
      </c>
      <c r="G987" s="562" t="s">
        <v>960</v>
      </c>
      <c r="H987" s="562" t="s">
        <v>958</v>
      </c>
      <c r="I987" s="562" t="s">
        <v>919</v>
      </c>
      <c r="J987" s="562" t="s">
        <v>757</v>
      </c>
      <c r="K987" s="561">
        <v>100</v>
      </c>
      <c r="L987" s="338"/>
      <c r="M987" s="565">
        <v>10</v>
      </c>
      <c r="N987" s="565">
        <v>10</v>
      </c>
      <c r="O987" s="566">
        <f t="shared" si="46"/>
        <v>1</v>
      </c>
      <c r="P987" s="567">
        <f t="shared" si="47"/>
        <v>1</v>
      </c>
      <c r="Q987" s="568">
        <f t="shared" si="45"/>
        <v>1</v>
      </c>
      <c r="R987" s="675"/>
    </row>
    <row r="988" spans="1:18" x14ac:dyDescent="0.2">
      <c r="A988" s="558" t="s">
        <v>277</v>
      </c>
      <c r="B988" s="559" t="s">
        <v>914</v>
      </c>
      <c r="C988" s="573" t="s">
        <v>303</v>
      </c>
      <c r="D988" s="327" t="s">
        <v>282</v>
      </c>
      <c r="E988" s="575" t="s">
        <v>1845</v>
      </c>
      <c r="F988" s="561" t="s">
        <v>109</v>
      </c>
      <c r="G988" s="562" t="s">
        <v>960</v>
      </c>
      <c r="H988" s="562" t="s">
        <v>958</v>
      </c>
      <c r="I988" s="562" t="s">
        <v>919</v>
      </c>
      <c r="J988" s="562" t="s">
        <v>757</v>
      </c>
      <c r="K988" s="561">
        <v>100</v>
      </c>
      <c r="L988" s="338"/>
      <c r="M988" s="565">
        <v>2</v>
      </c>
      <c r="N988" s="565">
        <v>2</v>
      </c>
      <c r="O988" s="566">
        <f t="shared" si="46"/>
        <v>1</v>
      </c>
      <c r="P988" s="567">
        <f t="shared" si="47"/>
        <v>1</v>
      </c>
      <c r="Q988" s="568">
        <f t="shared" si="45"/>
        <v>1</v>
      </c>
      <c r="R988" s="675"/>
    </row>
    <row r="989" spans="1:18" x14ac:dyDescent="0.2">
      <c r="A989" s="558" t="s">
        <v>277</v>
      </c>
      <c r="B989" s="559" t="s">
        <v>914</v>
      </c>
      <c r="C989" s="573" t="s">
        <v>303</v>
      </c>
      <c r="D989" s="327" t="s">
        <v>285</v>
      </c>
      <c r="E989" s="575" t="s">
        <v>1845</v>
      </c>
      <c r="F989" s="561" t="s">
        <v>109</v>
      </c>
      <c r="G989" s="562" t="s">
        <v>960</v>
      </c>
      <c r="H989" s="562" t="s">
        <v>958</v>
      </c>
      <c r="I989" s="562" t="s">
        <v>919</v>
      </c>
      <c r="J989" s="562" t="s">
        <v>757</v>
      </c>
      <c r="K989" s="561">
        <v>100</v>
      </c>
      <c r="L989" s="338"/>
      <c r="M989" s="565">
        <v>5</v>
      </c>
      <c r="N989" s="565">
        <v>5</v>
      </c>
      <c r="O989" s="566">
        <f t="shared" si="46"/>
        <v>1</v>
      </c>
      <c r="P989" s="567">
        <f t="shared" si="47"/>
        <v>1</v>
      </c>
      <c r="Q989" s="568">
        <f t="shared" si="45"/>
        <v>1</v>
      </c>
      <c r="R989" s="675"/>
    </row>
    <row r="990" spans="1:18" x14ac:dyDescent="0.2">
      <c r="A990" s="558" t="s">
        <v>277</v>
      </c>
      <c r="B990" s="559" t="s">
        <v>914</v>
      </c>
      <c r="C990" s="573" t="s">
        <v>99</v>
      </c>
      <c r="D990" s="327" t="s">
        <v>300</v>
      </c>
      <c r="E990" s="575" t="s">
        <v>1715</v>
      </c>
      <c r="F990" s="561" t="s">
        <v>109</v>
      </c>
      <c r="G990" s="562" t="s">
        <v>960</v>
      </c>
      <c r="H990" s="562" t="s">
        <v>958</v>
      </c>
      <c r="I990" s="562" t="s">
        <v>919</v>
      </c>
      <c r="J990" s="562" t="s">
        <v>757</v>
      </c>
      <c r="K990" s="561">
        <v>100</v>
      </c>
      <c r="L990" s="338"/>
      <c r="M990" s="565">
        <v>158</v>
      </c>
      <c r="N990" s="565">
        <v>158</v>
      </c>
      <c r="O990" s="566">
        <f t="shared" si="46"/>
        <v>1</v>
      </c>
      <c r="P990" s="567">
        <f t="shared" si="47"/>
        <v>1</v>
      </c>
      <c r="Q990" s="568">
        <f t="shared" si="45"/>
        <v>1</v>
      </c>
      <c r="R990" s="675"/>
    </row>
    <row r="991" spans="1:18" x14ac:dyDescent="0.2">
      <c r="A991" s="558" t="s">
        <v>277</v>
      </c>
      <c r="B991" s="559" t="s">
        <v>914</v>
      </c>
      <c r="C991" s="573" t="s">
        <v>99</v>
      </c>
      <c r="D991" s="327" t="s">
        <v>292</v>
      </c>
      <c r="E991" s="575" t="s">
        <v>1715</v>
      </c>
      <c r="F991" s="561" t="s">
        <v>109</v>
      </c>
      <c r="G991" s="562" t="s">
        <v>960</v>
      </c>
      <c r="H991" s="562" t="s">
        <v>958</v>
      </c>
      <c r="I991" s="562" t="s">
        <v>919</v>
      </c>
      <c r="J991" s="562" t="s">
        <v>757</v>
      </c>
      <c r="K991" s="561">
        <v>100</v>
      </c>
      <c r="L991" s="338"/>
      <c r="M991" s="565">
        <v>7</v>
      </c>
      <c r="N991" s="565">
        <v>7</v>
      </c>
      <c r="O991" s="566">
        <f t="shared" si="46"/>
        <v>1</v>
      </c>
      <c r="P991" s="567">
        <f t="shared" si="47"/>
        <v>1</v>
      </c>
      <c r="Q991" s="568">
        <f t="shared" si="45"/>
        <v>1</v>
      </c>
      <c r="R991" s="675"/>
    </row>
    <row r="992" spans="1:18" x14ac:dyDescent="0.2">
      <c r="A992" s="558" t="s">
        <v>277</v>
      </c>
      <c r="B992" s="559" t="s">
        <v>914</v>
      </c>
      <c r="C992" s="573" t="s">
        <v>99</v>
      </c>
      <c r="D992" s="327" t="s">
        <v>294</v>
      </c>
      <c r="E992" s="575" t="s">
        <v>1846</v>
      </c>
      <c r="F992" s="561" t="s">
        <v>109</v>
      </c>
      <c r="G992" s="562" t="s">
        <v>960</v>
      </c>
      <c r="H992" s="562" t="s">
        <v>958</v>
      </c>
      <c r="I992" s="562" t="s">
        <v>919</v>
      </c>
      <c r="J992" s="562" t="s">
        <v>757</v>
      </c>
      <c r="K992" s="561">
        <v>100</v>
      </c>
      <c r="L992" s="338"/>
      <c r="M992" s="565">
        <v>8</v>
      </c>
      <c r="N992" s="565">
        <v>8</v>
      </c>
      <c r="O992" s="566">
        <f t="shared" si="46"/>
        <v>1</v>
      </c>
      <c r="P992" s="567">
        <f t="shared" si="47"/>
        <v>1</v>
      </c>
      <c r="Q992" s="568">
        <f t="shared" si="45"/>
        <v>1</v>
      </c>
      <c r="R992" s="675"/>
    </row>
    <row r="993" spans="1:18" x14ac:dyDescent="0.2">
      <c r="A993" s="558" t="s">
        <v>277</v>
      </c>
      <c r="B993" s="559" t="s">
        <v>914</v>
      </c>
      <c r="C993" s="573" t="s">
        <v>99</v>
      </c>
      <c r="D993" s="327" t="s">
        <v>282</v>
      </c>
      <c r="E993" s="575" t="s">
        <v>1846</v>
      </c>
      <c r="F993" s="561" t="s">
        <v>109</v>
      </c>
      <c r="G993" s="562" t="s">
        <v>960</v>
      </c>
      <c r="H993" s="562" t="s">
        <v>958</v>
      </c>
      <c r="I993" s="562" t="s">
        <v>919</v>
      </c>
      <c r="J993" s="562" t="s">
        <v>757</v>
      </c>
      <c r="K993" s="561">
        <v>100</v>
      </c>
      <c r="L993" s="338"/>
      <c r="M993" s="565">
        <v>4</v>
      </c>
      <c r="N993" s="565">
        <v>4</v>
      </c>
      <c r="O993" s="566">
        <f t="shared" si="46"/>
        <v>1</v>
      </c>
      <c r="P993" s="567">
        <f t="shared" si="47"/>
        <v>1</v>
      </c>
      <c r="Q993" s="568">
        <f t="shared" si="45"/>
        <v>1</v>
      </c>
      <c r="R993" s="675"/>
    </row>
    <row r="994" spans="1:18" x14ac:dyDescent="0.2">
      <c r="A994" s="558" t="s">
        <v>277</v>
      </c>
      <c r="B994" s="559" t="s">
        <v>914</v>
      </c>
      <c r="C994" s="573" t="s">
        <v>99</v>
      </c>
      <c r="D994" s="327" t="s">
        <v>285</v>
      </c>
      <c r="E994" s="575" t="s">
        <v>1846</v>
      </c>
      <c r="F994" s="561" t="s">
        <v>109</v>
      </c>
      <c r="G994" s="562" t="s">
        <v>960</v>
      </c>
      <c r="H994" s="562" t="s">
        <v>958</v>
      </c>
      <c r="I994" s="562" t="s">
        <v>919</v>
      </c>
      <c r="J994" s="562" t="s">
        <v>757</v>
      </c>
      <c r="K994" s="561">
        <v>100</v>
      </c>
      <c r="L994" s="338"/>
      <c r="M994" s="565">
        <v>1</v>
      </c>
      <c r="N994" s="565">
        <v>1</v>
      </c>
      <c r="O994" s="566">
        <f t="shared" si="46"/>
        <v>1</v>
      </c>
      <c r="P994" s="567">
        <f t="shared" si="47"/>
        <v>1</v>
      </c>
      <c r="Q994" s="568">
        <f t="shared" si="45"/>
        <v>1</v>
      </c>
      <c r="R994" s="675"/>
    </row>
    <row r="995" spans="1:18" x14ac:dyDescent="0.2">
      <c r="A995" s="558" t="s">
        <v>277</v>
      </c>
      <c r="B995" s="559" t="s">
        <v>914</v>
      </c>
      <c r="C995" s="573" t="s">
        <v>296</v>
      </c>
      <c r="D995" s="327" t="s">
        <v>300</v>
      </c>
      <c r="E995" s="575" t="s">
        <v>1847</v>
      </c>
      <c r="F995" s="561" t="s">
        <v>109</v>
      </c>
      <c r="G995" s="562" t="s">
        <v>960</v>
      </c>
      <c r="H995" s="562" t="s">
        <v>958</v>
      </c>
      <c r="I995" s="562" t="s">
        <v>919</v>
      </c>
      <c r="J995" s="562" t="s">
        <v>757</v>
      </c>
      <c r="K995" s="561">
        <v>100</v>
      </c>
      <c r="L995" s="338"/>
      <c r="M995" s="565">
        <v>0</v>
      </c>
      <c r="N995" s="565">
        <v>0</v>
      </c>
      <c r="O995" s="566">
        <f t="shared" si="46"/>
        <v>0</v>
      </c>
      <c r="P995" s="567">
        <f t="shared" si="47"/>
        <v>0</v>
      </c>
      <c r="Q995" s="568" t="e">
        <f t="shared" si="45"/>
        <v>#DIV/0!</v>
      </c>
      <c r="R995" s="676" t="s">
        <v>1919</v>
      </c>
    </row>
    <row r="996" spans="1:18" x14ac:dyDescent="0.2">
      <c r="A996" s="558" t="s">
        <v>277</v>
      </c>
      <c r="B996" s="559" t="s">
        <v>914</v>
      </c>
      <c r="C996" s="573" t="s">
        <v>296</v>
      </c>
      <c r="D996" s="327" t="s">
        <v>292</v>
      </c>
      <c r="E996" s="575" t="s">
        <v>1847</v>
      </c>
      <c r="F996" s="561" t="s">
        <v>109</v>
      </c>
      <c r="G996" s="562" t="s">
        <v>960</v>
      </c>
      <c r="H996" s="562" t="s">
        <v>958</v>
      </c>
      <c r="I996" s="562" t="s">
        <v>919</v>
      </c>
      <c r="J996" s="562" t="s">
        <v>757</v>
      </c>
      <c r="K996" s="561">
        <v>100</v>
      </c>
      <c r="L996" s="338"/>
      <c r="M996" s="565">
        <v>3</v>
      </c>
      <c r="N996" s="565">
        <v>3</v>
      </c>
      <c r="O996" s="566">
        <f t="shared" si="46"/>
        <v>1</v>
      </c>
      <c r="P996" s="567">
        <f t="shared" si="47"/>
        <v>1</v>
      </c>
      <c r="Q996" s="568">
        <f t="shared" si="45"/>
        <v>1</v>
      </c>
      <c r="R996" s="675"/>
    </row>
    <row r="997" spans="1:18" x14ac:dyDescent="0.2">
      <c r="A997" s="558" t="s">
        <v>277</v>
      </c>
      <c r="B997" s="559" t="s">
        <v>914</v>
      </c>
      <c r="C997" s="573" t="s">
        <v>296</v>
      </c>
      <c r="D997" s="327" t="s">
        <v>294</v>
      </c>
      <c r="E997" s="575" t="s">
        <v>1848</v>
      </c>
      <c r="F997" s="561" t="s">
        <v>109</v>
      </c>
      <c r="G997" s="562" t="s">
        <v>960</v>
      </c>
      <c r="H997" s="562" t="s">
        <v>958</v>
      </c>
      <c r="I997" s="562" t="s">
        <v>919</v>
      </c>
      <c r="J997" s="562" t="s">
        <v>757</v>
      </c>
      <c r="K997" s="561">
        <v>100</v>
      </c>
      <c r="L997" s="338"/>
      <c r="M997" s="565">
        <v>1</v>
      </c>
      <c r="N997" s="565">
        <v>1</v>
      </c>
      <c r="O997" s="566">
        <f t="shared" si="46"/>
        <v>1</v>
      </c>
      <c r="P997" s="567">
        <f t="shared" si="47"/>
        <v>1</v>
      </c>
      <c r="Q997" s="568">
        <f t="shared" si="45"/>
        <v>1</v>
      </c>
      <c r="R997" s="675"/>
    </row>
    <row r="998" spans="1:18" x14ac:dyDescent="0.2">
      <c r="A998" s="558" t="s">
        <v>277</v>
      </c>
      <c r="B998" s="559" t="s">
        <v>914</v>
      </c>
      <c r="C998" s="573" t="s">
        <v>296</v>
      </c>
      <c r="D998" s="327" t="s">
        <v>282</v>
      </c>
      <c r="E998" s="575" t="s">
        <v>1848</v>
      </c>
      <c r="F998" s="561" t="s">
        <v>109</v>
      </c>
      <c r="G998" s="562" t="s">
        <v>960</v>
      </c>
      <c r="H998" s="562" t="s">
        <v>958</v>
      </c>
      <c r="I998" s="562" t="s">
        <v>919</v>
      </c>
      <c r="J998" s="562" t="s">
        <v>757</v>
      </c>
      <c r="K998" s="561">
        <v>100</v>
      </c>
      <c r="L998" s="338"/>
      <c r="M998" s="565">
        <v>2</v>
      </c>
      <c r="N998" s="565">
        <v>2</v>
      </c>
      <c r="O998" s="566">
        <f t="shared" si="46"/>
        <v>1</v>
      </c>
      <c r="P998" s="567">
        <f t="shared" si="47"/>
        <v>1</v>
      </c>
      <c r="Q998" s="568">
        <f t="shared" si="45"/>
        <v>1</v>
      </c>
      <c r="R998" s="675"/>
    </row>
    <row r="999" spans="1:18" x14ac:dyDescent="0.2">
      <c r="A999" s="558" t="s">
        <v>277</v>
      </c>
      <c r="B999" s="559" t="s">
        <v>914</v>
      </c>
      <c r="C999" s="573" t="s">
        <v>296</v>
      </c>
      <c r="D999" s="327" t="s">
        <v>285</v>
      </c>
      <c r="E999" s="575" t="s">
        <v>1715</v>
      </c>
      <c r="F999" s="561" t="s">
        <v>109</v>
      </c>
      <c r="G999" s="562" t="s">
        <v>960</v>
      </c>
      <c r="H999" s="562" t="s">
        <v>958</v>
      </c>
      <c r="I999" s="562" t="s">
        <v>919</v>
      </c>
      <c r="J999" s="562" t="s">
        <v>757</v>
      </c>
      <c r="K999" s="561">
        <v>100</v>
      </c>
      <c r="L999" s="338"/>
      <c r="M999" s="565">
        <v>11</v>
      </c>
      <c r="N999" s="565">
        <v>11</v>
      </c>
      <c r="O999" s="566">
        <f t="shared" si="46"/>
        <v>1</v>
      </c>
      <c r="P999" s="567">
        <f t="shared" si="47"/>
        <v>1</v>
      </c>
      <c r="Q999" s="568">
        <f t="shared" si="45"/>
        <v>1</v>
      </c>
      <c r="R999" s="675"/>
    </row>
    <row r="1000" spans="1:18" x14ac:dyDescent="0.2">
      <c r="A1000" s="558" t="s">
        <v>277</v>
      </c>
      <c r="B1000" s="559" t="s">
        <v>914</v>
      </c>
      <c r="C1000" s="573" t="s">
        <v>296</v>
      </c>
      <c r="D1000" s="327" t="s">
        <v>298</v>
      </c>
      <c r="E1000" s="575" t="s">
        <v>1715</v>
      </c>
      <c r="F1000" s="561" t="s">
        <v>109</v>
      </c>
      <c r="G1000" s="562" t="s">
        <v>960</v>
      </c>
      <c r="H1000" s="562" t="s">
        <v>958</v>
      </c>
      <c r="I1000" s="562" t="s">
        <v>919</v>
      </c>
      <c r="J1000" s="562" t="s">
        <v>757</v>
      </c>
      <c r="K1000" s="561">
        <v>100</v>
      </c>
      <c r="L1000" s="338"/>
      <c r="M1000" s="565">
        <v>20</v>
      </c>
      <c r="N1000" s="565">
        <v>20</v>
      </c>
      <c r="O1000" s="566">
        <f t="shared" si="46"/>
        <v>1</v>
      </c>
      <c r="P1000" s="567">
        <f t="shared" si="47"/>
        <v>1</v>
      </c>
      <c r="Q1000" s="568">
        <f t="shared" si="45"/>
        <v>1</v>
      </c>
      <c r="R1000" s="675"/>
    </row>
    <row r="1001" spans="1:18" x14ac:dyDescent="0.2">
      <c r="A1001" s="558" t="s">
        <v>277</v>
      </c>
      <c r="B1001" s="559" t="s">
        <v>914</v>
      </c>
      <c r="C1001" s="573" t="s">
        <v>316</v>
      </c>
      <c r="D1001" s="327" t="s">
        <v>292</v>
      </c>
      <c r="E1001" s="575" t="s">
        <v>1849</v>
      </c>
      <c r="F1001" s="561" t="s">
        <v>109</v>
      </c>
      <c r="G1001" s="562" t="s">
        <v>960</v>
      </c>
      <c r="H1001" s="562" t="s">
        <v>958</v>
      </c>
      <c r="I1001" s="562" t="s">
        <v>919</v>
      </c>
      <c r="J1001" s="562" t="s">
        <v>757</v>
      </c>
      <c r="K1001" s="561">
        <v>100</v>
      </c>
      <c r="L1001" s="338"/>
      <c r="M1001" s="565">
        <v>0</v>
      </c>
      <c r="N1001" s="565">
        <v>0</v>
      </c>
      <c r="O1001" s="566">
        <f t="shared" si="46"/>
        <v>0</v>
      </c>
      <c r="P1001" s="567">
        <f t="shared" si="47"/>
        <v>0</v>
      </c>
      <c r="Q1001" s="568" t="e">
        <f t="shared" si="45"/>
        <v>#DIV/0!</v>
      </c>
      <c r="R1001" s="676" t="s">
        <v>1919</v>
      </c>
    </row>
    <row r="1002" spans="1:18" x14ac:dyDescent="0.2">
      <c r="A1002" s="558" t="s">
        <v>277</v>
      </c>
      <c r="B1002" s="559" t="s">
        <v>914</v>
      </c>
      <c r="C1002" s="573" t="s">
        <v>316</v>
      </c>
      <c r="D1002" s="327" t="s">
        <v>294</v>
      </c>
      <c r="E1002" s="575" t="s">
        <v>1849</v>
      </c>
      <c r="F1002" s="561" t="s">
        <v>109</v>
      </c>
      <c r="G1002" s="562" t="s">
        <v>960</v>
      </c>
      <c r="H1002" s="562" t="s">
        <v>958</v>
      </c>
      <c r="I1002" s="562" t="s">
        <v>919</v>
      </c>
      <c r="J1002" s="562" t="s">
        <v>757</v>
      </c>
      <c r="K1002" s="561">
        <v>100</v>
      </c>
      <c r="L1002" s="338"/>
      <c r="M1002" s="565">
        <v>0</v>
      </c>
      <c r="N1002" s="565">
        <v>0</v>
      </c>
      <c r="O1002" s="566">
        <f t="shared" si="46"/>
        <v>0</v>
      </c>
      <c r="P1002" s="567">
        <f t="shared" si="47"/>
        <v>0</v>
      </c>
      <c r="Q1002" s="568" t="e">
        <f t="shared" si="45"/>
        <v>#DIV/0!</v>
      </c>
      <c r="R1002" s="676" t="s">
        <v>1919</v>
      </c>
    </row>
    <row r="1003" spans="1:18" x14ac:dyDescent="0.2">
      <c r="A1003" s="558" t="s">
        <v>277</v>
      </c>
      <c r="B1003" s="559" t="s">
        <v>914</v>
      </c>
      <c r="C1003" s="573" t="s">
        <v>308</v>
      </c>
      <c r="D1003" s="327" t="s">
        <v>300</v>
      </c>
      <c r="E1003" s="575" t="s">
        <v>1715</v>
      </c>
      <c r="F1003" s="561" t="s">
        <v>109</v>
      </c>
      <c r="G1003" s="562" t="s">
        <v>960</v>
      </c>
      <c r="H1003" s="562" t="s">
        <v>958</v>
      </c>
      <c r="I1003" s="562" t="s">
        <v>919</v>
      </c>
      <c r="J1003" s="562" t="s">
        <v>757</v>
      </c>
      <c r="K1003" s="561">
        <v>100</v>
      </c>
      <c r="L1003" s="338"/>
      <c r="M1003" s="565">
        <v>51</v>
      </c>
      <c r="N1003" s="565">
        <v>51</v>
      </c>
      <c r="O1003" s="566">
        <f t="shared" si="46"/>
        <v>1</v>
      </c>
      <c r="P1003" s="567">
        <f t="shared" si="47"/>
        <v>1</v>
      </c>
      <c r="Q1003" s="568">
        <f t="shared" si="45"/>
        <v>1</v>
      </c>
      <c r="R1003" s="675"/>
    </row>
    <row r="1004" spans="1:18" x14ac:dyDescent="0.2">
      <c r="A1004" s="558" t="s">
        <v>277</v>
      </c>
      <c r="B1004" s="559" t="s">
        <v>914</v>
      </c>
      <c r="C1004" s="573" t="s">
        <v>308</v>
      </c>
      <c r="D1004" s="327" t="s">
        <v>292</v>
      </c>
      <c r="E1004" s="575" t="s">
        <v>1850</v>
      </c>
      <c r="F1004" s="561" t="s">
        <v>109</v>
      </c>
      <c r="G1004" s="562" t="s">
        <v>960</v>
      </c>
      <c r="H1004" s="562" t="s">
        <v>958</v>
      </c>
      <c r="I1004" s="562" t="s">
        <v>919</v>
      </c>
      <c r="J1004" s="562" t="s">
        <v>757</v>
      </c>
      <c r="K1004" s="561">
        <v>100</v>
      </c>
      <c r="L1004" s="338"/>
      <c r="M1004" s="565">
        <v>7</v>
      </c>
      <c r="N1004" s="565">
        <v>7</v>
      </c>
      <c r="O1004" s="566">
        <f t="shared" si="46"/>
        <v>1</v>
      </c>
      <c r="P1004" s="567">
        <f t="shared" si="47"/>
        <v>1</v>
      </c>
      <c r="Q1004" s="568">
        <f t="shared" si="45"/>
        <v>1</v>
      </c>
      <c r="R1004" s="675"/>
    </row>
    <row r="1005" spans="1:18" x14ac:dyDescent="0.2">
      <c r="A1005" s="558" t="s">
        <v>277</v>
      </c>
      <c r="B1005" s="559" t="s">
        <v>914</v>
      </c>
      <c r="C1005" s="573" t="s">
        <v>308</v>
      </c>
      <c r="D1005" s="327" t="s">
        <v>294</v>
      </c>
      <c r="E1005" s="575" t="s">
        <v>1850</v>
      </c>
      <c r="F1005" s="561" t="s">
        <v>109</v>
      </c>
      <c r="G1005" s="562" t="s">
        <v>960</v>
      </c>
      <c r="H1005" s="562" t="s">
        <v>958</v>
      </c>
      <c r="I1005" s="562" t="s">
        <v>919</v>
      </c>
      <c r="J1005" s="562" t="s">
        <v>757</v>
      </c>
      <c r="K1005" s="561">
        <v>100</v>
      </c>
      <c r="L1005" s="338"/>
      <c r="M1005" s="565">
        <v>1</v>
      </c>
      <c r="N1005" s="565">
        <v>1</v>
      </c>
      <c r="O1005" s="566">
        <f t="shared" si="46"/>
        <v>1</v>
      </c>
      <c r="P1005" s="567">
        <f t="shared" si="47"/>
        <v>1</v>
      </c>
      <c r="Q1005" s="568">
        <f t="shared" si="45"/>
        <v>1</v>
      </c>
      <c r="R1005" s="675"/>
    </row>
    <row r="1006" spans="1:18" x14ac:dyDescent="0.2">
      <c r="A1006" s="558" t="s">
        <v>277</v>
      </c>
      <c r="B1006" s="559" t="s">
        <v>914</v>
      </c>
      <c r="C1006" s="573" t="s">
        <v>305</v>
      </c>
      <c r="D1006" s="327" t="s">
        <v>300</v>
      </c>
      <c r="E1006" s="575" t="s">
        <v>1715</v>
      </c>
      <c r="F1006" s="561" t="s">
        <v>109</v>
      </c>
      <c r="G1006" s="562" t="s">
        <v>960</v>
      </c>
      <c r="H1006" s="562" t="s">
        <v>958</v>
      </c>
      <c r="I1006" s="562" t="s">
        <v>919</v>
      </c>
      <c r="J1006" s="562" t="s">
        <v>757</v>
      </c>
      <c r="K1006" s="561">
        <v>100</v>
      </c>
      <c r="L1006" s="338"/>
      <c r="M1006" s="565">
        <v>568</v>
      </c>
      <c r="N1006" s="565">
        <v>568</v>
      </c>
      <c r="O1006" s="566">
        <f t="shared" si="46"/>
        <v>1</v>
      </c>
      <c r="P1006" s="567">
        <f t="shared" si="47"/>
        <v>1</v>
      </c>
      <c r="Q1006" s="568">
        <f t="shared" si="45"/>
        <v>1</v>
      </c>
      <c r="R1006" s="675"/>
    </row>
    <row r="1007" spans="1:18" x14ac:dyDescent="0.2">
      <c r="A1007" s="558" t="s">
        <v>277</v>
      </c>
      <c r="B1007" s="559" t="s">
        <v>914</v>
      </c>
      <c r="C1007" s="573" t="s">
        <v>305</v>
      </c>
      <c r="D1007" s="327" t="s">
        <v>292</v>
      </c>
      <c r="E1007" s="575" t="s">
        <v>1715</v>
      </c>
      <c r="F1007" s="561" t="s">
        <v>109</v>
      </c>
      <c r="G1007" s="562" t="s">
        <v>960</v>
      </c>
      <c r="H1007" s="562" t="s">
        <v>958</v>
      </c>
      <c r="I1007" s="562" t="s">
        <v>919</v>
      </c>
      <c r="J1007" s="562" t="s">
        <v>757</v>
      </c>
      <c r="K1007" s="561">
        <v>100</v>
      </c>
      <c r="L1007" s="338"/>
      <c r="M1007" s="565">
        <v>85</v>
      </c>
      <c r="N1007" s="565">
        <v>85</v>
      </c>
      <c r="O1007" s="566">
        <f t="shared" si="46"/>
        <v>1</v>
      </c>
      <c r="P1007" s="567">
        <f t="shared" si="47"/>
        <v>1</v>
      </c>
      <c r="Q1007" s="568">
        <f t="shared" si="45"/>
        <v>1</v>
      </c>
      <c r="R1007" s="675"/>
    </row>
    <row r="1008" spans="1:18" x14ac:dyDescent="0.2">
      <c r="A1008" s="558" t="s">
        <v>277</v>
      </c>
      <c r="B1008" s="559" t="s">
        <v>914</v>
      </c>
      <c r="C1008" s="573" t="s">
        <v>305</v>
      </c>
      <c r="D1008" s="327" t="s">
        <v>294</v>
      </c>
      <c r="E1008" s="575" t="s">
        <v>1851</v>
      </c>
      <c r="F1008" s="561" t="s">
        <v>109</v>
      </c>
      <c r="G1008" s="562" t="s">
        <v>960</v>
      </c>
      <c r="H1008" s="562" t="s">
        <v>958</v>
      </c>
      <c r="I1008" s="562" t="s">
        <v>919</v>
      </c>
      <c r="J1008" s="562" t="s">
        <v>757</v>
      </c>
      <c r="K1008" s="561">
        <v>100</v>
      </c>
      <c r="L1008" s="338"/>
      <c r="M1008" s="565">
        <v>24</v>
      </c>
      <c r="N1008" s="565">
        <v>24</v>
      </c>
      <c r="O1008" s="566">
        <f t="shared" si="46"/>
        <v>1</v>
      </c>
      <c r="P1008" s="567">
        <f t="shared" si="47"/>
        <v>1</v>
      </c>
      <c r="Q1008" s="568">
        <f t="shared" si="45"/>
        <v>1</v>
      </c>
      <c r="R1008" s="675"/>
    </row>
    <row r="1009" spans="1:18" x14ac:dyDescent="0.2">
      <c r="A1009" s="558" t="s">
        <v>277</v>
      </c>
      <c r="B1009" s="559" t="s">
        <v>914</v>
      </c>
      <c r="C1009" s="573" t="s">
        <v>305</v>
      </c>
      <c r="D1009" s="327" t="s">
        <v>285</v>
      </c>
      <c r="E1009" s="575" t="s">
        <v>1851</v>
      </c>
      <c r="F1009" s="561" t="s">
        <v>109</v>
      </c>
      <c r="G1009" s="562" t="s">
        <v>960</v>
      </c>
      <c r="H1009" s="562" t="s">
        <v>958</v>
      </c>
      <c r="I1009" s="562" t="s">
        <v>919</v>
      </c>
      <c r="J1009" s="562" t="s">
        <v>757</v>
      </c>
      <c r="K1009" s="561">
        <v>100</v>
      </c>
      <c r="L1009" s="338"/>
      <c r="M1009" s="565">
        <v>2</v>
      </c>
      <c r="N1009" s="565">
        <v>2</v>
      </c>
      <c r="O1009" s="566">
        <f t="shared" si="46"/>
        <v>1</v>
      </c>
      <c r="P1009" s="567">
        <f t="shared" si="47"/>
        <v>1</v>
      </c>
      <c r="Q1009" s="568">
        <f t="shared" si="45"/>
        <v>1</v>
      </c>
      <c r="R1009" s="675"/>
    </row>
    <row r="1010" spans="1:18" x14ac:dyDescent="0.2">
      <c r="A1010" s="558" t="s">
        <v>277</v>
      </c>
      <c r="B1010" s="559" t="s">
        <v>914</v>
      </c>
      <c r="C1010" s="573" t="s">
        <v>97</v>
      </c>
      <c r="D1010" s="327" t="s">
        <v>282</v>
      </c>
      <c r="E1010" s="575" t="s">
        <v>1843</v>
      </c>
      <c r="F1010" s="561" t="s">
        <v>109</v>
      </c>
      <c r="G1010" s="562" t="s">
        <v>961</v>
      </c>
      <c r="H1010" s="562" t="s">
        <v>958</v>
      </c>
      <c r="I1010" s="562" t="s">
        <v>919</v>
      </c>
      <c r="J1010" s="562" t="s">
        <v>757</v>
      </c>
      <c r="K1010" s="561">
        <v>100</v>
      </c>
      <c r="L1010" s="338"/>
      <c r="M1010" s="565">
        <v>6</v>
      </c>
      <c r="N1010" s="565">
        <v>6</v>
      </c>
      <c r="O1010" s="566">
        <f t="shared" si="46"/>
        <v>1</v>
      </c>
      <c r="P1010" s="567">
        <f t="shared" si="47"/>
        <v>1</v>
      </c>
      <c r="Q1010" s="568">
        <f t="shared" si="45"/>
        <v>1</v>
      </c>
      <c r="R1010" s="675"/>
    </row>
    <row r="1011" spans="1:18" x14ac:dyDescent="0.2">
      <c r="A1011" s="558" t="s">
        <v>277</v>
      </c>
      <c r="B1011" s="559" t="s">
        <v>914</v>
      </c>
      <c r="C1011" s="573" t="s">
        <v>97</v>
      </c>
      <c r="D1011" s="327" t="s">
        <v>285</v>
      </c>
      <c r="E1011" s="575" t="s">
        <v>1843</v>
      </c>
      <c r="F1011" s="561" t="s">
        <v>109</v>
      </c>
      <c r="G1011" s="562" t="s">
        <v>961</v>
      </c>
      <c r="H1011" s="562" t="s">
        <v>958</v>
      </c>
      <c r="I1011" s="562" t="s">
        <v>919</v>
      </c>
      <c r="J1011" s="562" t="s">
        <v>757</v>
      </c>
      <c r="K1011" s="561">
        <v>100</v>
      </c>
      <c r="L1011" s="338"/>
      <c r="M1011" s="565">
        <v>8</v>
      </c>
      <c r="N1011" s="565">
        <v>8</v>
      </c>
      <c r="O1011" s="566">
        <f t="shared" si="46"/>
        <v>1</v>
      </c>
      <c r="P1011" s="567">
        <f t="shared" si="47"/>
        <v>1</v>
      </c>
      <c r="Q1011" s="568">
        <f t="shared" si="45"/>
        <v>1</v>
      </c>
      <c r="R1011" s="675"/>
    </row>
    <row r="1012" spans="1:18" x14ac:dyDescent="0.2">
      <c r="A1012" s="558" t="s">
        <v>277</v>
      </c>
      <c r="B1012" s="559" t="s">
        <v>914</v>
      </c>
      <c r="C1012" s="573" t="s">
        <v>286</v>
      </c>
      <c r="D1012" s="327" t="s">
        <v>300</v>
      </c>
      <c r="E1012" s="575" t="s">
        <v>1715</v>
      </c>
      <c r="F1012" s="561" t="s">
        <v>109</v>
      </c>
      <c r="G1012" s="562" t="s">
        <v>961</v>
      </c>
      <c r="H1012" s="562" t="s">
        <v>958</v>
      </c>
      <c r="I1012" s="562" t="s">
        <v>919</v>
      </c>
      <c r="J1012" s="562" t="s">
        <v>757</v>
      </c>
      <c r="K1012" s="561">
        <v>100</v>
      </c>
      <c r="L1012" s="338"/>
      <c r="M1012" s="565">
        <v>39</v>
      </c>
      <c r="N1012" s="565">
        <v>39</v>
      </c>
      <c r="O1012" s="566">
        <f t="shared" si="46"/>
        <v>1</v>
      </c>
      <c r="P1012" s="567">
        <f t="shared" si="47"/>
        <v>1</v>
      </c>
      <c r="Q1012" s="568">
        <f t="shared" si="45"/>
        <v>1</v>
      </c>
      <c r="R1012" s="675"/>
    </row>
    <row r="1013" spans="1:18" x14ac:dyDescent="0.2">
      <c r="A1013" s="558" t="s">
        <v>277</v>
      </c>
      <c r="B1013" s="559" t="s">
        <v>914</v>
      </c>
      <c r="C1013" s="573" t="s">
        <v>286</v>
      </c>
      <c r="D1013" s="327" t="s">
        <v>292</v>
      </c>
      <c r="E1013" s="575" t="s">
        <v>1715</v>
      </c>
      <c r="F1013" s="561" t="s">
        <v>109</v>
      </c>
      <c r="G1013" s="562" t="s">
        <v>961</v>
      </c>
      <c r="H1013" s="562" t="s">
        <v>958</v>
      </c>
      <c r="I1013" s="562" t="s">
        <v>919</v>
      </c>
      <c r="J1013" s="562" t="s">
        <v>757</v>
      </c>
      <c r="K1013" s="561">
        <v>100</v>
      </c>
      <c r="L1013" s="338"/>
      <c r="M1013" s="565">
        <v>12</v>
      </c>
      <c r="N1013" s="565">
        <v>12</v>
      </c>
      <c r="O1013" s="566">
        <f t="shared" si="46"/>
        <v>1</v>
      </c>
      <c r="P1013" s="567">
        <f t="shared" si="47"/>
        <v>1</v>
      </c>
      <c r="Q1013" s="568">
        <f t="shared" si="45"/>
        <v>1</v>
      </c>
      <c r="R1013" s="675"/>
    </row>
    <row r="1014" spans="1:18" x14ac:dyDescent="0.2">
      <c r="A1014" s="558" t="s">
        <v>277</v>
      </c>
      <c r="B1014" s="559" t="s">
        <v>914</v>
      </c>
      <c r="C1014" s="573" t="s">
        <v>286</v>
      </c>
      <c r="D1014" s="327" t="s">
        <v>294</v>
      </c>
      <c r="E1014" s="575" t="s">
        <v>1715</v>
      </c>
      <c r="F1014" s="561" t="s">
        <v>109</v>
      </c>
      <c r="G1014" s="562" t="s">
        <v>961</v>
      </c>
      <c r="H1014" s="562" t="s">
        <v>958</v>
      </c>
      <c r="I1014" s="562" t="s">
        <v>919</v>
      </c>
      <c r="J1014" s="562" t="s">
        <v>757</v>
      </c>
      <c r="K1014" s="561">
        <v>100</v>
      </c>
      <c r="L1014" s="338"/>
      <c r="M1014" s="565">
        <v>40</v>
      </c>
      <c r="N1014" s="565">
        <v>40</v>
      </c>
      <c r="O1014" s="566">
        <f t="shared" si="46"/>
        <v>1</v>
      </c>
      <c r="P1014" s="567">
        <f t="shared" si="47"/>
        <v>1</v>
      </c>
      <c r="Q1014" s="568">
        <f t="shared" si="45"/>
        <v>1</v>
      </c>
      <c r="R1014" s="675"/>
    </row>
    <row r="1015" spans="1:18" x14ac:dyDescent="0.2">
      <c r="A1015" s="558" t="s">
        <v>277</v>
      </c>
      <c r="B1015" s="559" t="s">
        <v>914</v>
      </c>
      <c r="C1015" s="573" t="s">
        <v>286</v>
      </c>
      <c r="D1015" s="327" t="s">
        <v>282</v>
      </c>
      <c r="E1015" s="575" t="s">
        <v>1715</v>
      </c>
      <c r="F1015" s="561" t="s">
        <v>109</v>
      </c>
      <c r="G1015" s="562" t="s">
        <v>961</v>
      </c>
      <c r="H1015" s="562" t="s">
        <v>958</v>
      </c>
      <c r="I1015" s="562" t="s">
        <v>919</v>
      </c>
      <c r="J1015" s="562" t="s">
        <v>757</v>
      </c>
      <c r="K1015" s="561">
        <v>100</v>
      </c>
      <c r="L1015" s="338"/>
      <c r="M1015" s="565">
        <v>68</v>
      </c>
      <c r="N1015" s="565">
        <v>68</v>
      </c>
      <c r="O1015" s="566">
        <f t="shared" si="46"/>
        <v>1</v>
      </c>
      <c r="P1015" s="567">
        <f t="shared" si="47"/>
        <v>1</v>
      </c>
      <c r="Q1015" s="568">
        <f t="shared" si="45"/>
        <v>1</v>
      </c>
      <c r="R1015" s="675"/>
    </row>
    <row r="1016" spans="1:18" x14ac:dyDescent="0.2">
      <c r="A1016" s="558" t="s">
        <v>277</v>
      </c>
      <c r="B1016" s="559" t="s">
        <v>914</v>
      </c>
      <c r="C1016" s="573" t="s">
        <v>286</v>
      </c>
      <c r="D1016" s="327" t="s">
        <v>285</v>
      </c>
      <c r="E1016" s="575" t="s">
        <v>1715</v>
      </c>
      <c r="F1016" s="561" t="s">
        <v>109</v>
      </c>
      <c r="G1016" s="562" t="s">
        <v>961</v>
      </c>
      <c r="H1016" s="562" t="s">
        <v>958</v>
      </c>
      <c r="I1016" s="562" t="s">
        <v>919</v>
      </c>
      <c r="J1016" s="562" t="s">
        <v>757</v>
      </c>
      <c r="K1016" s="561">
        <v>100</v>
      </c>
      <c r="L1016" s="338"/>
      <c r="M1016" s="565">
        <v>47</v>
      </c>
      <c r="N1016" s="565">
        <v>47</v>
      </c>
      <c r="O1016" s="566">
        <f t="shared" si="46"/>
        <v>1</v>
      </c>
      <c r="P1016" s="567">
        <f t="shared" si="47"/>
        <v>1</v>
      </c>
      <c r="Q1016" s="568">
        <f t="shared" si="45"/>
        <v>1</v>
      </c>
      <c r="R1016" s="675"/>
    </row>
    <row r="1017" spans="1:18" x14ac:dyDescent="0.2">
      <c r="A1017" s="558" t="s">
        <v>277</v>
      </c>
      <c r="B1017" s="559" t="s">
        <v>914</v>
      </c>
      <c r="C1017" s="573" t="s">
        <v>303</v>
      </c>
      <c r="D1017" s="327" t="s">
        <v>300</v>
      </c>
      <c r="E1017" s="575" t="s">
        <v>1715</v>
      </c>
      <c r="F1017" s="561" t="s">
        <v>109</v>
      </c>
      <c r="G1017" s="562" t="s">
        <v>961</v>
      </c>
      <c r="H1017" s="562" t="s">
        <v>958</v>
      </c>
      <c r="I1017" s="562" t="s">
        <v>919</v>
      </c>
      <c r="J1017" s="562" t="s">
        <v>757</v>
      </c>
      <c r="K1017" s="561">
        <v>100</v>
      </c>
      <c r="L1017" s="338"/>
      <c r="M1017" s="565">
        <v>144</v>
      </c>
      <c r="N1017" s="565">
        <v>144</v>
      </c>
      <c r="O1017" s="566">
        <f t="shared" si="46"/>
        <v>1</v>
      </c>
      <c r="P1017" s="567">
        <f t="shared" si="47"/>
        <v>1</v>
      </c>
      <c r="Q1017" s="568">
        <f t="shared" si="45"/>
        <v>1</v>
      </c>
      <c r="R1017" s="675"/>
    </row>
    <row r="1018" spans="1:18" x14ac:dyDescent="0.2">
      <c r="A1018" s="558" t="s">
        <v>277</v>
      </c>
      <c r="B1018" s="559" t="s">
        <v>914</v>
      </c>
      <c r="C1018" s="573" t="s">
        <v>303</v>
      </c>
      <c r="D1018" s="327" t="s">
        <v>292</v>
      </c>
      <c r="E1018" s="575" t="s">
        <v>1844</v>
      </c>
      <c r="F1018" s="561" t="s">
        <v>109</v>
      </c>
      <c r="G1018" s="562" t="s">
        <v>961</v>
      </c>
      <c r="H1018" s="562" t="s">
        <v>958</v>
      </c>
      <c r="I1018" s="562" t="s">
        <v>919</v>
      </c>
      <c r="J1018" s="562" t="s">
        <v>757</v>
      </c>
      <c r="K1018" s="561">
        <v>100</v>
      </c>
      <c r="L1018" s="338"/>
      <c r="M1018" s="565">
        <v>42</v>
      </c>
      <c r="N1018" s="565">
        <v>42</v>
      </c>
      <c r="O1018" s="566">
        <f t="shared" si="46"/>
        <v>1</v>
      </c>
      <c r="P1018" s="567">
        <f t="shared" si="47"/>
        <v>1</v>
      </c>
      <c r="Q1018" s="568">
        <f t="shared" si="45"/>
        <v>1</v>
      </c>
      <c r="R1018" s="675"/>
    </row>
    <row r="1019" spans="1:18" x14ac:dyDescent="0.2">
      <c r="A1019" s="558" t="s">
        <v>277</v>
      </c>
      <c r="B1019" s="559" t="s">
        <v>914</v>
      </c>
      <c r="C1019" s="573" t="s">
        <v>303</v>
      </c>
      <c r="D1019" s="327" t="s">
        <v>294</v>
      </c>
      <c r="E1019" s="575" t="s">
        <v>1844</v>
      </c>
      <c r="F1019" s="561" t="s">
        <v>109</v>
      </c>
      <c r="G1019" s="562" t="s">
        <v>961</v>
      </c>
      <c r="H1019" s="562" t="s">
        <v>958</v>
      </c>
      <c r="I1019" s="562" t="s">
        <v>919</v>
      </c>
      <c r="J1019" s="562" t="s">
        <v>757</v>
      </c>
      <c r="K1019" s="561">
        <v>100</v>
      </c>
      <c r="L1019" s="338"/>
      <c r="M1019" s="565">
        <v>10</v>
      </c>
      <c r="N1019" s="565">
        <v>10</v>
      </c>
      <c r="O1019" s="566">
        <f t="shared" si="46"/>
        <v>1</v>
      </c>
      <c r="P1019" s="567">
        <f t="shared" si="47"/>
        <v>1</v>
      </c>
      <c r="Q1019" s="568">
        <f t="shared" si="45"/>
        <v>1</v>
      </c>
      <c r="R1019" s="675"/>
    </row>
    <row r="1020" spans="1:18" x14ac:dyDescent="0.2">
      <c r="A1020" s="558" t="s">
        <v>277</v>
      </c>
      <c r="B1020" s="559" t="s">
        <v>914</v>
      </c>
      <c r="C1020" s="573" t="s">
        <v>303</v>
      </c>
      <c r="D1020" s="327" t="s">
        <v>282</v>
      </c>
      <c r="E1020" s="575" t="s">
        <v>1845</v>
      </c>
      <c r="F1020" s="561" t="s">
        <v>109</v>
      </c>
      <c r="G1020" s="562" t="s">
        <v>961</v>
      </c>
      <c r="H1020" s="562" t="s">
        <v>958</v>
      </c>
      <c r="I1020" s="562" t="s">
        <v>919</v>
      </c>
      <c r="J1020" s="562" t="s">
        <v>757</v>
      </c>
      <c r="K1020" s="561">
        <v>100</v>
      </c>
      <c r="L1020" s="338"/>
      <c r="M1020" s="565">
        <v>2</v>
      </c>
      <c r="N1020" s="565">
        <v>2</v>
      </c>
      <c r="O1020" s="566">
        <f t="shared" si="46"/>
        <v>1</v>
      </c>
      <c r="P1020" s="567">
        <f t="shared" si="47"/>
        <v>1</v>
      </c>
      <c r="Q1020" s="568">
        <f t="shared" si="45"/>
        <v>1</v>
      </c>
      <c r="R1020" s="675"/>
    </row>
    <row r="1021" spans="1:18" x14ac:dyDescent="0.2">
      <c r="A1021" s="558" t="s">
        <v>277</v>
      </c>
      <c r="B1021" s="559" t="s">
        <v>914</v>
      </c>
      <c r="C1021" s="573" t="s">
        <v>303</v>
      </c>
      <c r="D1021" s="327" t="s">
        <v>285</v>
      </c>
      <c r="E1021" s="575" t="s">
        <v>1845</v>
      </c>
      <c r="F1021" s="561" t="s">
        <v>109</v>
      </c>
      <c r="G1021" s="562" t="s">
        <v>961</v>
      </c>
      <c r="H1021" s="562" t="s">
        <v>958</v>
      </c>
      <c r="I1021" s="562" t="s">
        <v>919</v>
      </c>
      <c r="J1021" s="562" t="s">
        <v>757</v>
      </c>
      <c r="K1021" s="561">
        <v>100</v>
      </c>
      <c r="L1021" s="338"/>
      <c r="M1021" s="565">
        <v>5</v>
      </c>
      <c r="N1021" s="565">
        <v>5</v>
      </c>
      <c r="O1021" s="566">
        <f t="shared" si="46"/>
        <v>1</v>
      </c>
      <c r="P1021" s="567">
        <f t="shared" si="47"/>
        <v>1</v>
      </c>
      <c r="Q1021" s="568">
        <f t="shared" si="45"/>
        <v>1</v>
      </c>
      <c r="R1021" s="675"/>
    </row>
    <row r="1022" spans="1:18" x14ac:dyDescent="0.2">
      <c r="A1022" s="558" t="s">
        <v>277</v>
      </c>
      <c r="B1022" s="559" t="s">
        <v>914</v>
      </c>
      <c r="C1022" s="573" t="s">
        <v>99</v>
      </c>
      <c r="D1022" s="327" t="s">
        <v>300</v>
      </c>
      <c r="E1022" s="575" t="s">
        <v>1715</v>
      </c>
      <c r="F1022" s="561" t="s">
        <v>109</v>
      </c>
      <c r="G1022" s="562" t="s">
        <v>961</v>
      </c>
      <c r="H1022" s="562" t="s">
        <v>958</v>
      </c>
      <c r="I1022" s="562" t="s">
        <v>919</v>
      </c>
      <c r="J1022" s="562" t="s">
        <v>757</v>
      </c>
      <c r="K1022" s="561">
        <v>100</v>
      </c>
      <c r="L1022" s="338"/>
      <c r="M1022" s="565">
        <v>158</v>
      </c>
      <c r="N1022" s="565">
        <v>158</v>
      </c>
      <c r="O1022" s="566">
        <f t="shared" si="46"/>
        <v>1</v>
      </c>
      <c r="P1022" s="567">
        <f t="shared" si="47"/>
        <v>1</v>
      </c>
      <c r="Q1022" s="568">
        <f t="shared" si="45"/>
        <v>1</v>
      </c>
      <c r="R1022" s="675"/>
    </row>
    <row r="1023" spans="1:18" x14ac:dyDescent="0.2">
      <c r="A1023" s="558" t="s">
        <v>277</v>
      </c>
      <c r="B1023" s="559" t="s">
        <v>914</v>
      </c>
      <c r="C1023" s="573" t="s">
        <v>99</v>
      </c>
      <c r="D1023" s="327" t="s">
        <v>292</v>
      </c>
      <c r="E1023" s="575" t="s">
        <v>1715</v>
      </c>
      <c r="F1023" s="561" t="s">
        <v>109</v>
      </c>
      <c r="G1023" s="562" t="s">
        <v>961</v>
      </c>
      <c r="H1023" s="562" t="s">
        <v>958</v>
      </c>
      <c r="I1023" s="562" t="s">
        <v>919</v>
      </c>
      <c r="J1023" s="562" t="s">
        <v>757</v>
      </c>
      <c r="K1023" s="561">
        <v>100</v>
      </c>
      <c r="L1023" s="338"/>
      <c r="M1023" s="565">
        <v>7</v>
      </c>
      <c r="N1023" s="565">
        <v>7</v>
      </c>
      <c r="O1023" s="566">
        <f t="shared" si="46"/>
        <v>1</v>
      </c>
      <c r="P1023" s="567">
        <f t="shared" si="47"/>
        <v>1</v>
      </c>
      <c r="Q1023" s="568">
        <f t="shared" si="45"/>
        <v>1</v>
      </c>
      <c r="R1023" s="675"/>
    </row>
    <row r="1024" spans="1:18" x14ac:dyDescent="0.2">
      <c r="A1024" s="558" t="s">
        <v>277</v>
      </c>
      <c r="B1024" s="559" t="s">
        <v>914</v>
      </c>
      <c r="C1024" s="573" t="s">
        <v>99</v>
      </c>
      <c r="D1024" s="327" t="s">
        <v>294</v>
      </c>
      <c r="E1024" s="575" t="s">
        <v>1846</v>
      </c>
      <c r="F1024" s="561" t="s">
        <v>109</v>
      </c>
      <c r="G1024" s="562" t="s">
        <v>961</v>
      </c>
      <c r="H1024" s="562" t="s">
        <v>958</v>
      </c>
      <c r="I1024" s="562" t="s">
        <v>919</v>
      </c>
      <c r="J1024" s="562" t="s">
        <v>757</v>
      </c>
      <c r="K1024" s="561">
        <v>100</v>
      </c>
      <c r="L1024" s="338"/>
      <c r="M1024" s="565">
        <v>8</v>
      </c>
      <c r="N1024" s="565">
        <v>8</v>
      </c>
      <c r="O1024" s="566">
        <f t="shared" si="46"/>
        <v>1</v>
      </c>
      <c r="P1024" s="567">
        <f t="shared" si="47"/>
        <v>1</v>
      </c>
      <c r="Q1024" s="568">
        <f t="shared" si="45"/>
        <v>1</v>
      </c>
      <c r="R1024" s="675"/>
    </row>
    <row r="1025" spans="1:18" x14ac:dyDescent="0.2">
      <c r="A1025" s="558" t="s">
        <v>277</v>
      </c>
      <c r="B1025" s="559" t="s">
        <v>914</v>
      </c>
      <c r="C1025" s="573" t="s">
        <v>99</v>
      </c>
      <c r="D1025" s="327" t="s">
        <v>282</v>
      </c>
      <c r="E1025" s="575" t="s">
        <v>1846</v>
      </c>
      <c r="F1025" s="561" t="s">
        <v>109</v>
      </c>
      <c r="G1025" s="562" t="s">
        <v>961</v>
      </c>
      <c r="H1025" s="562" t="s">
        <v>958</v>
      </c>
      <c r="I1025" s="562" t="s">
        <v>919</v>
      </c>
      <c r="J1025" s="562" t="s">
        <v>757</v>
      </c>
      <c r="K1025" s="561">
        <v>100</v>
      </c>
      <c r="L1025" s="338"/>
      <c r="M1025" s="565">
        <v>4</v>
      </c>
      <c r="N1025" s="565">
        <v>4</v>
      </c>
      <c r="O1025" s="566">
        <f t="shared" si="46"/>
        <v>1</v>
      </c>
      <c r="P1025" s="567">
        <f t="shared" si="47"/>
        <v>1</v>
      </c>
      <c r="Q1025" s="568">
        <f t="shared" si="45"/>
        <v>1</v>
      </c>
      <c r="R1025" s="675"/>
    </row>
    <row r="1026" spans="1:18" x14ac:dyDescent="0.2">
      <c r="A1026" s="558" t="s">
        <v>277</v>
      </c>
      <c r="B1026" s="559" t="s">
        <v>914</v>
      </c>
      <c r="C1026" s="573" t="s">
        <v>99</v>
      </c>
      <c r="D1026" s="327" t="s">
        <v>285</v>
      </c>
      <c r="E1026" s="575" t="s">
        <v>1846</v>
      </c>
      <c r="F1026" s="561" t="s">
        <v>109</v>
      </c>
      <c r="G1026" s="562" t="s">
        <v>961</v>
      </c>
      <c r="H1026" s="562" t="s">
        <v>958</v>
      </c>
      <c r="I1026" s="562" t="s">
        <v>919</v>
      </c>
      <c r="J1026" s="562" t="s">
        <v>757</v>
      </c>
      <c r="K1026" s="561">
        <v>100</v>
      </c>
      <c r="L1026" s="338"/>
      <c r="M1026" s="565">
        <v>1</v>
      </c>
      <c r="N1026" s="565">
        <v>1</v>
      </c>
      <c r="O1026" s="566">
        <f t="shared" si="46"/>
        <v>1</v>
      </c>
      <c r="P1026" s="567">
        <f t="shared" si="47"/>
        <v>1</v>
      </c>
      <c r="Q1026" s="568">
        <f t="shared" si="45"/>
        <v>1</v>
      </c>
      <c r="R1026" s="675"/>
    </row>
    <row r="1027" spans="1:18" x14ac:dyDescent="0.2">
      <c r="A1027" s="558" t="s">
        <v>277</v>
      </c>
      <c r="B1027" s="559" t="s">
        <v>914</v>
      </c>
      <c r="C1027" s="573" t="s">
        <v>296</v>
      </c>
      <c r="D1027" s="327" t="s">
        <v>300</v>
      </c>
      <c r="E1027" s="575" t="s">
        <v>1847</v>
      </c>
      <c r="F1027" s="561" t="s">
        <v>109</v>
      </c>
      <c r="G1027" s="562" t="s">
        <v>961</v>
      </c>
      <c r="H1027" s="562" t="s">
        <v>958</v>
      </c>
      <c r="I1027" s="562" t="s">
        <v>919</v>
      </c>
      <c r="J1027" s="562" t="s">
        <v>757</v>
      </c>
      <c r="K1027" s="561">
        <v>100</v>
      </c>
      <c r="L1027" s="338"/>
      <c r="M1027" s="565">
        <v>0</v>
      </c>
      <c r="N1027" s="565">
        <v>0</v>
      </c>
      <c r="O1027" s="566">
        <f t="shared" si="46"/>
        <v>0</v>
      </c>
      <c r="P1027" s="567">
        <f t="shared" si="47"/>
        <v>0</v>
      </c>
      <c r="Q1027" s="568" t="e">
        <f t="shared" si="45"/>
        <v>#DIV/0!</v>
      </c>
      <c r="R1027" s="676" t="s">
        <v>1919</v>
      </c>
    </row>
    <row r="1028" spans="1:18" x14ac:dyDescent="0.2">
      <c r="A1028" s="558" t="s">
        <v>277</v>
      </c>
      <c r="B1028" s="559" t="s">
        <v>914</v>
      </c>
      <c r="C1028" s="573" t="s">
        <v>296</v>
      </c>
      <c r="D1028" s="327" t="s">
        <v>292</v>
      </c>
      <c r="E1028" s="575" t="s">
        <v>1847</v>
      </c>
      <c r="F1028" s="561" t="s">
        <v>109</v>
      </c>
      <c r="G1028" s="562" t="s">
        <v>961</v>
      </c>
      <c r="H1028" s="562" t="s">
        <v>958</v>
      </c>
      <c r="I1028" s="562" t="s">
        <v>919</v>
      </c>
      <c r="J1028" s="562" t="s">
        <v>757</v>
      </c>
      <c r="K1028" s="561">
        <v>100</v>
      </c>
      <c r="L1028" s="338"/>
      <c r="M1028" s="565">
        <v>3</v>
      </c>
      <c r="N1028" s="565">
        <v>3</v>
      </c>
      <c r="O1028" s="566">
        <f t="shared" si="46"/>
        <v>1</v>
      </c>
      <c r="P1028" s="567">
        <f t="shared" si="47"/>
        <v>1</v>
      </c>
      <c r="Q1028" s="568">
        <f t="shared" si="45"/>
        <v>1</v>
      </c>
      <c r="R1028" s="675"/>
    </row>
    <row r="1029" spans="1:18" x14ac:dyDescent="0.2">
      <c r="A1029" s="558" t="s">
        <v>277</v>
      </c>
      <c r="B1029" s="559" t="s">
        <v>914</v>
      </c>
      <c r="C1029" s="573" t="s">
        <v>296</v>
      </c>
      <c r="D1029" s="327" t="s">
        <v>294</v>
      </c>
      <c r="E1029" s="575" t="s">
        <v>1848</v>
      </c>
      <c r="F1029" s="561" t="s">
        <v>109</v>
      </c>
      <c r="G1029" s="562" t="s">
        <v>961</v>
      </c>
      <c r="H1029" s="562" t="s">
        <v>958</v>
      </c>
      <c r="I1029" s="562" t="s">
        <v>919</v>
      </c>
      <c r="J1029" s="562" t="s">
        <v>757</v>
      </c>
      <c r="K1029" s="561">
        <v>100</v>
      </c>
      <c r="L1029" s="338"/>
      <c r="M1029" s="565">
        <v>1</v>
      </c>
      <c r="N1029" s="565">
        <v>1</v>
      </c>
      <c r="O1029" s="566">
        <f t="shared" si="46"/>
        <v>1</v>
      </c>
      <c r="P1029" s="567">
        <f t="shared" si="47"/>
        <v>1</v>
      </c>
      <c r="Q1029" s="568">
        <f t="shared" ref="Q1029:Q1092" si="48">N1029/(M1029*K1029/100)</f>
        <v>1</v>
      </c>
      <c r="R1029" s="675"/>
    </row>
    <row r="1030" spans="1:18" x14ac:dyDescent="0.2">
      <c r="A1030" s="558" t="s">
        <v>277</v>
      </c>
      <c r="B1030" s="559" t="s">
        <v>914</v>
      </c>
      <c r="C1030" s="573" t="s">
        <v>296</v>
      </c>
      <c r="D1030" s="327" t="s">
        <v>282</v>
      </c>
      <c r="E1030" s="575" t="s">
        <v>1848</v>
      </c>
      <c r="F1030" s="561" t="s">
        <v>109</v>
      </c>
      <c r="G1030" s="562" t="s">
        <v>961</v>
      </c>
      <c r="H1030" s="562" t="s">
        <v>958</v>
      </c>
      <c r="I1030" s="562" t="s">
        <v>919</v>
      </c>
      <c r="J1030" s="562" t="s">
        <v>757</v>
      </c>
      <c r="K1030" s="561">
        <v>100</v>
      </c>
      <c r="L1030" s="338"/>
      <c r="M1030" s="565">
        <v>2</v>
      </c>
      <c r="N1030" s="565">
        <v>2</v>
      </c>
      <c r="O1030" s="566">
        <f t="shared" ref="O1030:O1093" si="49">IFERROR(N1030/M1030,0)</f>
        <v>1</v>
      </c>
      <c r="P1030" s="567">
        <f t="shared" ref="P1030:P1093" si="50">IFERROR(N1030/(M1030*(K1030/100)),0)</f>
        <v>1</v>
      </c>
      <c r="Q1030" s="568">
        <f t="shared" si="48"/>
        <v>1</v>
      </c>
      <c r="R1030" s="675"/>
    </row>
    <row r="1031" spans="1:18" x14ac:dyDescent="0.2">
      <c r="A1031" s="558" t="s">
        <v>277</v>
      </c>
      <c r="B1031" s="559" t="s">
        <v>914</v>
      </c>
      <c r="C1031" s="573" t="s">
        <v>296</v>
      </c>
      <c r="D1031" s="327" t="s">
        <v>285</v>
      </c>
      <c r="E1031" s="575" t="s">
        <v>1715</v>
      </c>
      <c r="F1031" s="561" t="s">
        <v>109</v>
      </c>
      <c r="G1031" s="562" t="s">
        <v>961</v>
      </c>
      <c r="H1031" s="562" t="s">
        <v>958</v>
      </c>
      <c r="I1031" s="562" t="s">
        <v>919</v>
      </c>
      <c r="J1031" s="562" t="s">
        <v>757</v>
      </c>
      <c r="K1031" s="561">
        <v>100</v>
      </c>
      <c r="L1031" s="338"/>
      <c r="M1031" s="565">
        <v>11</v>
      </c>
      <c r="N1031" s="565">
        <v>11</v>
      </c>
      <c r="O1031" s="566">
        <f t="shared" si="49"/>
        <v>1</v>
      </c>
      <c r="P1031" s="567">
        <f t="shared" si="50"/>
        <v>1</v>
      </c>
      <c r="Q1031" s="568">
        <f t="shared" si="48"/>
        <v>1</v>
      </c>
      <c r="R1031" s="675"/>
    </row>
    <row r="1032" spans="1:18" x14ac:dyDescent="0.2">
      <c r="A1032" s="558" t="s">
        <v>277</v>
      </c>
      <c r="B1032" s="559" t="s">
        <v>914</v>
      </c>
      <c r="C1032" s="573" t="s">
        <v>296</v>
      </c>
      <c r="D1032" s="327" t="s">
        <v>298</v>
      </c>
      <c r="E1032" s="575" t="s">
        <v>1715</v>
      </c>
      <c r="F1032" s="561" t="s">
        <v>109</v>
      </c>
      <c r="G1032" s="562" t="s">
        <v>961</v>
      </c>
      <c r="H1032" s="562" t="s">
        <v>958</v>
      </c>
      <c r="I1032" s="562" t="s">
        <v>919</v>
      </c>
      <c r="J1032" s="562" t="s">
        <v>757</v>
      </c>
      <c r="K1032" s="561">
        <v>100</v>
      </c>
      <c r="L1032" s="338"/>
      <c r="M1032" s="565">
        <v>20</v>
      </c>
      <c r="N1032" s="565">
        <v>20</v>
      </c>
      <c r="O1032" s="566">
        <f t="shared" si="49"/>
        <v>1</v>
      </c>
      <c r="P1032" s="567">
        <f t="shared" si="50"/>
        <v>1</v>
      </c>
      <c r="Q1032" s="568">
        <f t="shared" si="48"/>
        <v>1</v>
      </c>
      <c r="R1032" s="675"/>
    </row>
    <row r="1033" spans="1:18" x14ac:dyDescent="0.2">
      <c r="A1033" s="558" t="s">
        <v>277</v>
      </c>
      <c r="B1033" s="559" t="s">
        <v>914</v>
      </c>
      <c r="C1033" s="573" t="s">
        <v>316</v>
      </c>
      <c r="D1033" s="327" t="s">
        <v>292</v>
      </c>
      <c r="E1033" s="575" t="s">
        <v>1849</v>
      </c>
      <c r="F1033" s="561" t="s">
        <v>109</v>
      </c>
      <c r="G1033" s="562" t="s">
        <v>961</v>
      </c>
      <c r="H1033" s="562" t="s">
        <v>958</v>
      </c>
      <c r="I1033" s="562" t="s">
        <v>919</v>
      </c>
      <c r="J1033" s="562" t="s">
        <v>757</v>
      </c>
      <c r="K1033" s="561">
        <v>100</v>
      </c>
      <c r="L1033" s="338"/>
      <c r="M1033" s="565">
        <v>0</v>
      </c>
      <c r="N1033" s="565">
        <v>0</v>
      </c>
      <c r="O1033" s="566">
        <f t="shared" si="49"/>
        <v>0</v>
      </c>
      <c r="P1033" s="567">
        <f t="shared" si="50"/>
        <v>0</v>
      </c>
      <c r="Q1033" s="568" t="e">
        <f t="shared" si="48"/>
        <v>#DIV/0!</v>
      </c>
      <c r="R1033" s="676" t="s">
        <v>1919</v>
      </c>
    </row>
    <row r="1034" spans="1:18" x14ac:dyDescent="0.2">
      <c r="A1034" s="558" t="s">
        <v>277</v>
      </c>
      <c r="B1034" s="559" t="s">
        <v>914</v>
      </c>
      <c r="C1034" s="573" t="s">
        <v>316</v>
      </c>
      <c r="D1034" s="327" t="s">
        <v>294</v>
      </c>
      <c r="E1034" s="575" t="s">
        <v>1849</v>
      </c>
      <c r="F1034" s="561" t="s">
        <v>109</v>
      </c>
      <c r="G1034" s="562" t="s">
        <v>961</v>
      </c>
      <c r="H1034" s="562" t="s">
        <v>958</v>
      </c>
      <c r="I1034" s="562" t="s">
        <v>919</v>
      </c>
      <c r="J1034" s="562" t="s">
        <v>757</v>
      </c>
      <c r="K1034" s="561">
        <v>100</v>
      </c>
      <c r="L1034" s="338"/>
      <c r="M1034" s="565">
        <v>0</v>
      </c>
      <c r="N1034" s="565">
        <v>0</v>
      </c>
      <c r="O1034" s="566">
        <f t="shared" si="49"/>
        <v>0</v>
      </c>
      <c r="P1034" s="567">
        <f t="shared" si="50"/>
        <v>0</v>
      </c>
      <c r="Q1034" s="568" t="e">
        <f t="shared" si="48"/>
        <v>#DIV/0!</v>
      </c>
      <c r="R1034" s="676" t="s">
        <v>1919</v>
      </c>
    </row>
    <row r="1035" spans="1:18" x14ac:dyDescent="0.2">
      <c r="A1035" s="558" t="s">
        <v>277</v>
      </c>
      <c r="B1035" s="559" t="s">
        <v>914</v>
      </c>
      <c r="C1035" s="573" t="s">
        <v>308</v>
      </c>
      <c r="D1035" s="327" t="s">
        <v>300</v>
      </c>
      <c r="E1035" s="575" t="s">
        <v>1715</v>
      </c>
      <c r="F1035" s="561" t="s">
        <v>109</v>
      </c>
      <c r="G1035" s="562" t="s">
        <v>961</v>
      </c>
      <c r="H1035" s="562" t="s">
        <v>958</v>
      </c>
      <c r="I1035" s="562" t="s">
        <v>919</v>
      </c>
      <c r="J1035" s="562" t="s">
        <v>757</v>
      </c>
      <c r="K1035" s="561">
        <v>100</v>
      </c>
      <c r="L1035" s="338"/>
      <c r="M1035" s="565">
        <v>51</v>
      </c>
      <c r="N1035" s="565">
        <v>51</v>
      </c>
      <c r="O1035" s="566">
        <f t="shared" si="49"/>
        <v>1</v>
      </c>
      <c r="P1035" s="567">
        <f t="shared" si="50"/>
        <v>1</v>
      </c>
      <c r="Q1035" s="568">
        <f t="shared" si="48"/>
        <v>1</v>
      </c>
      <c r="R1035" s="675"/>
    </row>
    <row r="1036" spans="1:18" x14ac:dyDescent="0.2">
      <c r="A1036" s="558" t="s">
        <v>277</v>
      </c>
      <c r="B1036" s="559" t="s">
        <v>914</v>
      </c>
      <c r="C1036" s="573" t="s">
        <v>308</v>
      </c>
      <c r="D1036" s="327" t="s">
        <v>292</v>
      </c>
      <c r="E1036" s="575" t="s">
        <v>1850</v>
      </c>
      <c r="F1036" s="561" t="s">
        <v>109</v>
      </c>
      <c r="G1036" s="562" t="s">
        <v>961</v>
      </c>
      <c r="H1036" s="562" t="s">
        <v>958</v>
      </c>
      <c r="I1036" s="562" t="s">
        <v>919</v>
      </c>
      <c r="J1036" s="562" t="s">
        <v>757</v>
      </c>
      <c r="K1036" s="561">
        <v>100</v>
      </c>
      <c r="L1036" s="338"/>
      <c r="M1036" s="565">
        <v>7</v>
      </c>
      <c r="N1036" s="565">
        <v>7</v>
      </c>
      <c r="O1036" s="566">
        <f t="shared" si="49"/>
        <v>1</v>
      </c>
      <c r="P1036" s="567">
        <f t="shared" si="50"/>
        <v>1</v>
      </c>
      <c r="Q1036" s="568">
        <f t="shared" si="48"/>
        <v>1</v>
      </c>
      <c r="R1036" s="675"/>
    </row>
    <row r="1037" spans="1:18" x14ac:dyDescent="0.2">
      <c r="A1037" s="558" t="s">
        <v>277</v>
      </c>
      <c r="B1037" s="559" t="s">
        <v>914</v>
      </c>
      <c r="C1037" s="573" t="s">
        <v>308</v>
      </c>
      <c r="D1037" s="327" t="s">
        <v>294</v>
      </c>
      <c r="E1037" s="575" t="s">
        <v>1850</v>
      </c>
      <c r="F1037" s="561" t="s">
        <v>109</v>
      </c>
      <c r="G1037" s="562" t="s">
        <v>961</v>
      </c>
      <c r="H1037" s="562" t="s">
        <v>958</v>
      </c>
      <c r="I1037" s="562" t="s">
        <v>919</v>
      </c>
      <c r="J1037" s="562" t="s">
        <v>757</v>
      </c>
      <c r="K1037" s="561">
        <v>100</v>
      </c>
      <c r="L1037" s="338"/>
      <c r="M1037" s="565">
        <v>1</v>
      </c>
      <c r="N1037" s="565">
        <v>1</v>
      </c>
      <c r="O1037" s="566">
        <f t="shared" si="49"/>
        <v>1</v>
      </c>
      <c r="P1037" s="567">
        <f t="shared" si="50"/>
        <v>1</v>
      </c>
      <c r="Q1037" s="568">
        <f t="shared" si="48"/>
        <v>1</v>
      </c>
      <c r="R1037" s="675"/>
    </row>
    <row r="1038" spans="1:18" x14ac:dyDescent="0.2">
      <c r="A1038" s="558" t="s">
        <v>277</v>
      </c>
      <c r="B1038" s="559" t="s">
        <v>914</v>
      </c>
      <c r="C1038" s="573" t="s">
        <v>305</v>
      </c>
      <c r="D1038" s="327" t="s">
        <v>300</v>
      </c>
      <c r="E1038" s="575" t="s">
        <v>1715</v>
      </c>
      <c r="F1038" s="561" t="s">
        <v>109</v>
      </c>
      <c r="G1038" s="562" t="s">
        <v>961</v>
      </c>
      <c r="H1038" s="562" t="s">
        <v>958</v>
      </c>
      <c r="I1038" s="562" t="s">
        <v>919</v>
      </c>
      <c r="J1038" s="562" t="s">
        <v>757</v>
      </c>
      <c r="K1038" s="561">
        <v>100</v>
      </c>
      <c r="L1038" s="338"/>
      <c r="M1038" s="565">
        <v>568</v>
      </c>
      <c r="N1038" s="565">
        <v>568</v>
      </c>
      <c r="O1038" s="566">
        <f t="shared" si="49"/>
        <v>1</v>
      </c>
      <c r="P1038" s="567">
        <f t="shared" si="50"/>
        <v>1</v>
      </c>
      <c r="Q1038" s="568">
        <f t="shared" si="48"/>
        <v>1</v>
      </c>
      <c r="R1038" s="675"/>
    </row>
    <row r="1039" spans="1:18" x14ac:dyDescent="0.2">
      <c r="A1039" s="558" t="s">
        <v>277</v>
      </c>
      <c r="B1039" s="559" t="s">
        <v>914</v>
      </c>
      <c r="C1039" s="573" t="s">
        <v>305</v>
      </c>
      <c r="D1039" s="327" t="s">
        <v>292</v>
      </c>
      <c r="E1039" s="575" t="s">
        <v>1715</v>
      </c>
      <c r="F1039" s="561" t="s">
        <v>109</v>
      </c>
      <c r="G1039" s="562" t="s">
        <v>961</v>
      </c>
      <c r="H1039" s="562" t="s">
        <v>958</v>
      </c>
      <c r="I1039" s="562" t="s">
        <v>919</v>
      </c>
      <c r="J1039" s="562" t="s">
        <v>757</v>
      </c>
      <c r="K1039" s="561">
        <v>100</v>
      </c>
      <c r="L1039" s="338"/>
      <c r="M1039" s="565">
        <v>85</v>
      </c>
      <c r="N1039" s="565">
        <v>85</v>
      </c>
      <c r="O1039" s="566">
        <f t="shared" si="49"/>
        <v>1</v>
      </c>
      <c r="P1039" s="567">
        <f t="shared" si="50"/>
        <v>1</v>
      </c>
      <c r="Q1039" s="568">
        <f t="shared" si="48"/>
        <v>1</v>
      </c>
      <c r="R1039" s="675"/>
    </row>
    <row r="1040" spans="1:18" x14ac:dyDescent="0.2">
      <c r="A1040" s="558" t="s">
        <v>277</v>
      </c>
      <c r="B1040" s="559" t="s">
        <v>914</v>
      </c>
      <c r="C1040" s="573" t="s">
        <v>305</v>
      </c>
      <c r="D1040" s="327" t="s">
        <v>294</v>
      </c>
      <c r="E1040" s="575" t="s">
        <v>1851</v>
      </c>
      <c r="F1040" s="561" t="s">
        <v>109</v>
      </c>
      <c r="G1040" s="562" t="s">
        <v>961</v>
      </c>
      <c r="H1040" s="562" t="s">
        <v>958</v>
      </c>
      <c r="I1040" s="562" t="s">
        <v>919</v>
      </c>
      <c r="J1040" s="562" t="s">
        <v>757</v>
      </c>
      <c r="K1040" s="561">
        <v>100</v>
      </c>
      <c r="L1040" s="338"/>
      <c r="M1040" s="565">
        <v>24</v>
      </c>
      <c r="N1040" s="565">
        <v>24</v>
      </c>
      <c r="O1040" s="566">
        <f t="shared" si="49"/>
        <v>1</v>
      </c>
      <c r="P1040" s="567">
        <f t="shared" si="50"/>
        <v>1</v>
      </c>
      <c r="Q1040" s="568">
        <f t="shared" si="48"/>
        <v>1</v>
      </c>
      <c r="R1040" s="675"/>
    </row>
    <row r="1041" spans="1:18" x14ac:dyDescent="0.2">
      <c r="A1041" s="558" t="s">
        <v>277</v>
      </c>
      <c r="B1041" s="559" t="s">
        <v>914</v>
      </c>
      <c r="C1041" s="573" t="s">
        <v>305</v>
      </c>
      <c r="D1041" s="327" t="s">
        <v>285</v>
      </c>
      <c r="E1041" s="575" t="s">
        <v>1851</v>
      </c>
      <c r="F1041" s="561" t="s">
        <v>109</v>
      </c>
      <c r="G1041" s="562" t="s">
        <v>961</v>
      </c>
      <c r="H1041" s="562" t="s">
        <v>958</v>
      </c>
      <c r="I1041" s="562" t="s">
        <v>919</v>
      </c>
      <c r="J1041" s="562" t="s">
        <v>757</v>
      </c>
      <c r="K1041" s="561">
        <v>100</v>
      </c>
      <c r="L1041" s="338"/>
      <c r="M1041" s="565">
        <v>2</v>
      </c>
      <c r="N1041" s="565">
        <v>2</v>
      </c>
      <c r="O1041" s="566">
        <f t="shared" si="49"/>
        <v>1</v>
      </c>
      <c r="P1041" s="567">
        <f t="shared" si="50"/>
        <v>1</v>
      </c>
      <c r="Q1041" s="568">
        <f t="shared" si="48"/>
        <v>1</v>
      </c>
      <c r="R1041" s="675"/>
    </row>
    <row r="1042" spans="1:18" x14ac:dyDescent="0.2">
      <c r="A1042" s="558" t="s">
        <v>277</v>
      </c>
      <c r="B1042" s="559" t="s">
        <v>914</v>
      </c>
      <c r="C1042" s="573" t="s">
        <v>97</v>
      </c>
      <c r="D1042" s="327" t="s">
        <v>282</v>
      </c>
      <c r="E1042" s="575" t="s">
        <v>1843</v>
      </c>
      <c r="F1042" s="561" t="s">
        <v>109</v>
      </c>
      <c r="G1042" s="562" t="s">
        <v>962</v>
      </c>
      <c r="H1042" s="562" t="s">
        <v>958</v>
      </c>
      <c r="I1042" s="562" t="s">
        <v>919</v>
      </c>
      <c r="J1042" s="562" t="s">
        <v>757</v>
      </c>
      <c r="K1042" s="561">
        <v>100</v>
      </c>
      <c r="L1042" s="338"/>
      <c r="M1042" s="565">
        <v>6</v>
      </c>
      <c r="N1042" s="565">
        <v>6</v>
      </c>
      <c r="O1042" s="566">
        <f t="shared" si="49"/>
        <v>1</v>
      </c>
      <c r="P1042" s="567">
        <f t="shared" si="50"/>
        <v>1</v>
      </c>
      <c r="Q1042" s="568">
        <f t="shared" si="48"/>
        <v>1</v>
      </c>
      <c r="R1042" s="675"/>
    </row>
    <row r="1043" spans="1:18" x14ac:dyDescent="0.2">
      <c r="A1043" s="558" t="s">
        <v>277</v>
      </c>
      <c r="B1043" s="559" t="s">
        <v>914</v>
      </c>
      <c r="C1043" s="573" t="s">
        <v>97</v>
      </c>
      <c r="D1043" s="327" t="s">
        <v>285</v>
      </c>
      <c r="E1043" s="575" t="s">
        <v>1843</v>
      </c>
      <c r="F1043" s="561" t="s">
        <v>109</v>
      </c>
      <c r="G1043" s="562" t="s">
        <v>962</v>
      </c>
      <c r="H1043" s="562" t="s">
        <v>958</v>
      </c>
      <c r="I1043" s="562" t="s">
        <v>919</v>
      </c>
      <c r="J1043" s="562" t="s">
        <v>757</v>
      </c>
      <c r="K1043" s="561">
        <v>100</v>
      </c>
      <c r="L1043" s="338"/>
      <c r="M1043" s="565">
        <v>8</v>
      </c>
      <c r="N1043" s="565">
        <v>8</v>
      </c>
      <c r="O1043" s="566">
        <f t="shared" si="49"/>
        <v>1</v>
      </c>
      <c r="P1043" s="567">
        <f t="shared" si="50"/>
        <v>1</v>
      </c>
      <c r="Q1043" s="568">
        <f t="shared" si="48"/>
        <v>1</v>
      </c>
      <c r="R1043" s="675"/>
    </row>
    <row r="1044" spans="1:18" x14ac:dyDescent="0.2">
      <c r="A1044" s="558" t="s">
        <v>277</v>
      </c>
      <c r="B1044" s="559" t="s">
        <v>914</v>
      </c>
      <c r="C1044" s="573" t="s">
        <v>286</v>
      </c>
      <c r="D1044" s="327" t="s">
        <v>300</v>
      </c>
      <c r="E1044" s="575" t="s">
        <v>1715</v>
      </c>
      <c r="F1044" s="561" t="s">
        <v>109</v>
      </c>
      <c r="G1044" s="562" t="s">
        <v>962</v>
      </c>
      <c r="H1044" s="562" t="s">
        <v>958</v>
      </c>
      <c r="I1044" s="562" t="s">
        <v>919</v>
      </c>
      <c r="J1044" s="562" t="s">
        <v>757</v>
      </c>
      <c r="K1044" s="561">
        <v>100</v>
      </c>
      <c r="L1044" s="338"/>
      <c r="M1044" s="565">
        <v>39</v>
      </c>
      <c r="N1044" s="565">
        <v>39</v>
      </c>
      <c r="O1044" s="566">
        <f t="shared" si="49"/>
        <v>1</v>
      </c>
      <c r="P1044" s="567">
        <f t="shared" si="50"/>
        <v>1</v>
      </c>
      <c r="Q1044" s="568">
        <f t="shared" si="48"/>
        <v>1</v>
      </c>
      <c r="R1044" s="675"/>
    </row>
    <row r="1045" spans="1:18" x14ac:dyDescent="0.2">
      <c r="A1045" s="558" t="s">
        <v>277</v>
      </c>
      <c r="B1045" s="559" t="s">
        <v>914</v>
      </c>
      <c r="C1045" s="573" t="s">
        <v>286</v>
      </c>
      <c r="D1045" s="327" t="s">
        <v>292</v>
      </c>
      <c r="E1045" s="575" t="s">
        <v>1715</v>
      </c>
      <c r="F1045" s="561" t="s">
        <v>109</v>
      </c>
      <c r="G1045" s="562" t="s">
        <v>962</v>
      </c>
      <c r="H1045" s="562" t="s">
        <v>958</v>
      </c>
      <c r="I1045" s="562" t="s">
        <v>919</v>
      </c>
      <c r="J1045" s="562" t="s">
        <v>757</v>
      </c>
      <c r="K1045" s="561">
        <v>100</v>
      </c>
      <c r="L1045" s="338"/>
      <c r="M1045" s="565">
        <v>12</v>
      </c>
      <c r="N1045" s="565">
        <v>12</v>
      </c>
      <c r="O1045" s="566">
        <f t="shared" si="49"/>
        <v>1</v>
      </c>
      <c r="P1045" s="567">
        <f t="shared" si="50"/>
        <v>1</v>
      </c>
      <c r="Q1045" s="568">
        <f t="shared" si="48"/>
        <v>1</v>
      </c>
      <c r="R1045" s="675"/>
    </row>
    <row r="1046" spans="1:18" x14ac:dyDescent="0.2">
      <c r="A1046" s="558" t="s">
        <v>277</v>
      </c>
      <c r="B1046" s="559" t="s">
        <v>914</v>
      </c>
      <c r="C1046" s="573" t="s">
        <v>286</v>
      </c>
      <c r="D1046" s="327" t="s">
        <v>294</v>
      </c>
      <c r="E1046" s="575" t="s">
        <v>1715</v>
      </c>
      <c r="F1046" s="561" t="s">
        <v>109</v>
      </c>
      <c r="G1046" s="562" t="s">
        <v>962</v>
      </c>
      <c r="H1046" s="562" t="s">
        <v>958</v>
      </c>
      <c r="I1046" s="562" t="s">
        <v>919</v>
      </c>
      <c r="J1046" s="562" t="s">
        <v>757</v>
      </c>
      <c r="K1046" s="561">
        <v>100</v>
      </c>
      <c r="L1046" s="338"/>
      <c r="M1046" s="565">
        <v>40</v>
      </c>
      <c r="N1046" s="565">
        <v>40</v>
      </c>
      <c r="O1046" s="566">
        <f t="shared" si="49"/>
        <v>1</v>
      </c>
      <c r="P1046" s="567">
        <f t="shared" si="50"/>
        <v>1</v>
      </c>
      <c r="Q1046" s="568">
        <f t="shared" si="48"/>
        <v>1</v>
      </c>
      <c r="R1046" s="675"/>
    </row>
    <row r="1047" spans="1:18" x14ac:dyDescent="0.2">
      <c r="A1047" s="558" t="s">
        <v>277</v>
      </c>
      <c r="B1047" s="559" t="s">
        <v>914</v>
      </c>
      <c r="C1047" s="573" t="s">
        <v>286</v>
      </c>
      <c r="D1047" s="327" t="s">
        <v>282</v>
      </c>
      <c r="E1047" s="575" t="s">
        <v>1715</v>
      </c>
      <c r="F1047" s="561" t="s">
        <v>109</v>
      </c>
      <c r="G1047" s="562" t="s">
        <v>962</v>
      </c>
      <c r="H1047" s="562" t="s">
        <v>958</v>
      </c>
      <c r="I1047" s="562" t="s">
        <v>919</v>
      </c>
      <c r="J1047" s="562" t="s">
        <v>757</v>
      </c>
      <c r="K1047" s="561">
        <v>100</v>
      </c>
      <c r="L1047" s="338"/>
      <c r="M1047" s="565">
        <v>68</v>
      </c>
      <c r="N1047" s="565">
        <v>68</v>
      </c>
      <c r="O1047" s="566">
        <f t="shared" si="49"/>
        <v>1</v>
      </c>
      <c r="P1047" s="567">
        <f t="shared" si="50"/>
        <v>1</v>
      </c>
      <c r="Q1047" s="568">
        <f t="shared" si="48"/>
        <v>1</v>
      </c>
      <c r="R1047" s="675"/>
    </row>
    <row r="1048" spans="1:18" x14ac:dyDescent="0.2">
      <c r="A1048" s="558" t="s">
        <v>277</v>
      </c>
      <c r="B1048" s="559" t="s">
        <v>914</v>
      </c>
      <c r="C1048" s="573" t="s">
        <v>286</v>
      </c>
      <c r="D1048" s="327" t="s">
        <v>285</v>
      </c>
      <c r="E1048" s="575" t="s">
        <v>1715</v>
      </c>
      <c r="F1048" s="561" t="s">
        <v>109</v>
      </c>
      <c r="G1048" s="562" t="s">
        <v>962</v>
      </c>
      <c r="H1048" s="562" t="s">
        <v>958</v>
      </c>
      <c r="I1048" s="562" t="s">
        <v>919</v>
      </c>
      <c r="J1048" s="562" t="s">
        <v>757</v>
      </c>
      <c r="K1048" s="561">
        <v>100</v>
      </c>
      <c r="L1048" s="338"/>
      <c r="M1048" s="565">
        <v>47</v>
      </c>
      <c r="N1048" s="565">
        <v>47</v>
      </c>
      <c r="O1048" s="566">
        <f t="shared" si="49"/>
        <v>1</v>
      </c>
      <c r="P1048" s="567">
        <f t="shared" si="50"/>
        <v>1</v>
      </c>
      <c r="Q1048" s="568">
        <f t="shared" si="48"/>
        <v>1</v>
      </c>
      <c r="R1048" s="675"/>
    </row>
    <row r="1049" spans="1:18" x14ac:dyDescent="0.2">
      <c r="A1049" s="558" t="s">
        <v>277</v>
      </c>
      <c r="B1049" s="559" t="s">
        <v>914</v>
      </c>
      <c r="C1049" s="573" t="s">
        <v>303</v>
      </c>
      <c r="D1049" s="327" t="s">
        <v>300</v>
      </c>
      <c r="E1049" s="575" t="s">
        <v>1715</v>
      </c>
      <c r="F1049" s="561" t="s">
        <v>109</v>
      </c>
      <c r="G1049" s="562" t="s">
        <v>962</v>
      </c>
      <c r="H1049" s="562" t="s">
        <v>958</v>
      </c>
      <c r="I1049" s="562" t="s">
        <v>919</v>
      </c>
      <c r="J1049" s="562" t="s">
        <v>757</v>
      </c>
      <c r="K1049" s="561">
        <v>100</v>
      </c>
      <c r="L1049" s="338"/>
      <c r="M1049" s="565">
        <v>144</v>
      </c>
      <c r="N1049" s="565">
        <v>144</v>
      </c>
      <c r="O1049" s="566">
        <f t="shared" si="49"/>
        <v>1</v>
      </c>
      <c r="P1049" s="567">
        <f t="shared" si="50"/>
        <v>1</v>
      </c>
      <c r="Q1049" s="568">
        <f t="shared" si="48"/>
        <v>1</v>
      </c>
      <c r="R1049" s="675"/>
    </row>
    <row r="1050" spans="1:18" x14ac:dyDescent="0.2">
      <c r="A1050" s="558" t="s">
        <v>277</v>
      </c>
      <c r="B1050" s="559" t="s">
        <v>914</v>
      </c>
      <c r="C1050" s="573" t="s">
        <v>303</v>
      </c>
      <c r="D1050" s="327" t="s">
        <v>292</v>
      </c>
      <c r="E1050" s="575" t="s">
        <v>1844</v>
      </c>
      <c r="F1050" s="561" t="s">
        <v>109</v>
      </c>
      <c r="G1050" s="562" t="s">
        <v>962</v>
      </c>
      <c r="H1050" s="562" t="s">
        <v>958</v>
      </c>
      <c r="I1050" s="562" t="s">
        <v>919</v>
      </c>
      <c r="J1050" s="562" t="s">
        <v>757</v>
      </c>
      <c r="K1050" s="561">
        <v>100</v>
      </c>
      <c r="L1050" s="338"/>
      <c r="M1050" s="565">
        <v>42</v>
      </c>
      <c r="N1050" s="565">
        <v>42</v>
      </c>
      <c r="O1050" s="566">
        <f t="shared" si="49"/>
        <v>1</v>
      </c>
      <c r="P1050" s="567">
        <f t="shared" si="50"/>
        <v>1</v>
      </c>
      <c r="Q1050" s="568">
        <f t="shared" si="48"/>
        <v>1</v>
      </c>
      <c r="R1050" s="675"/>
    </row>
    <row r="1051" spans="1:18" x14ac:dyDescent="0.2">
      <c r="A1051" s="558" t="s">
        <v>277</v>
      </c>
      <c r="B1051" s="559" t="s">
        <v>914</v>
      </c>
      <c r="C1051" s="573" t="s">
        <v>303</v>
      </c>
      <c r="D1051" s="327" t="s">
        <v>294</v>
      </c>
      <c r="E1051" s="575" t="s">
        <v>1844</v>
      </c>
      <c r="F1051" s="561" t="s">
        <v>109</v>
      </c>
      <c r="G1051" s="562" t="s">
        <v>962</v>
      </c>
      <c r="H1051" s="562" t="s">
        <v>958</v>
      </c>
      <c r="I1051" s="562" t="s">
        <v>919</v>
      </c>
      <c r="J1051" s="562" t="s">
        <v>757</v>
      </c>
      <c r="K1051" s="561">
        <v>100</v>
      </c>
      <c r="L1051" s="338"/>
      <c r="M1051" s="565">
        <v>10</v>
      </c>
      <c r="N1051" s="565">
        <v>10</v>
      </c>
      <c r="O1051" s="566">
        <f t="shared" si="49"/>
        <v>1</v>
      </c>
      <c r="P1051" s="567">
        <f t="shared" si="50"/>
        <v>1</v>
      </c>
      <c r="Q1051" s="568">
        <f t="shared" si="48"/>
        <v>1</v>
      </c>
      <c r="R1051" s="675"/>
    </row>
    <row r="1052" spans="1:18" x14ac:dyDescent="0.2">
      <c r="A1052" s="558" t="s">
        <v>277</v>
      </c>
      <c r="B1052" s="559" t="s">
        <v>914</v>
      </c>
      <c r="C1052" s="573" t="s">
        <v>303</v>
      </c>
      <c r="D1052" s="327" t="s">
        <v>282</v>
      </c>
      <c r="E1052" s="575" t="s">
        <v>1845</v>
      </c>
      <c r="F1052" s="561" t="s">
        <v>109</v>
      </c>
      <c r="G1052" s="562" t="s">
        <v>962</v>
      </c>
      <c r="H1052" s="562" t="s">
        <v>958</v>
      </c>
      <c r="I1052" s="562" t="s">
        <v>919</v>
      </c>
      <c r="J1052" s="562" t="s">
        <v>757</v>
      </c>
      <c r="K1052" s="561">
        <v>100</v>
      </c>
      <c r="L1052" s="338"/>
      <c r="M1052" s="565">
        <v>2</v>
      </c>
      <c r="N1052" s="565">
        <v>2</v>
      </c>
      <c r="O1052" s="566">
        <f t="shared" si="49"/>
        <v>1</v>
      </c>
      <c r="P1052" s="567">
        <f t="shared" si="50"/>
        <v>1</v>
      </c>
      <c r="Q1052" s="568">
        <f t="shared" si="48"/>
        <v>1</v>
      </c>
      <c r="R1052" s="675"/>
    </row>
    <row r="1053" spans="1:18" x14ac:dyDescent="0.2">
      <c r="A1053" s="558" t="s">
        <v>277</v>
      </c>
      <c r="B1053" s="559" t="s">
        <v>914</v>
      </c>
      <c r="C1053" s="573" t="s">
        <v>303</v>
      </c>
      <c r="D1053" s="327" t="s">
        <v>285</v>
      </c>
      <c r="E1053" s="575" t="s">
        <v>1845</v>
      </c>
      <c r="F1053" s="561" t="s">
        <v>109</v>
      </c>
      <c r="G1053" s="562" t="s">
        <v>962</v>
      </c>
      <c r="H1053" s="562" t="s">
        <v>958</v>
      </c>
      <c r="I1053" s="562" t="s">
        <v>919</v>
      </c>
      <c r="J1053" s="562" t="s">
        <v>757</v>
      </c>
      <c r="K1053" s="561">
        <v>100</v>
      </c>
      <c r="L1053" s="338"/>
      <c r="M1053" s="565">
        <v>5</v>
      </c>
      <c r="N1053" s="565">
        <v>5</v>
      </c>
      <c r="O1053" s="566">
        <f t="shared" si="49"/>
        <v>1</v>
      </c>
      <c r="P1053" s="567">
        <f t="shared" si="50"/>
        <v>1</v>
      </c>
      <c r="Q1053" s="568">
        <f t="shared" si="48"/>
        <v>1</v>
      </c>
      <c r="R1053" s="675"/>
    </row>
    <row r="1054" spans="1:18" x14ac:dyDescent="0.2">
      <c r="A1054" s="558" t="s">
        <v>277</v>
      </c>
      <c r="B1054" s="559" t="s">
        <v>914</v>
      </c>
      <c r="C1054" s="573" t="s">
        <v>99</v>
      </c>
      <c r="D1054" s="327" t="s">
        <v>300</v>
      </c>
      <c r="E1054" s="575" t="s">
        <v>1715</v>
      </c>
      <c r="F1054" s="561" t="s">
        <v>109</v>
      </c>
      <c r="G1054" s="562" t="s">
        <v>962</v>
      </c>
      <c r="H1054" s="562" t="s">
        <v>958</v>
      </c>
      <c r="I1054" s="562" t="s">
        <v>919</v>
      </c>
      <c r="J1054" s="562" t="s">
        <v>757</v>
      </c>
      <c r="K1054" s="561">
        <v>100</v>
      </c>
      <c r="L1054" s="338"/>
      <c r="M1054" s="565">
        <v>158</v>
      </c>
      <c r="N1054" s="565">
        <v>158</v>
      </c>
      <c r="O1054" s="566">
        <f t="shared" si="49"/>
        <v>1</v>
      </c>
      <c r="P1054" s="567">
        <f t="shared" si="50"/>
        <v>1</v>
      </c>
      <c r="Q1054" s="568">
        <f t="shared" si="48"/>
        <v>1</v>
      </c>
      <c r="R1054" s="675"/>
    </row>
    <row r="1055" spans="1:18" x14ac:dyDescent="0.2">
      <c r="A1055" s="558" t="s">
        <v>277</v>
      </c>
      <c r="B1055" s="559" t="s">
        <v>914</v>
      </c>
      <c r="C1055" s="573" t="s">
        <v>99</v>
      </c>
      <c r="D1055" s="327" t="s">
        <v>292</v>
      </c>
      <c r="E1055" s="575" t="s">
        <v>1715</v>
      </c>
      <c r="F1055" s="561" t="s">
        <v>109</v>
      </c>
      <c r="G1055" s="562" t="s">
        <v>962</v>
      </c>
      <c r="H1055" s="562" t="s">
        <v>958</v>
      </c>
      <c r="I1055" s="562" t="s">
        <v>919</v>
      </c>
      <c r="J1055" s="562" t="s">
        <v>757</v>
      </c>
      <c r="K1055" s="561">
        <v>100</v>
      </c>
      <c r="L1055" s="338"/>
      <c r="M1055" s="565">
        <v>7</v>
      </c>
      <c r="N1055" s="565">
        <v>7</v>
      </c>
      <c r="O1055" s="566">
        <f t="shared" si="49"/>
        <v>1</v>
      </c>
      <c r="P1055" s="567">
        <f t="shared" si="50"/>
        <v>1</v>
      </c>
      <c r="Q1055" s="568">
        <f t="shared" si="48"/>
        <v>1</v>
      </c>
      <c r="R1055" s="675"/>
    </row>
    <row r="1056" spans="1:18" x14ac:dyDescent="0.2">
      <c r="A1056" s="558" t="s">
        <v>277</v>
      </c>
      <c r="B1056" s="559" t="s">
        <v>914</v>
      </c>
      <c r="C1056" s="573" t="s">
        <v>99</v>
      </c>
      <c r="D1056" s="327" t="s">
        <v>294</v>
      </c>
      <c r="E1056" s="575" t="s">
        <v>1846</v>
      </c>
      <c r="F1056" s="561" t="s">
        <v>109</v>
      </c>
      <c r="G1056" s="562" t="s">
        <v>962</v>
      </c>
      <c r="H1056" s="562" t="s">
        <v>958</v>
      </c>
      <c r="I1056" s="562" t="s">
        <v>919</v>
      </c>
      <c r="J1056" s="562" t="s">
        <v>757</v>
      </c>
      <c r="K1056" s="561">
        <v>100</v>
      </c>
      <c r="L1056" s="338"/>
      <c r="M1056" s="565">
        <v>8</v>
      </c>
      <c r="N1056" s="565">
        <v>8</v>
      </c>
      <c r="O1056" s="566">
        <f t="shared" si="49"/>
        <v>1</v>
      </c>
      <c r="P1056" s="567">
        <f t="shared" si="50"/>
        <v>1</v>
      </c>
      <c r="Q1056" s="568">
        <f t="shared" si="48"/>
        <v>1</v>
      </c>
      <c r="R1056" s="675"/>
    </row>
    <row r="1057" spans="1:18" x14ac:dyDescent="0.2">
      <c r="A1057" s="558" t="s">
        <v>277</v>
      </c>
      <c r="B1057" s="559" t="s">
        <v>914</v>
      </c>
      <c r="C1057" s="573" t="s">
        <v>99</v>
      </c>
      <c r="D1057" s="327" t="s">
        <v>282</v>
      </c>
      <c r="E1057" s="575" t="s">
        <v>1846</v>
      </c>
      <c r="F1057" s="561" t="s">
        <v>109</v>
      </c>
      <c r="G1057" s="562" t="s">
        <v>962</v>
      </c>
      <c r="H1057" s="562" t="s">
        <v>958</v>
      </c>
      <c r="I1057" s="562" t="s">
        <v>919</v>
      </c>
      <c r="J1057" s="562" t="s">
        <v>757</v>
      </c>
      <c r="K1057" s="561">
        <v>100</v>
      </c>
      <c r="L1057" s="338"/>
      <c r="M1057" s="565">
        <v>4</v>
      </c>
      <c r="N1057" s="565">
        <v>4</v>
      </c>
      <c r="O1057" s="566">
        <f t="shared" si="49"/>
        <v>1</v>
      </c>
      <c r="P1057" s="567">
        <f t="shared" si="50"/>
        <v>1</v>
      </c>
      <c r="Q1057" s="568">
        <f t="shared" si="48"/>
        <v>1</v>
      </c>
      <c r="R1057" s="675"/>
    </row>
    <row r="1058" spans="1:18" x14ac:dyDescent="0.2">
      <c r="A1058" s="558" t="s">
        <v>277</v>
      </c>
      <c r="B1058" s="559" t="s">
        <v>914</v>
      </c>
      <c r="C1058" s="573" t="s">
        <v>99</v>
      </c>
      <c r="D1058" s="327" t="s">
        <v>285</v>
      </c>
      <c r="E1058" s="575" t="s">
        <v>1846</v>
      </c>
      <c r="F1058" s="561" t="s">
        <v>109</v>
      </c>
      <c r="G1058" s="562" t="s">
        <v>962</v>
      </c>
      <c r="H1058" s="562" t="s">
        <v>958</v>
      </c>
      <c r="I1058" s="562" t="s">
        <v>919</v>
      </c>
      <c r="J1058" s="562" t="s">
        <v>757</v>
      </c>
      <c r="K1058" s="561">
        <v>100</v>
      </c>
      <c r="L1058" s="338"/>
      <c r="M1058" s="565">
        <v>1</v>
      </c>
      <c r="N1058" s="565">
        <v>1</v>
      </c>
      <c r="O1058" s="566">
        <f t="shared" si="49"/>
        <v>1</v>
      </c>
      <c r="P1058" s="567">
        <f t="shared" si="50"/>
        <v>1</v>
      </c>
      <c r="Q1058" s="568">
        <f t="shared" si="48"/>
        <v>1</v>
      </c>
      <c r="R1058" s="675"/>
    </row>
    <row r="1059" spans="1:18" x14ac:dyDescent="0.2">
      <c r="A1059" s="558" t="s">
        <v>277</v>
      </c>
      <c r="B1059" s="559" t="s">
        <v>914</v>
      </c>
      <c r="C1059" s="573" t="s">
        <v>296</v>
      </c>
      <c r="D1059" s="327" t="s">
        <v>300</v>
      </c>
      <c r="E1059" s="575" t="s">
        <v>1847</v>
      </c>
      <c r="F1059" s="561" t="s">
        <v>109</v>
      </c>
      <c r="G1059" s="562" t="s">
        <v>962</v>
      </c>
      <c r="H1059" s="562" t="s">
        <v>958</v>
      </c>
      <c r="I1059" s="562" t="s">
        <v>919</v>
      </c>
      <c r="J1059" s="562" t="s">
        <v>757</v>
      </c>
      <c r="K1059" s="561">
        <v>100</v>
      </c>
      <c r="L1059" s="338"/>
      <c r="M1059" s="565">
        <v>0</v>
      </c>
      <c r="N1059" s="565">
        <v>0</v>
      </c>
      <c r="O1059" s="566">
        <f t="shared" si="49"/>
        <v>0</v>
      </c>
      <c r="P1059" s="567">
        <f t="shared" si="50"/>
        <v>0</v>
      </c>
      <c r="Q1059" s="568" t="e">
        <f t="shared" si="48"/>
        <v>#DIV/0!</v>
      </c>
      <c r="R1059" s="676" t="s">
        <v>1919</v>
      </c>
    </row>
    <row r="1060" spans="1:18" x14ac:dyDescent="0.2">
      <c r="A1060" s="558" t="s">
        <v>277</v>
      </c>
      <c r="B1060" s="559" t="s">
        <v>914</v>
      </c>
      <c r="C1060" s="573" t="s">
        <v>296</v>
      </c>
      <c r="D1060" s="327" t="s">
        <v>292</v>
      </c>
      <c r="E1060" s="575" t="s">
        <v>1847</v>
      </c>
      <c r="F1060" s="561" t="s">
        <v>109</v>
      </c>
      <c r="G1060" s="562" t="s">
        <v>962</v>
      </c>
      <c r="H1060" s="562" t="s">
        <v>958</v>
      </c>
      <c r="I1060" s="562" t="s">
        <v>919</v>
      </c>
      <c r="J1060" s="562" t="s">
        <v>757</v>
      </c>
      <c r="K1060" s="561">
        <v>100</v>
      </c>
      <c r="L1060" s="338"/>
      <c r="M1060" s="565">
        <v>3</v>
      </c>
      <c r="N1060" s="565">
        <v>3</v>
      </c>
      <c r="O1060" s="566">
        <f t="shared" si="49"/>
        <v>1</v>
      </c>
      <c r="P1060" s="567">
        <f t="shared" si="50"/>
        <v>1</v>
      </c>
      <c r="Q1060" s="568">
        <f t="shared" si="48"/>
        <v>1</v>
      </c>
      <c r="R1060" s="675"/>
    </row>
    <row r="1061" spans="1:18" x14ac:dyDescent="0.2">
      <c r="A1061" s="558" t="s">
        <v>277</v>
      </c>
      <c r="B1061" s="559" t="s">
        <v>914</v>
      </c>
      <c r="C1061" s="573" t="s">
        <v>296</v>
      </c>
      <c r="D1061" s="327" t="s">
        <v>294</v>
      </c>
      <c r="E1061" s="575" t="s">
        <v>1848</v>
      </c>
      <c r="F1061" s="561" t="s">
        <v>109</v>
      </c>
      <c r="G1061" s="562" t="s">
        <v>962</v>
      </c>
      <c r="H1061" s="562" t="s">
        <v>958</v>
      </c>
      <c r="I1061" s="562" t="s">
        <v>919</v>
      </c>
      <c r="J1061" s="562" t="s">
        <v>757</v>
      </c>
      <c r="K1061" s="561">
        <v>100</v>
      </c>
      <c r="L1061" s="338"/>
      <c r="M1061" s="565">
        <v>1</v>
      </c>
      <c r="N1061" s="565">
        <v>1</v>
      </c>
      <c r="O1061" s="566">
        <f t="shared" si="49"/>
        <v>1</v>
      </c>
      <c r="P1061" s="567">
        <f t="shared" si="50"/>
        <v>1</v>
      </c>
      <c r="Q1061" s="568">
        <f t="shared" si="48"/>
        <v>1</v>
      </c>
      <c r="R1061" s="675"/>
    </row>
    <row r="1062" spans="1:18" x14ac:dyDescent="0.2">
      <c r="A1062" s="558" t="s">
        <v>277</v>
      </c>
      <c r="B1062" s="559" t="s">
        <v>914</v>
      </c>
      <c r="C1062" s="573" t="s">
        <v>296</v>
      </c>
      <c r="D1062" s="327" t="s">
        <v>282</v>
      </c>
      <c r="E1062" s="575" t="s">
        <v>1848</v>
      </c>
      <c r="F1062" s="561" t="s">
        <v>109</v>
      </c>
      <c r="G1062" s="562" t="s">
        <v>962</v>
      </c>
      <c r="H1062" s="562" t="s">
        <v>958</v>
      </c>
      <c r="I1062" s="562" t="s">
        <v>919</v>
      </c>
      <c r="J1062" s="562" t="s">
        <v>757</v>
      </c>
      <c r="K1062" s="561">
        <v>100</v>
      </c>
      <c r="L1062" s="338"/>
      <c r="M1062" s="565">
        <v>2</v>
      </c>
      <c r="N1062" s="565">
        <v>2</v>
      </c>
      <c r="O1062" s="566">
        <f t="shared" si="49"/>
        <v>1</v>
      </c>
      <c r="P1062" s="567">
        <f t="shared" si="50"/>
        <v>1</v>
      </c>
      <c r="Q1062" s="568">
        <f t="shared" si="48"/>
        <v>1</v>
      </c>
      <c r="R1062" s="675"/>
    </row>
    <row r="1063" spans="1:18" x14ac:dyDescent="0.2">
      <c r="A1063" s="558" t="s">
        <v>277</v>
      </c>
      <c r="B1063" s="559" t="s">
        <v>914</v>
      </c>
      <c r="C1063" s="573" t="s">
        <v>296</v>
      </c>
      <c r="D1063" s="327" t="s">
        <v>285</v>
      </c>
      <c r="E1063" s="575" t="s">
        <v>1715</v>
      </c>
      <c r="F1063" s="561" t="s">
        <v>109</v>
      </c>
      <c r="G1063" s="562" t="s">
        <v>962</v>
      </c>
      <c r="H1063" s="562" t="s">
        <v>958</v>
      </c>
      <c r="I1063" s="562" t="s">
        <v>919</v>
      </c>
      <c r="J1063" s="562" t="s">
        <v>757</v>
      </c>
      <c r="K1063" s="561">
        <v>100</v>
      </c>
      <c r="L1063" s="338"/>
      <c r="M1063" s="565">
        <v>11</v>
      </c>
      <c r="N1063" s="565">
        <v>11</v>
      </c>
      <c r="O1063" s="566">
        <f t="shared" si="49"/>
        <v>1</v>
      </c>
      <c r="P1063" s="567">
        <f t="shared" si="50"/>
        <v>1</v>
      </c>
      <c r="Q1063" s="568">
        <f t="shared" si="48"/>
        <v>1</v>
      </c>
      <c r="R1063" s="675"/>
    </row>
    <row r="1064" spans="1:18" x14ac:dyDescent="0.2">
      <c r="A1064" s="558" t="s">
        <v>277</v>
      </c>
      <c r="B1064" s="559" t="s">
        <v>914</v>
      </c>
      <c r="C1064" s="573" t="s">
        <v>296</v>
      </c>
      <c r="D1064" s="327" t="s">
        <v>298</v>
      </c>
      <c r="E1064" s="575" t="s">
        <v>1715</v>
      </c>
      <c r="F1064" s="561" t="s">
        <v>109</v>
      </c>
      <c r="G1064" s="562" t="s">
        <v>962</v>
      </c>
      <c r="H1064" s="562" t="s">
        <v>958</v>
      </c>
      <c r="I1064" s="562" t="s">
        <v>919</v>
      </c>
      <c r="J1064" s="562" t="s">
        <v>757</v>
      </c>
      <c r="K1064" s="561">
        <v>100</v>
      </c>
      <c r="L1064" s="338"/>
      <c r="M1064" s="565">
        <v>20</v>
      </c>
      <c r="N1064" s="565">
        <v>20</v>
      </c>
      <c r="O1064" s="566">
        <f t="shared" si="49"/>
        <v>1</v>
      </c>
      <c r="P1064" s="567">
        <f t="shared" si="50"/>
        <v>1</v>
      </c>
      <c r="Q1064" s="568">
        <f t="shared" si="48"/>
        <v>1</v>
      </c>
      <c r="R1064" s="675"/>
    </row>
    <row r="1065" spans="1:18" x14ac:dyDescent="0.2">
      <c r="A1065" s="558" t="s">
        <v>277</v>
      </c>
      <c r="B1065" s="559" t="s">
        <v>914</v>
      </c>
      <c r="C1065" s="573" t="s">
        <v>316</v>
      </c>
      <c r="D1065" s="327" t="s">
        <v>292</v>
      </c>
      <c r="E1065" s="575" t="s">
        <v>1849</v>
      </c>
      <c r="F1065" s="561" t="s">
        <v>109</v>
      </c>
      <c r="G1065" s="562" t="s">
        <v>962</v>
      </c>
      <c r="H1065" s="562" t="s">
        <v>958</v>
      </c>
      <c r="I1065" s="562" t="s">
        <v>919</v>
      </c>
      <c r="J1065" s="562" t="s">
        <v>757</v>
      </c>
      <c r="K1065" s="561">
        <v>100</v>
      </c>
      <c r="L1065" s="338"/>
      <c r="M1065" s="565">
        <v>0</v>
      </c>
      <c r="N1065" s="565">
        <v>0</v>
      </c>
      <c r="O1065" s="566">
        <f t="shared" si="49"/>
        <v>0</v>
      </c>
      <c r="P1065" s="567">
        <f t="shared" si="50"/>
        <v>0</v>
      </c>
      <c r="Q1065" s="568" t="e">
        <f t="shared" si="48"/>
        <v>#DIV/0!</v>
      </c>
      <c r="R1065" s="676" t="s">
        <v>1919</v>
      </c>
    </row>
    <row r="1066" spans="1:18" x14ac:dyDescent="0.2">
      <c r="A1066" s="558" t="s">
        <v>277</v>
      </c>
      <c r="B1066" s="559" t="s">
        <v>914</v>
      </c>
      <c r="C1066" s="573" t="s">
        <v>316</v>
      </c>
      <c r="D1066" s="327" t="s">
        <v>294</v>
      </c>
      <c r="E1066" s="575" t="s">
        <v>1849</v>
      </c>
      <c r="F1066" s="561" t="s">
        <v>109</v>
      </c>
      <c r="G1066" s="562" t="s">
        <v>962</v>
      </c>
      <c r="H1066" s="562" t="s">
        <v>958</v>
      </c>
      <c r="I1066" s="562" t="s">
        <v>919</v>
      </c>
      <c r="J1066" s="562" t="s">
        <v>757</v>
      </c>
      <c r="K1066" s="561">
        <v>100</v>
      </c>
      <c r="L1066" s="338"/>
      <c r="M1066" s="565">
        <v>0</v>
      </c>
      <c r="N1066" s="565">
        <v>0</v>
      </c>
      <c r="O1066" s="566">
        <f t="shared" si="49"/>
        <v>0</v>
      </c>
      <c r="P1066" s="567">
        <f t="shared" si="50"/>
        <v>0</v>
      </c>
      <c r="Q1066" s="568" t="e">
        <f t="shared" si="48"/>
        <v>#DIV/0!</v>
      </c>
      <c r="R1066" s="676" t="s">
        <v>1919</v>
      </c>
    </row>
    <row r="1067" spans="1:18" x14ac:dyDescent="0.2">
      <c r="A1067" s="558" t="s">
        <v>277</v>
      </c>
      <c r="B1067" s="559" t="s">
        <v>914</v>
      </c>
      <c r="C1067" s="573" t="s">
        <v>308</v>
      </c>
      <c r="D1067" s="327" t="s">
        <v>300</v>
      </c>
      <c r="E1067" s="575" t="s">
        <v>1715</v>
      </c>
      <c r="F1067" s="561" t="s">
        <v>109</v>
      </c>
      <c r="G1067" s="562" t="s">
        <v>962</v>
      </c>
      <c r="H1067" s="562" t="s">
        <v>958</v>
      </c>
      <c r="I1067" s="562" t="s">
        <v>919</v>
      </c>
      <c r="J1067" s="562" t="s">
        <v>757</v>
      </c>
      <c r="K1067" s="561">
        <v>100</v>
      </c>
      <c r="L1067" s="338"/>
      <c r="M1067" s="565">
        <v>51</v>
      </c>
      <c r="N1067" s="565">
        <v>51</v>
      </c>
      <c r="O1067" s="566">
        <f t="shared" si="49"/>
        <v>1</v>
      </c>
      <c r="P1067" s="567">
        <f t="shared" si="50"/>
        <v>1</v>
      </c>
      <c r="Q1067" s="568">
        <f t="shared" si="48"/>
        <v>1</v>
      </c>
      <c r="R1067" s="675"/>
    </row>
    <row r="1068" spans="1:18" x14ac:dyDescent="0.2">
      <c r="A1068" s="558" t="s">
        <v>277</v>
      </c>
      <c r="B1068" s="559" t="s">
        <v>914</v>
      </c>
      <c r="C1068" s="573" t="s">
        <v>308</v>
      </c>
      <c r="D1068" s="327" t="s">
        <v>292</v>
      </c>
      <c r="E1068" s="575" t="s">
        <v>1850</v>
      </c>
      <c r="F1068" s="561" t="s">
        <v>109</v>
      </c>
      <c r="G1068" s="562" t="s">
        <v>962</v>
      </c>
      <c r="H1068" s="562" t="s">
        <v>958</v>
      </c>
      <c r="I1068" s="562" t="s">
        <v>919</v>
      </c>
      <c r="J1068" s="562" t="s">
        <v>757</v>
      </c>
      <c r="K1068" s="561">
        <v>100</v>
      </c>
      <c r="L1068" s="338"/>
      <c r="M1068" s="565">
        <v>7</v>
      </c>
      <c r="N1068" s="565">
        <v>7</v>
      </c>
      <c r="O1068" s="566">
        <f t="shared" si="49"/>
        <v>1</v>
      </c>
      <c r="P1068" s="567">
        <f t="shared" si="50"/>
        <v>1</v>
      </c>
      <c r="Q1068" s="568">
        <f t="shared" si="48"/>
        <v>1</v>
      </c>
      <c r="R1068" s="675"/>
    </row>
    <row r="1069" spans="1:18" x14ac:dyDescent="0.2">
      <c r="A1069" s="558" t="s">
        <v>277</v>
      </c>
      <c r="B1069" s="559" t="s">
        <v>914</v>
      </c>
      <c r="C1069" s="573" t="s">
        <v>308</v>
      </c>
      <c r="D1069" s="327" t="s">
        <v>294</v>
      </c>
      <c r="E1069" s="575" t="s">
        <v>1850</v>
      </c>
      <c r="F1069" s="561" t="s">
        <v>109</v>
      </c>
      <c r="G1069" s="562" t="s">
        <v>962</v>
      </c>
      <c r="H1069" s="562" t="s">
        <v>958</v>
      </c>
      <c r="I1069" s="562" t="s">
        <v>919</v>
      </c>
      <c r="J1069" s="562" t="s">
        <v>757</v>
      </c>
      <c r="K1069" s="561">
        <v>100</v>
      </c>
      <c r="L1069" s="338"/>
      <c r="M1069" s="565">
        <v>1</v>
      </c>
      <c r="N1069" s="565">
        <v>1</v>
      </c>
      <c r="O1069" s="566">
        <f t="shared" si="49"/>
        <v>1</v>
      </c>
      <c r="P1069" s="567">
        <f t="shared" si="50"/>
        <v>1</v>
      </c>
      <c r="Q1069" s="568">
        <f t="shared" si="48"/>
        <v>1</v>
      </c>
      <c r="R1069" s="675"/>
    </row>
    <row r="1070" spans="1:18" x14ac:dyDescent="0.2">
      <c r="A1070" s="558" t="s">
        <v>277</v>
      </c>
      <c r="B1070" s="559" t="s">
        <v>914</v>
      </c>
      <c r="C1070" s="573" t="s">
        <v>305</v>
      </c>
      <c r="D1070" s="327" t="s">
        <v>300</v>
      </c>
      <c r="E1070" s="575" t="s">
        <v>1715</v>
      </c>
      <c r="F1070" s="561" t="s">
        <v>109</v>
      </c>
      <c r="G1070" s="562" t="s">
        <v>962</v>
      </c>
      <c r="H1070" s="562" t="s">
        <v>958</v>
      </c>
      <c r="I1070" s="562" t="s">
        <v>919</v>
      </c>
      <c r="J1070" s="562" t="s">
        <v>757</v>
      </c>
      <c r="K1070" s="561">
        <v>100</v>
      </c>
      <c r="L1070" s="338"/>
      <c r="M1070" s="565">
        <v>568</v>
      </c>
      <c r="N1070" s="565">
        <v>568</v>
      </c>
      <c r="O1070" s="566">
        <f t="shared" si="49"/>
        <v>1</v>
      </c>
      <c r="P1070" s="567">
        <f t="shared" si="50"/>
        <v>1</v>
      </c>
      <c r="Q1070" s="568">
        <f t="shared" si="48"/>
        <v>1</v>
      </c>
      <c r="R1070" s="675"/>
    </row>
    <row r="1071" spans="1:18" x14ac:dyDescent="0.2">
      <c r="A1071" s="558" t="s">
        <v>277</v>
      </c>
      <c r="B1071" s="559" t="s">
        <v>914</v>
      </c>
      <c r="C1071" s="573" t="s">
        <v>305</v>
      </c>
      <c r="D1071" s="327" t="s">
        <v>292</v>
      </c>
      <c r="E1071" s="575" t="s">
        <v>1715</v>
      </c>
      <c r="F1071" s="561" t="s">
        <v>109</v>
      </c>
      <c r="G1071" s="562" t="s">
        <v>962</v>
      </c>
      <c r="H1071" s="562" t="s">
        <v>958</v>
      </c>
      <c r="I1071" s="562" t="s">
        <v>919</v>
      </c>
      <c r="J1071" s="562" t="s">
        <v>757</v>
      </c>
      <c r="K1071" s="561">
        <v>100</v>
      </c>
      <c r="L1071" s="338"/>
      <c r="M1071" s="565">
        <v>85</v>
      </c>
      <c r="N1071" s="565">
        <v>85</v>
      </c>
      <c r="O1071" s="566">
        <f t="shared" si="49"/>
        <v>1</v>
      </c>
      <c r="P1071" s="567">
        <f t="shared" si="50"/>
        <v>1</v>
      </c>
      <c r="Q1071" s="568">
        <f t="shared" si="48"/>
        <v>1</v>
      </c>
      <c r="R1071" s="675"/>
    </row>
    <row r="1072" spans="1:18" x14ac:dyDescent="0.2">
      <c r="A1072" s="558" t="s">
        <v>277</v>
      </c>
      <c r="B1072" s="559" t="s">
        <v>914</v>
      </c>
      <c r="C1072" s="573" t="s">
        <v>305</v>
      </c>
      <c r="D1072" s="327" t="s">
        <v>294</v>
      </c>
      <c r="E1072" s="575" t="s">
        <v>1851</v>
      </c>
      <c r="F1072" s="561" t="s">
        <v>109</v>
      </c>
      <c r="G1072" s="562" t="s">
        <v>962</v>
      </c>
      <c r="H1072" s="562" t="s">
        <v>958</v>
      </c>
      <c r="I1072" s="562" t="s">
        <v>919</v>
      </c>
      <c r="J1072" s="562" t="s">
        <v>757</v>
      </c>
      <c r="K1072" s="561">
        <v>100</v>
      </c>
      <c r="L1072" s="338"/>
      <c r="M1072" s="565">
        <v>24</v>
      </c>
      <c r="N1072" s="565">
        <v>24</v>
      </c>
      <c r="O1072" s="566">
        <f t="shared" si="49"/>
        <v>1</v>
      </c>
      <c r="P1072" s="567">
        <f t="shared" si="50"/>
        <v>1</v>
      </c>
      <c r="Q1072" s="568">
        <f t="shared" si="48"/>
        <v>1</v>
      </c>
      <c r="R1072" s="675"/>
    </row>
    <row r="1073" spans="1:18" x14ac:dyDescent="0.2">
      <c r="A1073" s="558" t="s">
        <v>277</v>
      </c>
      <c r="B1073" s="559" t="s">
        <v>914</v>
      </c>
      <c r="C1073" s="573" t="s">
        <v>305</v>
      </c>
      <c r="D1073" s="327" t="s">
        <v>285</v>
      </c>
      <c r="E1073" s="575" t="s">
        <v>1851</v>
      </c>
      <c r="F1073" s="561" t="s">
        <v>109</v>
      </c>
      <c r="G1073" s="562" t="s">
        <v>962</v>
      </c>
      <c r="H1073" s="562" t="s">
        <v>958</v>
      </c>
      <c r="I1073" s="562" t="s">
        <v>919</v>
      </c>
      <c r="J1073" s="562" t="s">
        <v>757</v>
      </c>
      <c r="K1073" s="561">
        <v>100</v>
      </c>
      <c r="L1073" s="338"/>
      <c r="M1073" s="565">
        <v>2</v>
      </c>
      <c r="N1073" s="565">
        <v>2</v>
      </c>
      <c r="O1073" s="566">
        <f t="shared" si="49"/>
        <v>1</v>
      </c>
      <c r="P1073" s="567">
        <f t="shared" si="50"/>
        <v>1</v>
      </c>
      <c r="Q1073" s="568">
        <f t="shared" si="48"/>
        <v>1</v>
      </c>
      <c r="R1073" s="675"/>
    </row>
    <row r="1074" spans="1:18" x14ac:dyDescent="0.2">
      <c r="A1074" s="558" t="s">
        <v>277</v>
      </c>
      <c r="B1074" s="559" t="s">
        <v>914</v>
      </c>
      <c r="C1074" s="573" t="s">
        <v>97</v>
      </c>
      <c r="D1074" s="327" t="s">
        <v>282</v>
      </c>
      <c r="E1074" s="575" t="s">
        <v>1843</v>
      </c>
      <c r="F1074" s="561" t="s">
        <v>109</v>
      </c>
      <c r="G1074" s="562" t="s">
        <v>963</v>
      </c>
      <c r="H1074" s="562" t="s">
        <v>918</v>
      </c>
      <c r="I1074" s="562" t="s">
        <v>919</v>
      </c>
      <c r="J1074" s="562" t="s">
        <v>757</v>
      </c>
      <c r="K1074" s="561">
        <v>100</v>
      </c>
      <c r="L1074" s="338"/>
      <c r="M1074" s="565">
        <v>6</v>
      </c>
      <c r="N1074" s="565">
        <v>6</v>
      </c>
      <c r="O1074" s="566">
        <f t="shared" si="49"/>
        <v>1</v>
      </c>
      <c r="P1074" s="567">
        <f t="shared" si="50"/>
        <v>1</v>
      </c>
      <c r="Q1074" s="568">
        <f t="shared" si="48"/>
        <v>1</v>
      </c>
      <c r="R1074" s="675"/>
    </row>
    <row r="1075" spans="1:18" x14ac:dyDescent="0.2">
      <c r="A1075" s="558" t="s">
        <v>277</v>
      </c>
      <c r="B1075" s="559" t="s">
        <v>914</v>
      </c>
      <c r="C1075" s="573" t="s">
        <v>97</v>
      </c>
      <c r="D1075" s="327" t="s">
        <v>285</v>
      </c>
      <c r="E1075" s="575" t="s">
        <v>1843</v>
      </c>
      <c r="F1075" s="561" t="s">
        <v>109</v>
      </c>
      <c r="G1075" s="562" t="s">
        <v>963</v>
      </c>
      <c r="H1075" s="562" t="s">
        <v>918</v>
      </c>
      <c r="I1075" s="562" t="s">
        <v>919</v>
      </c>
      <c r="J1075" s="562" t="s">
        <v>757</v>
      </c>
      <c r="K1075" s="561">
        <v>100</v>
      </c>
      <c r="L1075" s="338"/>
      <c r="M1075" s="565">
        <v>8</v>
      </c>
      <c r="N1075" s="565">
        <v>8</v>
      </c>
      <c r="O1075" s="566">
        <f t="shared" si="49"/>
        <v>1</v>
      </c>
      <c r="P1075" s="567">
        <f t="shared" si="50"/>
        <v>1</v>
      </c>
      <c r="Q1075" s="568">
        <f t="shared" si="48"/>
        <v>1</v>
      </c>
      <c r="R1075" s="675"/>
    </row>
    <row r="1076" spans="1:18" x14ac:dyDescent="0.2">
      <c r="A1076" s="558" t="s">
        <v>277</v>
      </c>
      <c r="B1076" s="559" t="s">
        <v>914</v>
      </c>
      <c r="C1076" s="573" t="s">
        <v>286</v>
      </c>
      <c r="D1076" s="327" t="s">
        <v>300</v>
      </c>
      <c r="E1076" s="575" t="s">
        <v>1715</v>
      </c>
      <c r="F1076" s="561" t="s">
        <v>109</v>
      </c>
      <c r="G1076" s="562" t="s">
        <v>963</v>
      </c>
      <c r="H1076" s="562" t="s">
        <v>920</v>
      </c>
      <c r="I1076" s="562" t="s">
        <v>919</v>
      </c>
      <c r="J1076" s="562" t="s">
        <v>757</v>
      </c>
      <c r="K1076" s="561">
        <v>100</v>
      </c>
      <c r="L1076" s="338"/>
      <c r="M1076" s="565">
        <v>39</v>
      </c>
      <c r="N1076" s="565">
        <v>39</v>
      </c>
      <c r="O1076" s="566">
        <f t="shared" si="49"/>
        <v>1</v>
      </c>
      <c r="P1076" s="567">
        <f t="shared" si="50"/>
        <v>1</v>
      </c>
      <c r="Q1076" s="568">
        <f t="shared" si="48"/>
        <v>1</v>
      </c>
      <c r="R1076" s="675"/>
    </row>
    <row r="1077" spans="1:18" x14ac:dyDescent="0.2">
      <c r="A1077" s="558" t="s">
        <v>277</v>
      </c>
      <c r="B1077" s="559" t="s">
        <v>914</v>
      </c>
      <c r="C1077" s="573" t="s">
        <v>286</v>
      </c>
      <c r="D1077" s="327" t="s">
        <v>292</v>
      </c>
      <c r="E1077" s="575" t="s">
        <v>1715</v>
      </c>
      <c r="F1077" s="561" t="s">
        <v>109</v>
      </c>
      <c r="G1077" s="562" t="s">
        <v>963</v>
      </c>
      <c r="H1077" s="562" t="s">
        <v>918</v>
      </c>
      <c r="I1077" s="562" t="s">
        <v>919</v>
      </c>
      <c r="J1077" s="562" t="s">
        <v>757</v>
      </c>
      <c r="K1077" s="561">
        <v>100</v>
      </c>
      <c r="L1077" s="338"/>
      <c r="M1077" s="565">
        <v>12</v>
      </c>
      <c r="N1077" s="565">
        <v>12</v>
      </c>
      <c r="O1077" s="566">
        <f t="shared" si="49"/>
        <v>1</v>
      </c>
      <c r="P1077" s="567">
        <f t="shared" si="50"/>
        <v>1</v>
      </c>
      <c r="Q1077" s="568">
        <f t="shared" si="48"/>
        <v>1</v>
      </c>
      <c r="R1077" s="675"/>
    </row>
    <row r="1078" spans="1:18" x14ac:dyDescent="0.2">
      <c r="A1078" s="558" t="s">
        <v>277</v>
      </c>
      <c r="B1078" s="559" t="s">
        <v>914</v>
      </c>
      <c r="C1078" s="573" t="s">
        <v>286</v>
      </c>
      <c r="D1078" s="327" t="s">
        <v>294</v>
      </c>
      <c r="E1078" s="575" t="s">
        <v>1715</v>
      </c>
      <c r="F1078" s="561" t="s">
        <v>109</v>
      </c>
      <c r="G1078" s="562" t="s">
        <v>963</v>
      </c>
      <c r="H1078" s="562" t="s">
        <v>918</v>
      </c>
      <c r="I1078" s="562" t="s">
        <v>919</v>
      </c>
      <c r="J1078" s="562" t="s">
        <v>757</v>
      </c>
      <c r="K1078" s="561">
        <v>100</v>
      </c>
      <c r="L1078" s="338"/>
      <c r="M1078" s="565">
        <v>40</v>
      </c>
      <c r="N1078" s="565">
        <v>40</v>
      </c>
      <c r="O1078" s="566">
        <f t="shared" si="49"/>
        <v>1</v>
      </c>
      <c r="P1078" s="567">
        <f t="shared" si="50"/>
        <v>1</v>
      </c>
      <c r="Q1078" s="568">
        <f t="shared" si="48"/>
        <v>1</v>
      </c>
      <c r="R1078" s="675"/>
    </row>
    <row r="1079" spans="1:18" x14ac:dyDescent="0.2">
      <c r="A1079" s="558" t="s">
        <v>277</v>
      </c>
      <c r="B1079" s="559" t="s">
        <v>914</v>
      </c>
      <c r="C1079" s="573" t="s">
        <v>286</v>
      </c>
      <c r="D1079" s="327" t="s">
        <v>282</v>
      </c>
      <c r="E1079" s="575" t="s">
        <v>1715</v>
      </c>
      <c r="F1079" s="561" t="s">
        <v>109</v>
      </c>
      <c r="G1079" s="562" t="s">
        <v>963</v>
      </c>
      <c r="H1079" s="562" t="s">
        <v>918</v>
      </c>
      <c r="I1079" s="562" t="s">
        <v>919</v>
      </c>
      <c r="J1079" s="562" t="s">
        <v>757</v>
      </c>
      <c r="K1079" s="561">
        <v>100</v>
      </c>
      <c r="L1079" s="338"/>
      <c r="M1079" s="565">
        <v>68</v>
      </c>
      <c r="N1079" s="565">
        <v>68</v>
      </c>
      <c r="O1079" s="566">
        <f t="shared" si="49"/>
        <v>1</v>
      </c>
      <c r="P1079" s="567">
        <f t="shared" si="50"/>
        <v>1</v>
      </c>
      <c r="Q1079" s="568">
        <f t="shared" si="48"/>
        <v>1</v>
      </c>
      <c r="R1079" s="675"/>
    </row>
    <row r="1080" spans="1:18" x14ac:dyDescent="0.2">
      <c r="A1080" s="558" t="s">
        <v>277</v>
      </c>
      <c r="B1080" s="559" t="s">
        <v>914</v>
      </c>
      <c r="C1080" s="573" t="s">
        <v>286</v>
      </c>
      <c r="D1080" s="327" t="s">
        <v>285</v>
      </c>
      <c r="E1080" s="575" t="s">
        <v>1715</v>
      </c>
      <c r="F1080" s="561" t="s">
        <v>109</v>
      </c>
      <c r="G1080" s="562" t="s">
        <v>963</v>
      </c>
      <c r="H1080" s="562" t="s">
        <v>918</v>
      </c>
      <c r="I1080" s="562" t="s">
        <v>919</v>
      </c>
      <c r="J1080" s="562" t="s">
        <v>757</v>
      </c>
      <c r="K1080" s="561">
        <v>100</v>
      </c>
      <c r="L1080" s="338"/>
      <c r="M1080" s="565">
        <v>47</v>
      </c>
      <c r="N1080" s="565">
        <v>47</v>
      </c>
      <c r="O1080" s="566">
        <f t="shared" si="49"/>
        <v>1</v>
      </c>
      <c r="P1080" s="567">
        <f t="shared" si="50"/>
        <v>1</v>
      </c>
      <c r="Q1080" s="568">
        <f t="shared" si="48"/>
        <v>1</v>
      </c>
      <c r="R1080" s="675"/>
    </row>
    <row r="1081" spans="1:18" x14ac:dyDescent="0.2">
      <c r="A1081" s="558" t="s">
        <v>277</v>
      </c>
      <c r="B1081" s="559" t="s">
        <v>914</v>
      </c>
      <c r="C1081" s="573" t="s">
        <v>303</v>
      </c>
      <c r="D1081" s="327" t="s">
        <v>300</v>
      </c>
      <c r="E1081" s="575" t="s">
        <v>1715</v>
      </c>
      <c r="F1081" s="561" t="s">
        <v>109</v>
      </c>
      <c r="G1081" s="562" t="s">
        <v>963</v>
      </c>
      <c r="H1081" s="562" t="s">
        <v>920</v>
      </c>
      <c r="I1081" s="562" t="s">
        <v>919</v>
      </c>
      <c r="J1081" s="562" t="s">
        <v>757</v>
      </c>
      <c r="K1081" s="561">
        <v>100</v>
      </c>
      <c r="L1081" s="338"/>
      <c r="M1081" s="565">
        <v>144</v>
      </c>
      <c r="N1081" s="565">
        <v>144</v>
      </c>
      <c r="O1081" s="566">
        <f t="shared" si="49"/>
        <v>1</v>
      </c>
      <c r="P1081" s="567">
        <f t="shared" si="50"/>
        <v>1</v>
      </c>
      <c r="Q1081" s="568">
        <f t="shared" si="48"/>
        <v>1</v>
      </c>
      <c r="R1081" s="675"/>
    </row>
    <row r="1082" spans="1:18" x14ac:dyDescent="0.2">
      <c r="A1082" s="558" t="s">
        <v>277</v>
      </c>
      <c r="B1082" s="559" t="s">
        <v>914</v>
      </c>
      <c r="C1082" s="573" t="s">
        <v>303</v>
      </c>
      <c r="D1082" s="327" t="s">
        <v>292</v>
      </c>
      <c r="E1082" s="575" t="s">
        <v>1844</v>
      </c>
      <c r="F1082" s="561" t="s">
        <v>109</v>
      </c>
      <c r="G1082" s="562" t="s">
        <v>963</v>
      </c>
      <c r="H1082" s="562" t="s">
        <v>918</v>
      </c>
      <c r="I1082" s="562" t="s">
        <v>919</v>
      </c>
      <c r="J1082" s="562" t="s">
        <v>757</v>
      </c>
      <c r="K1082" s="561">
        <v>100</v>
      </c>
      <c r="L1082" s="338"/>
      <c r="M1082" s="565">
        <v>42</v>
      </c>
      <c r="N1082" s="565">
        <v>42</v>
      </c>
      <c r="O1082" s="566">
        <f t="shared" si="49"/>
        <v>1</v>
      </c>
      <c r="P1082" s="567">
        <f t="shared" si="50"/>
        <v>1</v>
      </c>
      <c r="Q1082" s="568">
        <f t="shared" si="48"/>
        <v>1</v>
      </c>
      <c r="R1082" s="675"/>
    </row>
    <row r="1083" spans="1:18" x14ac:dyDescent="0.2">
      <c r="A1083" s="558" t="s">
        <v>277</v>
      </c>
      <c r="B1083" s="559" t="s">
        <v>914</v>
      </c>
      <c r="C1083" s="573" t="s">
        <v>303</v>
      </c>
      <c r="D1083" s="327" t="s">
        <v>294</v>
      </c>
      <c r="E1083" s="575" t="s">
        <v>1844</v>
      </c>
      <c r="F1083" s="561" t="s">
        <v>109</v>
      </c>
      <c r="G1083" s="562" t="s">
        <v>963</v>
      </c>
      <c r="H1083" s="562" t="s">
        <v>918</v>
      </c>
      <c r="I1083" s="562" t="s">
        <v>919</v>
      </c>
      <c r="J1083" s="562" t="s">
        <v>757</v>
      </c>
      <c r="K1083" s="561">
        <v>100</v>
      </c>
      <c r="L1083" s="338"/>
      <c r="M1083" s="565">
        <v>10</v>
      </c>
      <c r="N1083" s="565">
        <v>10</v>
      </c>
      <c r="O1083" s="566">
        <f t="shared" si="49"/>
        <v>1</v>
      </c>
      <c r="P1083" s="567">
        <f t="shared" si="50"/>
        <v>1</v>
      </c>
      <c r="Q1083" s="568">
        <f t="shared" si="48"/>
        <v>1</v>
      </c>
      <c r="R1083" s="675"/>
    </row>
    <row r="1084" spans="1:18" x14ac:dyDescent="0.2">
      <c r="A1084" s="558" t="s">
        <v>277</v>
      </c>
      <c r="B1084" s="559" t="s">
        <v>914</v>
      </c>
      <c r="C1084" s="573" t="s">
        <v>303</v>
      </c>
      <c r="D1084" s="327" t="s">
        <v>282</v>
      </c>
      <c r="E1084" s="575" t="s">
        <v>1845</v>
      </c>
      <c r="F1084" s="561" t="s">
        <v>109</v>
      </c>
      <c r="G1084" s="562" t="s">
        <v>963</v>
      </c>
      <c r="H1084" s="562" t="s">
        <v>918</v>
      </c>
      <c r="I1084" s="562" t="s">
        <v>919</v>
      </c>
      <c r="J1084" s="562" t="s">
        <v>757</v>
      </c>
      <c r="K1084" s="561">
        <v>100</v>
      </c>
      <c r="L1084" s="338"/>
      <c r="M1084" s="565">
        <v>2</v>
      </c>
      <c r="N1084" s="565">
        <v>2</v>
      </c>
      <c r="O1084" s="566">
        <f t="shared" si="49"/>
        <v>1</v>
      </c>
      <c r="P1084" s="567">
        <f t="shared" si="50"/>
        <v>1</v>
      </c>
      <c r="Q1084" s="568">
        <f t="shared" si="48"/>
        <v>1</v>
      </c>
      <c r="R1084" s="675"/>
    </row>
    <row r="1085" spans="1:18" x14ac:dyDescent="0.2">
      <c r="A1085" s="558" t="s">
        <v>277</v>
      </c>
      <c r="B1085" s="559" t="s">
        <v>914</v>
      </c>
      <c r="C1085" s="573" t="s">
        <v>303</v>
      </c>
      <c r="D1085" s="327" t="s">
        <v>285</v>
      </c>
      <c r="E1085" s="575" t="s">
        <v>1845</v>
      </c>
      <c r="F1085" s="561" t="s">
        <v>109</v>
      </c>
      <c r="G1085" s="562" t="s">
        <v>963</v>
      </c>
      <c r="H1085" s="562" t="s">
        <v>918</v>
      </c>
      <c r="I1085" s="562" t="s">
        <v>919</v>
      </c>
      <c r="J1085" s="562" t="s">
        <v>757</v>
      </c>
      <c r="K1085" s="561">
        <v>100</v>
      </c>
      <c r="L1085" s="338"/>
      <c r="M1085" s="565">
        <v>5</v>
      </c>
      <c r="N1085" s="565">
        <v>5</v>
      </c>
      <c r="O1085" s="566">
        <f t="shared" si="49"/>
        <v>1</v>
      </c>
      <c r="P1085" s="567">
        <f t="shared" si="50"/>
        <v>1</v>
      </c>
      <c r="Q1085" s="568">
        <f t="shared" si="48"/>
        <v>1</v>
      </c>
      <c r="R1085" s="675"/>
    </row>
    <row r="1086" spans="1:18" x14ac:dyDescent="0.2">
      <c r="A1086" s="558" t="s">
        <v>277</v>
      </c>
      <c r="B1086" s="559" t="s">
        <v>914</v>
      </c>
      <c r="C1086" s="573" t="s">
        <v>99</v>
      </c>
      <c r="D1086" s="327" t="s">
        <v>300</v>
      </c>
      <c r="E1086" s="575" t="s">
        <v>1715</v>
      </c>
      <c r="F1086" s="561" t="s">
        <v>109</v>
      </c>
      <c r="G1086" s="562" t="s">
        <v>963</v>
      </c>
      <c r="H1086" s="562" t="s">
        <v>920</v>
      </c>
      <c r="I1086" s="562" t="s">
        <v>919</v>
      </c>
      <c r="J1086" s="562" t="s">
        <v>757</v>
      </c>
      <c r="K1086" s="561">
        <v>100</v>
      </c>
      <c r="L1086" s="338"/>
      <c r="M1086" s="565">
        <v>158</v>
      </c>
      <c r="N1086" s="565">
        <v>158</v>
      </c>
      <c r="O1086" s="566">
        <f t="shared" si="49"/>
        <v>1</v>
      </c>
      <c r="P1086" s="567">
        <f t="shared" si="50"/>
        <v>1</v>
      </c>
      <c r="Q1086" s="568">
        <f t="shared" si="48"/>
        <v>1</v>
      </c>
      <c r="R1086" s="675"/>
    </row>
    <row r="1087" spans="1:18" x14ac:dyDescent="0.2">
      <c r="A1087" s="558" t="s">
        <v>277</v>
      </c>
      <c r="B1087" s="559" t="s">
        <v>914</v>
      </c>
      <c r="C1087" s="573" t="s">
        <v>99</v>
      </c>
      <c r="D1087" s="327" t="s">
        <v>292</v>
      </c>
      <c r="E1087" s="575" t="s">
        <v>1715</v>
      </c>
      <c r="F1087" s="561" t="s">
        <v>109</v>
      </c>
      <c r="G1087" s="562" t="s">
        <v>963</v>
      </c>
      <c r="H1087" s="562" t="s">
        <v>918</v>
      </c>
      <c r="I1087" s="562" t="s">
        <v>919</v>
      </c>
      <c r="J1087" s="562" t="s">
        <v>757</v>
      </c>
      <c r="K1087" s="561">
        <v>100</v>
      </c>
      <c r="L1087" s="338"/>
      <c r="M1087" s="565">
        <v>7</v>
      </c>
      <c r="N1087" s="565">
        <v>7</v>
      </c>
      <c r="O1087" s="566">
        <f t="shared" si="49"/>
        <v>1</v>
      </c>
      <c r="P1087" s="567">
        <f t="shared" si="50"/>
        <v>1</v>
      </c>
      <c r="Q1087" s="568">
        <f t="shared" si="48"/>
        <v>1</v>
      </c>
      <c r="R1087" s="675"/>
    </row>
    <row r="1088" spans="1:18" x14ac:dyDescent="0.2">
      <c r="A1088" s="558" t="s">
        <v>277</v>
      </c>
      <c r="B1088" s="559" t="s">
        <v>914</v>
      </c>
      <c r="C1088" s="573" t="s">
        <v>99</v>
      </c>
      <c r="D1088" s="327" t="s">
        <v>294</v>
      </c>
      <c r="E1088" s="575" t="s">
        <v>1846</v>
      </c>
      <c r="F1088" s="561" t="s">
        <v>109</v>
      </c>
      <c r="G1088" s="562" t="s">
        <v>963</v>
      </c>
      <c r="H1088" s="562" t="s">
        <v>918</v>
      </c>
      <c r="I1088" s="562" t="s">
        <v>919</v>
      </c>
      <c r="J1088" s="562" t="s">
        <v>757</v>
      </c>
      <c r="K1088" s="561">
        <v>100</v>
      </c>
      <c r="L1088" s="338"/>
      <c r="M1088" s="565">
        <v>8</v>
      </c>
      <c r="N1088" s="565">
        <v>8</v>
      </c>
      <c r="O1088" s="566">
        <f t="shared" si="49"/>
        <v>1</v>
      </c>
      <c r="P1088" s="567">
        <f t="shared" si="50"/>
        <v>1</v>
      </c>
      <c r="Q1088" s="568">
        <f t="shared" si="48"/>
        <v>1</v>
      </c>
      <c r="R1088" s="675"/>
    </row>
    <row r="1089" spans="1:18" x14ac:dyDescent="0.2">
      <c r="A1089" s="558" t="s">
        <v>277</v>
      </c>
      <c r="B1089" s="559" t="s">
        <v>914</v>
      </c>
      <c r="C1089" s="573" t="s">
        <v>99</v>
      </c>
      <c r="D1089" s="327" t="s">
        <v>282</v>
      </c>
      <c r="E1089" s="575" t="s">
        <v>1846</v>
      </c>
      <c r="F1089" s="561" t="s">
        <v>109</v>
      </c>
      <c r="G1089" s="562" t="s">
        <v>963</v>
      </c>
      <c r="H1089" s="562" t="s">
        <v>918</v>
      </c>
      <c r="I1089" s="562" t="s">
        <v>919</v>
      </c>
      <c r="J1089" s="562" t="s">
        <v>757</v>
      </c>
      <c r="K1089" s="561">
        <v>100</v>
      </c>
      <c r="L1089" s="338"/>
      <c r="M1089" s="565">
        <v>4</v>
      </c>
      <c r="N1089" s="565">
        <v>4</v>
      </c>
      <c r="O1089" s="566">
        <f t="shared" si="49"/>
        <v>1</v>
      </c>
      <c r="P1089" s="567">
        <f t="shared" si="50"/>
        <v>1</v>
      </c>
      <c r="Q1089" s="568">
        <f t="shared" si="48"/>
        <v>1</v>
      </c>
      <c r="R1089" s="675"/>
    </row>
    <row r="1090" spans="1:18" x14ac:dyDescent="0.2">
      <c r="A1090" s="558" t="s">
        <v>277</v>
      </c>
      <c r="B1090" s="559" t="s">
        <v>914</v>
      </c>
      <c r="C1090" s="573" t="s">
        <v>99</v>
      </c>
      <c r="D1090" s="327" t="s">
        <v>285</v>
      </c>
      <c r="E1090" s="575" t="s">
        <v>1846</v>
      </c>
      <c r="F1090" s="561" t="s">
        <v>109</v>
      </c>
      <c r="G1090" s="562" t="s">
        <v>963</v>
      </c>
      <c r="H1090" s="562" t="s">
        <v>918</v>
      </c>
      <c r="I1090" s="562" t="s">
        <v>919</v>
      </c>
      <c r="J1090" s="562" t="s">
        <v>757</v>
      </c>
      <c r="K1090" s="561">
        <v>100</v>
      </c>
      <c r="L1090" s="338"/>
      <c r="M1090" s="565">
        <v>1</v>
      </c>
      <c r="N1090" s="565">
        <v>1</v>
      </c>
      <c r="O1090" s="566">
        <f t="shared" si="49"/>
        <v>1</v>
      </c>
      <c r="P1090" s="567">
        <f t="shared" si="50"/>
        <v>1</v>
      </c>
      <c r="Q1090" s="568">
        <f t="shared" si="48"/>
        <v>1</v>
      </c>
      <c r="R1090" s="675"/>
    </row>
    <row r="1091" spans="1:18" x14ac:dyDescent="0.2">
      <c r="A1091" s="558" t="s">
        <v>277</v>
      </c>
      <c r="B1091" s="559" t="s">
        <v>914</v>
      </c>
      <c r="C1091" s="573" t="s">
        <v>296</v>
      </c>
      <c r="D1091" s="327" t="s">
        <v>300</v>
      </c>
      <c r="E1091" s="575" t="s">
        <v>1847</v>
      </c>
      <c r="F1091" s="561" t="s">
        <v>109</v>
      </c>
      <c r="G1091" s="562" t="s">
        <v>963</v>
      </c>
      <c r="H1091" s="562" t="s">
        <v>920</v>
      </c>
      <c r="I1091" s="562" t="s">
        <v>919</v>
      </c>
      <c r="J1091" s="562" t="s">
        <v>757</v>
      </c>
      <c r="K1091" s="561">
        <v>100</v>
      </c>
      <c r="L1091" s="338"/>
      <c r="M1091" s="565">
        <v>0</v>
      </c>
      <c r="N1091" s="565">
        <v>0</v>
      </c>
      <c r="O1091" s="566">
        <f t="shared" si="49"/>
        <v>0</v>
      </c>
      <c r="P1091" s="567">
        <f t="shared" si="50"/>
        <v>0</v>
      </c>
      <c r="Q1091" s="568" t="e">
        <f t="shared" si="48"/>
        <v>#DIV/0!</v>
      </c>
      <c r="R1091" s="676" t="s">
        <v>1919</v>
      </c>
    </row>
    <row r="1092" spans="1:18" x14ac:dyDescent="0.2">
      <c r="A1092" s="558" t="s">
        <v>277</v>
      </c>
      <c r="B1092" s="559" t="s">
        <v>914</v>
      </c>
      <c r="C1092" s="573" t="s">
        <v>296</v>
      </c>
      <c r="D1092" s="327" t="s">
        <v>292</v>
      </c>
      <c r="E1092" s="575" t="s">
        <v>1847</v>
      </c>
      <c r="F1092" s="561" t="s">
        <v>109</v>
      </c>
      <c r="G1092" s="562" t="s">
        <v>963</v>
      </c>
      <c r="H1092" s="562" t="s">
        <v>918</v>
      </c>
      <c r="I1092" s="562" t="s">
        <v>919</v>
      </c>
      <c r="J1092" s="562" t="s">
        <v>757</v>
      </c>
      <c r="K1092" s="561">
        <v>100</v>
      </c>
      <c r="L1092" s="338"/>
      <c r="M1092" s="565">
        <v>3</v>
      </c>
      <c r="N1092" s="565">
        <v>3</v>
      </c>
      <c r="O1092" s="566">
        <f t="shared" si="49"/>
        <v>1</v>
      </c>
      <c r="P1092" s="567">
        <f t="shared" si="50"/>
        <v>1</v>
      </c>
      <c r="Q1092" s="568">
        <f t="shared" si="48"/>
        <v>1</v>
      </c>
      <c r="R1092" s="675"/>
    </row>
    <row r="1093" spans="1:18" x14ac:dyDescent="0.2">
      <c r="A1093" s="558" t="s">
        <v>277</v>
      </c>
      <c r="B1093" s="559" t="s">
        <v>914</v>
      </c>
      <c r="C1093" s="573" t="s">
        <v>296</v>
      </c>
      <c r="D1093" s="327" t="s">
        <v>294</v>
      </c>
      <c r="E1093" s="575" t="s">
        <v>1848</v>
      </c>
      <c r="F1093" s="561" t="s">
        <v>109</v>
      </c>
      <c r="G1093" s="562" t="s">
        <v>963</v>
      </c>
      <c r="H1093" s="562" t="s">
        <v>918</v>
      </c>
      <c r="I1093" s="562" t="s">
        <v>919</v>
      </c>
      <c r="J1093" s="562" t="s">
        <v>757</v>
      </c>
      <c r="K1093" s="561">
        <v>100</v>
      </c>
      <c r="L1093" s="338"/>
      <c r="M1093" s="565">
        <v>1</v>
      </c>
      <c r="N1093" s="565">
        <v>1</v>
      </c>
      <c r="O1093" s="566">
        <f t="shared" si="49"/>
        <v>1</v>
      </c>
      <c r="P1093" s="567">
        <f t="shared" si="50"/>
        <v>1</v>
      </c>
      <c r="Q1093" s="568">
        <f t="shared" ref="Q1093:Q1156" si="51">N1093/(M1093*K1093/100)</f>
        <v>1</v>
      </c>
      <c r="R1093" s="675"/>
    </row>
    <row r="1094" spans="1:18" x14ac:dyDescent="0.2">
      <c r="A1094" s="558" t="s">
        <v>277</v>
      </c>
      <c r="B1094" s="559" t="s">
        <v>914</v>
      </c>
      <c r="C1094" s="573" t="s">
        <v>296</v>
      </c>
      <c r="D1094" s="327" t="s">
        <v>282</v>
      </c>
      <c r="E1094" s="575" t="s">
        <v>1848</v>
      </c>
      <c r="F1094" s="561" t="s">
        <v>109</v>
      </c>
      <c r="G1094" s="562" t="s">
        <v>963</v>
      </c>
      <c r="H1094" s="562" t="s">
        <v>918</v>
      </c>
      <c r="I1094" s="562" t="s">
        <v>919</v>
      </c>
      <c r="J1094" s="562" t="s">
        <v>757</v>
      </c>
      <c r="K1094" s="561">
        <v>100</v>
      </c>
      <c r="L1094" s="338"/>
      <c r="M1094" s="565">
        <v>2</v>
      </c>
      <c r="N1094" s="565">
        <v>2</v>
      </c>
      <c r="O1094" s="566">
        <f t="shared" ref="O1094:O1157" si="52">IFERROR(N1094/M1094,0)</f>
        <v>1</v>
      </c>
      <c r="P1094" s="567">
        <f t="shared" ref="P1094:P1157" si="53">IFERROR(N1094/(M1094*(K1094/100)),0)</f>
        <v>1</v>
      </c>
      <c r="Q1094" s="568">
        <f t="shared" si="51"/>
        <v>1</v>
      </c>
      <c r="R1094" s="675"/>
    </row>
    <row r="1095" spans="1:18" x14ac:dyDescent="0.2">
      <c r="A1095" s="558" t="s">
        <v>277</v>
      </c>
      <c r="B1095" s="559" t="s">
        <v>914</v>
      </c>
      <c r="C1095" s="573" t="s">
        <v>296</v>
      </c>
      <c r="D1095" s="327" t="s">
        <v>285</v>
      </c>
      <c r="E1095" s="575" t="s">
        <v>1715</v>
      </c>
      <c r="F1095" s="561" t="s">
        <v>109</v>
      </c>
      <c r="G1095" s="562" t="s">
        <v>963</v>
      </c>
      <c r="H1095" s="562" t="s">
        <v>918</v>
      </c>
      <c r="I1095" s="562" t="s">
        <v>919</v>
      </c>
      <c r="J1095" s="562" t="s">
        <v>757</v>
      </c>
      <c r="K1095" s="561">
        <v>100</v>
      </c>
      <c r="L1095" s="338"/>
      <c r="M1095" s="565">
        <v>11</v>
      </c>
      <c r="N1095" s="565">
        <v>11</v>
      </c>
      <c r="O1095" s="566">
        <f t="shared" si="52"/>
        <v>1</v>
      </c>
      <c r="P1095" s="567">
        <f t="shared" si="53"/>
        <v>1</v>
      </c>
      <c r="Q1095" s="568">
        <f t="shared" si="51"/>
        <v>1</v>
      </c>
      <c r="R1095" s="675"/>
    </row>
    <row r="1096" spans="1:18" x14ac:dyDescent="0.2">
      <c r="A1096" s="558" t="s">
        <v>277</v>
      </c>
      <c r="B1096" s="559" t="s">
        <v>914</v>
      </c>
      <c r="C1096" s="573" t="s">
        <v>296</v>
      </c>
      <c r="D1096" s="327" t="s">
        <v>298</v>
      </c>
      <c r="E1096" s="575" t="s">
        <v>1715</v>
      </c>
      <c r="F1096" s="561" t="s">
        <v>109</v>
      </c>
      <c r="G1096" s="562" t="s">
        <v>963</v>
      </c>
      <c r="H1096" s="562" t="s">
        <v>918</v>
      </c>
      <c r="I1096" s="562" t="s">
        <v>919</v>
      </c>
      <c r="J1096" s="562" t="s">
        <v>757</v>
      </c>
      <c r="K1096" s="561">
        <v>100</v>
      </c>
      <c r="L1096" s="338"/>
      <c r="M1096" s="565">
        <v>20</v>
      </c>
      <c r="N1096" s="565">
        <v>20</v>
      </c>
      <c r="O1096" s="566">
        <f t="shared" si="52"/>
        <v>1</v>
      </c>
      <c r="P1096" s="567">
        <f t="shared" si="53"/>
        <v>1</v>
      </c>
      <c r="Q1096" s="568">
        <f t="shared" si="51"/>
        <v>1</v>
      </c>
      <c r="R1096" s="675"/>
    </row>
    <row r="1097" spans="1:18" x14ac:dyDescent="0.2">
      <c r="A1097" s="558" t="s">
        <v>277</v>
      </c>
      <c r="B1097" s="559" t="s">
        <v>914</v>
      </c>
      <c r="C1097" s="573" t="s">
        <v>316</v>
      </c>
      <c r="D1097" s="327" t="s">
        <v>292</v>
      </c>
      <c r="E1097" s="575" t="s">
        <v>1849</v>
      </c>
      <c r="F1097" s="561" t="s">
        <v>109</v>
      </c>
      <c r="G1097" s="562" t="s">
        <v>963</v>
      </c>
      <c r="H1097" s="562" t="s">
        <v>918</v>
      </c>
      <c r="I1097" s="562" t="s">
        <v>919</v>
      </c>
      <c r="J1097" s="562" t="s">
        <v>757</v>
      </c>
      <c r="K1097" s="561">
        <v>100</v>
      </c>
      <c r="L1097" s="338"/>
      <c r="M1097" s="565">
        <v>0</v>
      </c>
      <c r="N1097" s="565">
        <v>0</v>
      </c>
      <c r="O1097" s="566">
        <f t="shared" si="52"/>
        <v>0</v>
      </c>
      <c r="P1097" s="567">
        <f t="shared" si="53"/>
        <v>0</v>
      </c>
      <c r="Q1097" s="568" t="e">
        <f t="shared" si="51"/>
        <v>#DIV/0!</v>
      </c>
      <c r="R1097" s="676" t="s">
        <v>1919</v>
      </c>
    </row>
    <row r="1098" spans="1:18" x14ac:dyDescent="0.2">
      <c r="A1098" s="558" t="s">
        <v>277</v>
      </c>
      <c r="B1098" s="559" t="s">
        <v>914</v>
      </c>
      <c r="C1098" s="573" t="s">
        <v>316</v>
      </c>
      <c r="D1098" s="327" t="s">
        <v>294</v>
      </c>
      <c r="E1098" s="575" t="s">
        <v>1849</v>
      </c>
      <c r="F1098" s="561" t="s">
        <v>109</v>
      </c>
      <c r="G1098" s="562" t="s">
        <v>963</v>
      </c>
      <c r="H1098" s="562" t="s">
        <v>918</v>
      </c>
      <c r="I1098" s="562" t="s">
        <v>919</v>
      </c>
      <c r="J1098" s="562" t="s">
        <v>757</v>
      </c>
      <c r="K1098" s="561">
        <v>100</v>
      </c>
      <c r="L1098" s="338"/>
      <c r="M1098" s="565">
        <v>0</v>
      </c>
      <c r="N1098" s="565">
        <v>0</v>
      </c>
      <c r="O1098" s="566">
        <f t="shared" si="52"/>
        <v>0</v>
      </c>
      <c r="P1098" s="567">
        <f t="shared" si="53"/>
        <v>0</v>
      </c>
      <c r="Q1098" s="568" t="e">
        <f t="shared" si="51"/>
        <v>#DIV/0!</v>
      </c>
      <c r="R1098" s="676" t="s">
        <v>1919</v>
      </c>
    </row>
    <row r="1099" spans="1:18" x14ac:dyDescent="0.2">
      <c r="A1099" s="558" t="s">
        <v>277</v>
      </c>
      <c r="B1099" s="559" t="s">
        <v>914</v>
      </c>
      <c r="C1099" s="573" t="s">
        <v>308</v>
      </c>
      <c r="D1099" s="327" t="s">
        <v>300</v>
      </c>
      <c r="E1099" s="575" t="s">
        <v>1715</v>
      </c>
      <c r="F1099" s="561" t="s">
        <v>109</v>
      </c>
      <c r="G1099" s="562" t="s">
        <v>963</v>
      </c>
      <c r="H1099" s="562" t="s">
        <v>920</v>
      </c>
      <c r="I1099" s="562" t="s">
        <v>919</v>
      </c>
      <c r="J1099" s="562" t="s">
        <v>757</v>
      </c>
      <c r="K1099" s="561">
        <v>100</v>
      </c>
      <c r="L1099" s="338"/>
      <c r="M1099" s="565">
        <v>51</v>
      </c>
      <c r="N1099" s="565">
        <v>51</v>
      </c>
      <c r="O1099" s="566">
        <f t="shared" si="52"/>
        <v>1</v>
      </c>
      <c r="P1099" s="567">
        <f t="shared" si="53"/>
        <v>1</v>
      </c>
      <c r="Q1099" s="568">
        <f t="shared" si="51"/>
        <v>1</v>
      </c>
      <c r="R1099" s="675"/>
    </row>
    <row r="1100" spans="1:18" x14ac:dyDescent="0.2">
      <c r="A1100" s="558" t="s">
        <v>277</v>
      </c>
      <c r="B1100" s="559" t="s">
        <v>914</v>
      </c>
      <c r="C1100" s="573" t="s">
        <v>308</v>
      </c>
      <c r="D1100" s="327" t="s">
        <v>292</v>
      </c>
      <c r="E1100" s="575" t="s">
        <v>1850</v>
      </c>
      <c r="F1100" s="561" t="s">
        <v>109</v>
      </c>
      <c r="G1100" s="562" t="s">
        <v>963</v>
      </c>
      <c r="H1100" s="562" t="s">
        <v>918</v>
      </c>
      <c r="I1100" s="562" t="s">
        <v>919</v>
      </c>
      <c r="J1100" s="562" t="s">
        <v>757</v>
      </c>
      <c r="K1100" s="561">
        <v>100</v>
      </c>
      <c r="L1100" s="338"/>
      <c r="M1100" s="565">
        <v>7</v>
      </c>
      <c r="N1100" s="565">
        <v>7</v>
      </c>
      <c r="O1100" s="566">
        <f t="shared" si="52"/>
        <v>1</v>
      </c>
      <c r="P1100" s="567">
        <f t="shared" si="53"/>
        <v>1</v>
      </c>
      <c r="Q1100" s="568">
        <f t="shared" si="51"/>
        <v>1</v>
      </c>
      <c r="R1100" s="675"/>
    </row>
    <row r="1101" spans="1:18" x14ac:dyDescent="0.2">
      <c r="A1101" s="558" t="s">
        <v>277</v>
      </c>
      <c r="B1101" s="559" t="s">
        <v>914</v>
      </c>
      <c r="C1101" s="573" t="s">
        <v>308</v>
      </c>
      <c r="D1101" s="327" t="s">
        <v>294</v>
      </c>
      <c r="E1101" s="575" t="s">
        <v>1850</v>
      </c>
      <c r="F1101" s="561" t="s">
        <v>109</v>
      </c>
      <c r="G1101" s="562" t="s">
        <v>963</v>
      </c>
      <c r="H1101" s="562" t="s">
        <v>918</v>
      </c>
      <c r="I1101" s="562" t="s">
        <v>919</v>
      </c>
      <c r="J1101" s="562" t="s">
        <v>757</v>
      </c>
      <c r="K1101" s="561">
        <v>100</v>
      </c>
      <c r="L1101" s="338"/>
      <c r="M1101" s="565">
        <v>1</v>
      </c>
      <c r="N1101" s="565">
        <v>1</v>
      </c>
      <c r="O1101" s="566">
        <f t="shared" si="52"/>
        <v>1</v>
      </c>
      <c r="P1101" s="567">
        <f t="shared" si="53"/>
        <v>1</v>
      </c>
      <c r="Q1101" s="568">
        <f t="shared" si="51"/>
        <v>1</v>
      </c>
      <c r="R1101" s="675"/>
    </row>
    <row r="1102" spans="1:18" x14ac:dyDescent="0.2">
      <c r="A1102" s="558" t="s">
        <v>277</v>
      </c>
      <c r="B1102" s="559" t="s">
        <v>914</v>
      </c>
      <c r="C1102" s="573" t="s">
        <v>305</v>
      </c>
      <c r="D1102" s="327" t="s">
        <v>300</v>
      </c>
      <c r="E1102" s="575" t="s">
        <v>1715</v>
      </c>
      <c r="F1102" s="561" t="s">
        <v>109</v>
      </c>
      <c r="G1102" s="562" t="s">
        <v>963</v>
      </c>
      <c r="H1102" s="562" t="s">
        <v>920</v>
      </c>
      <c r="I1102" s="562" t="s">
        <v>919</v>
      </c>
      <c r="J1102" s="562" t="s">
        <v>757</v>
      </c>
      <c r="K1102" s="561">
        <v>100</v>
      </c>
      <c r="L1102" s="338"/>
      <c r="M1102" s="565">
        <v>568</v>
      </c>
      <c r="N1102" s="565">
        <v>568</v>
      </c>
      <c r="O1102" s="566">
        <f t="shared" si="52"/>
        <v>1</v>
      </c>
      <c r="P1102" s="567">
        <f t="shared" si="53"/>
        <v>1</v>
      </c>
      <c r="Q1102" s="568">
        <f t="shared" si="51"/>
        <v>1</v>
      </c>
      <c r="R1102" s="675"/>
    </row>
    <row r="1103" spans="1:18" x14ac:dyDescent="0.2">
      <c r="A1103" s="558" t="s">
        <v>277</v>
      </c>
      <c r="B1103" s="559" t="s">
        <v>914</v>
      </c>
      <c r="C1103" s="573" t="s">
        <v>305</v>
      </c>
      <c r="D1103" s="327" t="s">
        <v>292</v>
      </c>
      <c r="E1103" s="575" t="s">
        <v>1715</v>
      </c>
      <c r="F1103" s="561" t="s">
        <v>109</v>
      </c>
      <c r="G1103" s="562" t="s">
        <v>963</v>
      </c>
      <c r="H1103" s="562" t="s">
        <v>918</v>
      </c>
      <c r="I1103" s="562" t="s">
        <v>919</v>
      </c>
      <c r="J1103" s="562" t="s">
        <v>757</v>
      </c>
      <c r="K1103" s="561">
        <v>100</v>
      </c>
      <c r="L1103" s="338"/>
      <c r="M1103" s="565">
        <v>85</v>
      </c>
      <c r="N1103" s="565">
        <v>85</v>
      </c>
      <c r="O1103" s="566">
        <f t="shared" si="52"/>
        <v>1</v>
      </c>
      <c r="P1103" s="567">
        <f t="shared" si="53"/>
        <v>1</v>
      </c>
      <c r="Q1103" s="568">
        <f t="shared" si="51"/>
        <v>1</v>
      </c>
      <c r="R1103" s="675"/>
    </row>
    <row r="1104" spans="1:18" x14ac:dyDescent="0.2">
      <c r="A1104" s="558" t="s">
        <v>277</v>
      </c>
      <c r="B1104" s="559" t="s">
        <v>914</v>
      </c>
      <c r="C1104" s="573" t="s">
        <v>305</v>
      </c>
      <c r="D1104" s="327" t="s">
        <v>294</v>
      </c>
      <c r="E1104" s="575" t="s">
        <v>1851</v>
      </c>
      <c r="F1104" s="561" t="s">
        <v>109</v>
      </c>
      <c r="G1104" s="562" t="s">
        <v>963</v>
      </c>
      <c r="H1104" s="562" t="s">
        <v>918</v>
      </c>
      <c r="I1104" s="562" t="s">
        <v>919</v>
      </c>
      <c r="J1104" s="562" t="s">
        <v>757</v>
      </c>
      <c r="K1104" s="561">
        <v>100</v>
      </c>
      <c r="L1104" s="338"/>
      <c r="M1104" s="565">
        <v>24</v>
      </c>
      <c r="N1104" s="565">
        <v>24</v>
      </c>
      <c r="O1104" s="566">
        <f t="shared" si="52"/>
        <v>1</v>
      </c>
      <c r="P1104" s="567">
        <f t="shared" si="53"/>
        <v>1</v>
      </c>
      <c r="Q1104" s="568">
        <f t="shared" si="51"/>
        <v>1</v>
      </c>
      <c r="R1104" s="675"/>
    </row>
    <row r="1105" spans="1:18" x14ac:dyDescent="0.2">
      <c r="A1105" s="558" t="s">
        <v>277</v>
      </c>
      <c r="B1105" s="559" t="s">
        <v>914</v>
      </c>
      <c r="C1105" s="573" t="s">
        <v>305</v>
      </c>
      <c r="D1105" s="327" t="s">
        <v>285</v>
      </c>
      <c r="E1105" s="575" t="s">
        <v>1851</v>
      </c>
      <c r="F1105" s="561" t="s">
        <v>109</v>
      </c>
      <c r="G1105" s="562" t="s">
        <v>963</v>
      </c>
      <c r="H1105" s="562" t="s">
        <v>918</v>
      </c>
      <c r="I1105" s="562" t="s">
        <v>919</v>
      </c>
      <c r="J1105" s="562" t="s">
        <v>757</v>
      </c>
      <c r="K1105" s="561">
        <v>100</v>
      </c>
      <c r="L1105" s="338"/>
      <c r="M1105" s="565">
        <v>2</v>
      </c>
      <c r="N1105" s="565">
        <v>2</v>
      </c>
      <c r="O1105" s="566">
        <f t="shared" si="52"/>
        <v>1</v>
      </c>
      <c r="P1105" s="567">
        <f t="shared" si="53"/>
        <v>1</v>
      </c>
      <c r="Q1105" s="568">
        <f t="shared" si="51"/>
        <v>1</v>
      </c>
      <c r="R1105" s="675"/>
    </row>
    <row r="1106" spans="1:18" x14ac:dyDescent="0.2">
      <c r="A1106" s="558" t="s">
        <v>277</v>
      </c>
      <c r="B1106" s="559" t="s">
        <v>914</v>
      </c>
      <c r="C1106" s="573" t="s">
        <v>97</v>
      </c>
      <c r="D1106" s="327" t="s">
        <v>282</v>
      </c>
      <c r="E1106" s="575" t="s">
        <v>1843</v>
      </c>
      <c r="F1106" s="561" t="s">
        <v>109</v>
      </c>
      <c r="G1106" s="562" t="s">
        <v>964</v>
      </c>
      <c r="H1106" s="562" t="s">
        <v>918</v>
      </c>
      <c r="I1106" s="562" t="s">
        <v>919</v>
      </c>
      <c r="J1106" s="562" t="s">
        <v>757</v>
      </c>
      <c r="K1106" s="561">
        <v>100</v>
      </c>
      <c r="L1106" s="338"/>
      <c r="M1106" s="565">
        <v>6</v>
      </c>
      <c r="N1106" s="565">
        <v>6</v>
      </c>
      <c r="O1106" s="566">
        <f t="shared" si="52"/>
        <v>1</v>
      </c>
      <c r="P1106" s="567">
        <f t="shared" si="53"/>
        <v>1</v>
      </c>
      <c r="Q1106" s="568">
        <f t="shared" si="51"/>
        <v>1</v>
      </c>
      <c r="R1106" s="675"/>
    </row>
    <row r="1107" spans="1:18" x14ac:dyDescent="0.2">
      <c r="A1107" s="558" t="s">
        <v>277</v>
      </c>
      <c r="B1107" s="559" t="s">
        <v>914</v>
      </c>
      <c r="C1107" s="573" t="s">
        <v>97</v>
      </c>
      <c r="D1107" s="327" t="s">
        <v>285</v>
      </c>
      <c r="E1107" s="575" t="s">
        <v>1843</v>
      </c>
      <c r="F1107" s="561" t="s">
        <v>109</v>
      </c>
      <c r="G1107" s="562" t="s">
        <v>964</v>
      </c>
      <c r="H1107" s="562" t="s">
        <v>918</v>
      </c>
      <c r="I1107" s="562" t="s">
        <v>919</v>
      </c>
      <c r="J1107" s="562" t="s">
        <v>757</v>
      </c>
      <c r="K1107" s="561">
        <v>100</v>
      </c>
      <c r="L1107" s="338"/>
      <c r="M1107" s="565">
        <v>8</v>
      </c>
      <c r="N1107" s="565">
        <v>8</v>
      </c>
      <c r="O1107" s="566">
        <f t="shared" si="52"/>
        <v>1</v>
      </c>
      <c r="P1107" s="567">
        <f t="shared" si="53"/>
        <v>1</v>
      </c>
      <c r="Q1107" s="568">
        <f t="shared" si="51"/>
        <v>1</v>
      </c>
      <c r="R1107" s="675"/>
    </row>
    <row r="1108" spans="1:18" x14ac:dyDescent="0.2">
      <c r="A1108" s="558" t="s">
        <v>277</v>
      </c>
      <c r="B1108" s="559" t="s">
        <v>914</v>
      </c>
      <c r="C1108" s="573" t="s">
        <v>286</v>
      </c>
      <c r="D1108" s="327" t="s">
        <v>300</v>
      </c>
      <c r="E1108" s="575" t="s">
        <v>1715</v>
      </c>
      <c r="F1108" s="561" t="s">
        <v>109</v>
      </c>
      <c r="G1108" s="562" t="s">
        <v>964</v>
      </c>
      <c r="H1108" s="562" t="s">
        <v>920</v>
      </c>
      <c r="I1108" s="562" t="s">
        <v>919</v>
      </c>
      <c r="J1108" s="562" t="s">
        <v>757</v>
      </c>
      <c r="K1108" s="561">
        <v>100</v>
      </c>
      <c r="L1108" s="338"/>
      <c r="M1108" s="565">
        <v>39</v>
      </c>
      <c r="N1108" s="565">
        <v>39</v>
      </c>
      <c r="O1108" s="566">
        <f t="shared" si="52"/>
        <v>1</v>
      </c>
      <c r="P1108" s="567">
        <f t="shared" si="53"/>
        <v>1</v>
      </c>
      <c r="Q1108" s="568">
        <f t="shared" si="51"/>
        <v>1</v>
      </c>
      <c r="R1108" s="675"/>
    </row>
    <row r="1109" spans="1:18" x14ac:dyDescent="0.2">
      <c r="A1109" s="558" t="s">
        <v>277</v>
      </c>
      <c r="B1109" s="559" t="s">
        <v>914</v>
      </c>
      <c r="C1109" s="573" t="s">
        <v>286</v>
      </c>
      <c r="D1109" s="327" t="s">
        <v>292</v>
      </c>
      <c r="E1109" s="575" t="s">
        <v>1715</v>
      </c>
      <c r="F1109" s="561" t="s">
        <v>109</v>
      </c>
      <c r="G1109" s="562" t="s">
        <v>964</v>
      </c>
      <c r="H1109" s="562" t="s">
        <v>918</v>
      </c>
      <c r="I1109" s="562" t="s">
        <v>919</v>
      </c>
      <c r="J1109" s="562" t="s">
        <v>757</v>
      </c>
      <c r="K1109" s="561">
        <v>100</v>
      </c>
      <c r="L1109" s="338"/>
      <c r="M1109" s="565">
        <v>12</v>
      </c>
      <c r="N1109" s="565">
        <v>12</v>
      </c>
      <c r="O1109" s="566">
        <f t="shared" si="52"/>
        <v>1</v>
      </c>
      <c r="P1109" s="567">
        <f t="shared" si="53"/>
        <v>1</v>
      </c>
      <c r="Q1109" s="568">
        <f t="shared" si="51"/>
        <v>1</v>
      </c>
      <c r="R1109" s="675"/>
    </row>
    <row r="1110" spans="1:18" x14ac:dyDescent="0.2">
      <c r="A1110" s="558" t="s">
        <v>277</v>
      </c>
      <c r="B1110" s="559" t="s">
        <v>914</v>
      </c>
      <c r="C1110" s="573" t="s">
        <v>286</v>
      </c>
      <c r="D1110" s="327" t="s">
        <v>294</v>
      </c>
      <c r="E1110" s="575" t="s">
        <v>1715</v>
      </c>
      <c r="F1110" s="561" t="s">
        <v>109</v>
      </c>
      <c r="G1110" s="562" t="s">
        <v>964</v>
      </c>
      <c r="H1110" s="562" t="s">
        <v>918</v>
      </c>
      <c r="I1110" s="562" t="s">
        <v>919</v>
      </c>
      <c r="J1110" s="562" t="s">
        <v>757</v>
      </c>
      <c r="K1110" s="561">
        <v>100</v>
      </c>
      <c r="L1110" s="338"/>
      <c r="M1110" s="565">
        <v>40</v>
      </c>
      <c r="N1110" s="565">
        <v>40</v>
      </c>
      <c r="O1110" s="566">
        <f t="shared" si="52"/>
        <v>1</v>
      </c>
      <c r="P1110" s="567">
        <f t="shared" si="53"/>
        <v>1</v>
      </c>
      <c r="Q1110" s="568">
        <f t="shared" si="51"/>
        <v>1</v>
      </c>
      <c r="R1110" s="675"/>
    </row>
    <row r="1111" spans="1:18" x14ac:dyDescent="0.2">
      <c r="A1111" s="558" t="s">
        <v>277</v>
      </c>
      <c r="B1111" s="559" t="s">
        <v>914</v>
      </c>
      <c r="C1111" s="573" t="s">
        <v>286</v>
      </c>
      <c r="D1111" s="327" t="s">
        <v>282</v>
      </c>
      <c r="E1111" s="575" t="s">
        <v>1715</v>
      </c>
      <c r="F1111" s="561" t="s">
        <v>109</v>
      </c>
      <c r="G1111" s="562" t="s">
        <v>964</v>
      </c>
      <c r="H1111" s="562" t="s">
        <v>918</v>
      </c>
      <c r="I1111" s="562" t="s">
        <v>919</v>
      </c>
      <c r="J1111" s="562" t="s">
        <v>757</v>
      </c>
      <c r="K1111" s="561">
        <v>100</v>
      </c>
      <c r="L1111" s="338"/>
      <c r="M1111" s="565">
        <v>68</v>
      </c>
      <c r="N1111" s="565">
        <v>68</v>
      </c>
      <c r="O1111" s="566">
        <f t="shared" si="52"/>
        <v>1</v>
      </c>
      <c r="P1111" s="567">
        <f t="shared" si="53"/>
        <v>1</v>
      </c>
      <c r="Q1111" s="568">
        <f t="shared" si="51"/>
        <v>1</v>
      </c>
      <c r="R1111" s="675"/>
    </row>
    <row r="1112" spans="1:18" x14ac:dyDescent="0.2">
      <c r="A1112" s="558" t="s">
        <v>277</v>
      </c>
      <c r="B1112" s="559" t="s">
        <v>914</v>
      </c>
      <c r="C1112" s="573" t="s">
        <v>286</v>
      </c>
      <c r="D1112" s="327" t="s">
        <v>285</v>
      </c>
      <c r="E1112" s="575" t="s">
        <v>1715</v>
      </c>
      <c r="F1112" s="561" t="s">
        <v>109</v>
      </c>
      <c r="G1112" s="562" t="s">
        <v>964</v>
      </c>
      <c r="H1112" s="562" t="s">
        <v>918</v>
      </c>
      <c r="I1112" s="562" t="s">
        <v>919</v>
      </c>
      <c r="J1112" s="562" t="s">
        <v>757</v>
      </c>
      <c r="K1112" s="561">
        <v>100</v>
      </c>
      <c r="L1112" s="338"/>
      <c r="M1112" s="565">
        <v>47</v>
      </c>
      <c r="N1112" s="565">
        <v>47</v>
      </c>
      <c r="O1112" s="566">
        <f t="shared" si="52"/>
        <v>1</v>
      </c>
      <c r="P1112" s="567">
        <f t="shared" si="53"/>
        <v>1</v>
      </c>
      <c r="Q1112" s="568">
        <f t="shared" si="51"/>
        <v>1</v>
      </c>
      <c r="R1112" s="675"/>
    </row>
    <row r="1113" spans="1:18" x14ac:dyDescent="0.2">
      <c r="A1113" s="558" t="s">
        <v>277</v>
      </c>
      <c r="B1113" s="559" t="s">
        <v>914</v>
      </c>
      <c r="C1113" s="573" t="s">
        <v>303</v>
      </c>
      <c r="D1113" s="327" t="s">
        <v>300</v>
      </c>
      <c r="E1113" s="575" t="s">
        <v>1715</v>
      </c>
      <c r="F1113" s="561" t="s">
        <v>109</v>
      </c>
      <c r="G1113" s="562" t="s">
        <v>964</v>
      </c>
      <c r="H1113" s="562" t="s">
        <v>920</v>
      </c>
      <c r="I1113" s="562" t="s">
        <v>919</v>
      </c>
      <c r="J1113" s="562" t="s">
        <v>757</v>
      </c>
      <c r="K1113" s="561">
        <v>100</v>
      </c>
      <c r="L1113" s="338"/>
      <c r="M1113" s="565">
        <v>144</v>
      </c>
      <c r="N1113" s="565">
        <v>144</v>
      </c>
      <c r="O1113" s="566">
        <f t="shared" si="52"/>
        <v>1</v>
      </c>
      <c r="P1113" s="567">
        <f t="shared" si="53"/>
        <v>1</v>
      </c>
      <c r="Q1113" s="568">
        <f t="shared" si="51"/>
        <v>1</v>
      </c>
      <c r="R1113" s="675"/>
    </row>
    <row r="1114" spans="1:18" x14ac:dyDescent="0.2">
      <c r="A1114" s="558" t="s">
        <v>277</v>
      </c>
      <c r="B1114" s="559" t="s">
        <v>914</v>
      </c>
      <c r="C1114" s="573" t="s">
        <v>303</v>
      </c>
      <c r="D1114" s="327" t="s">
        <v>292</v>
      </c>
      <c r="E1114" s="575" t="s">
        <v>1844</v>
      </c>
      <c r="F1114" s="561" t="s">
        <v>109</v>
      </c>
      <c r="G1114" s="562" t="s">
        <v>964</v>
      </c>
      <c r="H1114" s="562" t="s">
        <v>918</v>
      </c>
      <c r="I1114" s="562" t="s">
        <v>919</v>
      </c>
      <c r="J1114" s="562" t="s">
        <v>757</v>
      </c>
      <c r="K1114" s="561">
        <v>100</v>
      </c>
      <c r="L1114" s="338"/>
      <c r="M1114" s="565">
        <v>42</v>
      </c>
      <c r="N1114" s="565">
        <v>42</v>
      </c>
      <c r="O1114" s="566">
        <f t="shared" si="52"/>
        <v>1</v>
      </c>
      <c r="P1114" s="567">
        <f t="shared" si="53"/>
        <v>1</v>
      </c>
      <c r="Q1114" s="568">
        <f t="shared" si="51"/>
        <v>1</v>
      </c>
      <c r="R1114" s="675"/>
    </row>
    <row r="1115" spans="1:18" x14ac:dyDescent="0.2">
      <c r="A1115" s="558" t="s">
        <v>277</v>
      </c>
      <c r="B1115" s="559" t="s">
        <v>914</v>
      </c>
      <c r="C1115" s="573" t="s">
        <v>303</v>
      </c>
      <c r="D1115" s="327" t="s">
        <v>294</v>
      </c>
      <c r="E1115" s="575" t="s">
        <v>1844</v>
      </c>
      <c r="F1115" s="561" t="s">
        <v>109</v>
      </c>
      <c r="G1115" s="562" t="s">
        <v>964</v>
      </c>
      <c r="H1115" s="562" t="s">
        <v>918</v>
      </c>
      <c r="I1115" s="562" t="s">
        <v>919</v>
      </c>
      <c r="J1115" s="562" t="s">
        <v>757</v>
      </c>
      <c r="K1115" s="561">
        <v>100</v>
      </c>
      <c r="L1115" s="338"/>
      <c r="M1115" s="565">
        <v>10</v>
      </c>
      <c r="N1115" s="565">
        <v>10</v>
      </c>
      <c r="O1115" s="566">
        <f t="shared" si="52"/>
        <v>1</v>
      </c>
      <c r="P1115" s="567">
        <f t="shared" si="53"/>
        <v>1</v>
      </c>
      <c r="Q1115" s="568">
        <f t="shared" si="51"/>
        <v>1</v>
      </c>
      <c r="R1115" s="675"/>
    </row>
    <row r="1116" spans="1:18" x14ac:dyDescent="0.2">
      <c r="A1116" s="558" t="s">
        <v>277</v>
      </c>
      <c r="B1116" s="559" t="s">
        <v>914</v>
      </c>
      <c r="C1116" s="573" t="s">
        <v>303</v>
      </c>
      <c r="D1116" s="327" t="s">
        <v>282</v>
      </c>
      <c r="E1116" s="575" t="s">
        <v>1845</v>
      </c>
      <c r="F1116" s="561" t="s">
        <v>109</v>
      </c>
      <c r="G1116" s="562" t="s">
        <v>964</v>
      </c>
      <c r="H1116" s="562" t="s">
        <v>918</v>
      </c>
      <c r="I1116" s="562" t="s">
        <v>919</v>
      </c>
      <c r="J1116" s="562" t="s">
        <v>757</v>
      </c>
      <c r="K1116" s="561">
        <v>100</v>
      </c>
      <c r="L1116" s="338"/>
      <c r="M1116" s="565">
        <v>2</v>
      </c>
      <c r="N1116" s="565">
        <v>2</v>
      </c>
      <c r="O1116" s="566">
        <f t="shared" si="52"/>
        <v>1</v>
      </c>
      <c r="P1116" s="567">
        <f t="shared" si="53"/>
        <v>1</v>
      </c>
      <c r="Q1116" s="568">
        <f t="shared" si="51"/>
        <v>1</v>
      </c>
      <c r="R1116" s="675"/>
    </row>
    <row r="1117" spans="1:18" x14ac:dyDescent="0.2">
      <c r="A1117" s="558" t="s">
        <v>277</v>
      </c>
      <c r="B1117" s="559" t="s">
        <v>914</v>
      </c>
      <c r="C1117" s="573" t="s">
        <v>303</v>
      </c>
      <c r="D1117" s="327" t="s">
        <v>285</v>
      </c>
      <c r="E1117" s="575" t="s">
        <v>1845</v>
      </c>
      <c r="F1117" s="561" t="s">
        <v>109</v>
      </c>
      <c r="G1117" s="562" t="s">
        <v>964</v>
      </c>
      <c r="H1117" s="562" t="s">
        <v>918</v>
      </c>
      <c r="I1117" s="562" t="s">
        <v>919</v>
      </c>
      <c r="J1117" s="562" t="s">
        <v>757</v>
      </c>
      <c r="K1117" s="561">
        <v>100</v>
      </c>
      <c r="L1117" s="338"/>
      <c r="M1117" s="565">
        <v>5</v>
      </c>
      <c r="N1117" s="565">
        <v>5</v>
      </c>
      <c r="O1117" s="566">
        <f t="shared" si="52"/>
        <v>1</v>
      </c>
      <c r="P1117" s="567">
        <f t="shared" si="53"/>
        <v>1</v>
      </c>
      <c r="Q1117" s="568">
        <f t="shared" si="51"/>
        <v>1</v>
      </c>
      <c r="R1117" s="675"/>
    </row>
    <row r="1118" spans="1:18" x14ac:dyDescent="0.2">
      <c r="A1118" s="558" t="s">
        <v>277</v>
      </c>
      <c r="B1118" s="559" t="s">
        <v>914</v>
      </c>
      <c r="C1118" s="573" t="s">
        <v>99</v>
      </c>
      <c r="D1118" s="327" t="s">
        <v>300</v>
      </c>
      <c r="E1118" s="575" t="s">
        <v>1715</v>
      </c>
      <c r="F1118" s="561" t="s">
        <v>109</v>
      </c>
      <c r="G1118" s="562" t="s">
        <v>964</v>
      </c>
      <c r="H1118" s="562" t="s">
        <v>920</v>
      </c>
      <c r="I1118" s="562" t="s">
        <v>919</v>
      </c>
      <c r="J1118" s="562" t="s">
        <v>757</v>
      </c>
      <c r="K1118" s="561">
        <v>100</v>
      </c>
      <c r="L1118" s="338"/>
      <c r="M1118" s="565">
        <v>158</v>
      </c>
      <c r="N1118" s="565">
        <v>158</v>
      </c>
      <c r="O1118" s="566">
        <f t="shared" si="52"/>
        <v>1</v>
      </c>
      <c r="P1118" s="567">
        <f t="shared" si="53"/>
        <v>1</v>
      </c>
      <c r="Q1118" s="568">
        <f t="shared" si="51"/>
        <v>1</v>
      </c>
      <c r="R1118" s="675"/>
    </row>
    <row r="1119" spans="1:18" x14ac:dyDescent="0.2">
      <c r="A1119" s="558" t="s">
        <v>277</v>
      </c>
      <c r="B1119" s="559" t="s">
        <v>914</v>
      </c>
      <c r="C1119" s="573" t="s">
        <v>99</v>
      </c>
      <c r="D1119" s="327" t="s">
        <v>292</v>
      </c>
      <c r="E1119" s="575" t="s">
        <v>1715</v>
      </c>
      <c r="F1119" s="561" t="s">
        <v>109</v>
      </c>
      <c r="G1119" s="562" t="s">
        <v>964</v>
      </c>
      <c r="H1119" s="562" t="s">
        <v>918</v>
      </c>
      <c r="I1119" s="562" t="s">
        <v>919</v>
      </c>
      <c r="J1119" s="562" t="s">
        <v>757</v>
      </c>
      <c r="K1119" s="561">
        <v>100</v>
      </c>
      <c r="L1119" s="338"/>
      <c r="M1119" s="565">
        <v>7</v>
      </c>
      <c r="N1119" s="565">
        <v>7</v>
      </c>
      <c r="O1119" s="566">
        <f t="shared" si="52"/>
        <v>1</v>
      </c>
      <c r="P1119" s="567">
        <f t="shared" si="53"/>
        <v>1</v>
      </c>
      <c r="Q1119" s="568">
        <f t="shared" si="51"/>
        <v>1</v>
      </c>
      <c r="R1119" s="675"/>
    </row>
    <row r="1120" spans="1:18" x14ac:dyDescent="0.2">
      <c r="A1120" s="558" t="s">
        <v>277</v>
      </c>
      <c r="B1120" s="559" t="s">
        <v>914</v>
      </c>
      <c r="C1120" s="573" t="s">
        <v>99</v>
      </c>
      <c r="D1120" s="327" t="s">
        <v>294</v>
      </c>
      <c r="E1120" s="575" t="s">
        <v>1846</v>
      </c>
      <c r="F1120" s="561" t="s">
        <v>109</v>
      </c>
      <c r="G1120" s="562" t="s">
        <v>964</v>
      </c>
      <c r="H1120" s="562" t="s">
        <v>918</v>
      </c>
      <c r="I1120" s="562" t="s">
        <v>919</v>
      </c>
      <c r="J1120" s="562" t="s">
        <v>757</v>
      </c>
      <c r="K1120" s="561">
        <v>100</v>
      </c>
      <c r="L1120" s="338"/>
      <c r="M1120" s="565">
        <v>8</v>
      </c>
      <c r="N1120" s="565">
        <v>8</v>
      </c>
      <c r="O1120" s="566">
        <f t="shared" si="52"/>
        <v>1</v>
      </c>
      <c r="P1120" s="567">
        <f t="shared" si="53"/>
        <v>1</v>
      </c>
      <c r="Q1120" s="568">
        <f t="shared" si="51"/>
        <v>1</v>
      </c>
      <c r="R1120" s="675"/>
    </row>
    <row r="1121" spans="1:18" x14ac:dyDescent="0.2">
      <c r="A1121" s="558" t="s">
        <v>277</v>
      </c>
      <c r="B1121" s="559" t="s">
        <v>914</v>
      </c>
      <c r="C1121" s="573" t="s">
        <v>99</v>
      </c>
      <c r="D1121" s="327" t="s">
        <v>282</v>
      </c>
      <c r="E1121" s="575" t="s">
        <v>1846</v>
      </c>
      <c r="F1121" s="561" t="s">
        <v>109</v>
      </c>
      <c r="G1121" s="562" t="s">
        <v>964</v>
      </c>
      <c r="H1121" s="562" t="s">
        <v>918</v>
      </c>
      <c r="I1121" s="562" t="s">
        <v>919</v>
      </c>
      <c r="J1121" s="562" t="s">
        <v>757</v>
      </c>
      <c r="K1121" s="561">
        <v>100</v>
      </c>
      <c r="L1121" s="338"/>
      <c r="M1121" s="565">
        <v>4</v>
      </c>
      <c r="N1121" s="565">
        <v>4</v>
      </c>
      <c r="O1121" s="566">
        <f t="shared" si="52"/>
        <v>1</v>
      </c>
      <c r="P1121" s="567">
        <f t="shared" si="53"/>
        <v>1</v>
      </c>
      <c r="Q1121" s="568">
        <f t="shared" si="51"/>
        <v>1</v>
      </c>
      <c r="R1121" s="675"/>
    </row>
    <row r="1122" spans="1:18" x14ac:dyDescent="0.2">
      <c r="A1122" s="558" t="s">
        <v>277</v>
      </c>
      <c r="B1122" s="559" t="s">
        <v>914</v>
      </c>
      <c r="C1122" s="573" t="s">
        <v>99</v>
      </c>
      <c r="D1122" s="327" t="s">
        <v>285</v>
      </c>
      <c r="E1122" s="575" t="s">
        <v>1846</v>
      </c>
      <c r="F1122" s="561" t="s">
        <v>109</v>
      </c>
      <c r="G1122" s="562" t="s">
        <v>964</v>
      </c>
      <c r="H1122" s="562" t="s">
        <v>918</v>
      </c>
      <c r="I1122" s="562" t="s">
        <v>919</v>
      </c>
      <c r="J1122" s="562" t="s">
        <v>757</v>
      </c>
      <c r="K1122" s="561">
        <v>100</v>
      </c>
      <c r="L1122" s="338"/>
      <c r="M1122" s="565">
        <v>1</v>
      </c>
      <c r="N1122" s="565">
        <v>1</v>
      </c>
      <c r="O1122" s="566">
        <f t="shared" si="52"/>
        <v>1</v>
      </c>
      <c r="P1122" s="567">
        <f t="shared" si="53"/>
        <v>1</v>
      </c>
      <c r="Q1122" s="568">
        <f t="shared" si="51"/>
        <v>1</v>
      </c>
      <c r="R1122" s="675"/>
    </row>
    <row r="1123" spans="1:18" x14ac:dyDescent="0.2">
      <c r="A1123" s="558" t="s">
        <v>277</v>
      </c>
      <c r="B1123" s="559" t="s">
        <v>914</v>
      </c>
      <c r="C1123" s="573" t="s">
        <v>296</v>
      </c>
      <c r="D1123" s="327" t="s">
        <v>300</v>
      </c>
      <c r="E1123" s="575" t="s">
        <v>1847</v>
      </c>
      <c r="F1123" s="561" t="s">
        <v>109</v>
      </c>
      <c r="G1123" s="562" t="s">
        <v>964</v>
      </c>
      <c r="H1123" s="562" t="s">
        <v>920</v>
      </c>
      <c r="I1123" s="562" t="s">
        <v>919</v>
      </c>
      <c r="J1123" s="562" t="s">
        <v>757</v>
      </c>
      <c r="K1123" s="561">
        <v>100</v>
      </c>
      <c r="L1123" s="338"/>
      <c r="M1123" s="565">
        <v>0</v>
      </c>
      <c r="N1123" s="565">
        <v>0</v>
      </c>
      <c r="O1123" s="566">
        <f t="shared" si="52"/>
        <v>0</v>
      </c>
      <c r="P1123" s="567">
        <f t="shared" si="53"/>
        <v>0</v>
      </c>
      <c r="Q1123" s="568" t="e">
        <f t="shared" si="51"/>
        <v>#DIV/0!</v>
      </c>
      <c r="R1123" s="676" t="s">
        <v>1919</v>
      </c>
    </row>
    <row r="1124" spans="1:18" x14ac:dyDescent="0.2">
      <c r="A1124" s="558" t="s">
        <v>277</v>
      </c>
      <c r="B1124" s="559" t="s">
        <v>914</v>
      </c>
      <c r="C1124" s="573" t="s">
        <v>296</v>
      </c>
      <c r="D1124" s="327" t="s">
        <v>292</v>
      </c>
      <c r="E1124" s="575" t="s">
        <v>1847</v>
      </c>
      <c r="F1124" s="561" t="s">
        <v>109</v>
      </c>
      <c r="G1124" s="562" t="s">
        <v>964</v>
      </c>
      <c r="H1124" s="562" t="s">
        <v>918</v>
      </c>
      <c r="I1124" s="562" t="s">
        <v>919</v>
      </c>
      <c r="J1124" s="562" t="s">
        <v>757</v>
      </c>
      <c r="K1124" s="561">
        <v>100</v>
      </c>
      <c r="L1124" s="338"/>
      <c r="M1124" s="565">
        <v>3</v>
      </c>
      <c r="N1124" s="565">
        <v>3</v>
      </c>
      <c r="O1124" s="566">
        <f t="shared" si="52"/>
        <v>1</v>
      </c>
      <c r="P1124" s="567">
        <f t="shared" si="53"/>
        <v>1</v>
      </c>
      <c r="Q1124" s="568">
        <f t="shared" si="51"/>
        <v>1</v>
      </c>
      <c r="R1124" s="675"/>
    </row>
    <row r="1125" spans="1:18" x14ac:dyDescent="0.2">
      <c r="A1125" s="558" t="s">
        <v>277</v>
      </c>
      <c r="B1125" s="559" t="s">
        <v>914</v>
      </c>
      <c r="C1125" s="573" t="s">
        <v>296</v>
      </c>
      <c r="D1125" s="327" t="s">
        <v>294</v>
      </c>
      <c r="E1125" s="575" t="s">
        <v>1848</v>
      </c>
      <c r="F1125" s="561" t="s">
        <v>109</v>
      </c>
      <c r="G1125" s="562" t="s">
        <v>964</v>
      </c>
      <c r="H1125" s="562" t="s">
        <v>918</v>
      </c>
      <c r="I1125" s="562" t="s">
        <v>919</v>
      </c>
      <c r="J1125" s="562" t="s">
        <v>757</v>
      </c>
      <c r="K1125" s="561">
        <v>100</v>
      </c>
      <c r="L1125" s="338"/>
      <c r="M1125" s="565">
        <v>1</v>
      </c>
      <c r="N1125" s="565">
        <v>1</v>
      </c>
      <c r="O1125" s="566">
        <f t="shared" si="52"/>
        <v>1</v>
      </c>
      <c r="P1125" s="567">
        <f t="shared" si="53"/>
        <v>1</v>
      </c>
      <c r="Q1125" s="568">
        <f t="shared" si="51"/>
        <v>1</v>
      </c>
      <c r="R1125" s="675"/>
    </row>
    <row r="1126" spans="1:18" x14ac:dyDescent="0.2">
      <c r="A1126" s="558" t="s">
        <v>277</v>
      </c>
      <c r="B1126" s="559" t="s">
        <v>914</v>
      </c>
      <c r="C1126" s="573" t="s">
        <v>296</v>
      </c>
      <c r="D1126" s="327" t="s">
        <v>282</v>
      </c>
      <c r="E1126" s="575" t="s">
        <v>1848</v>
      </c>
      <c r="F1126" s="561" t="s">
        <v>109</v>
      </c>
      <c r="G1126" s="562" t="s">
        <v>964</v>
      </c>
      <c r="H1126" s="562" t="s">
        <v>918</v>
      </c>
      <c r="I1126" s="562" t="s">
        <v>919</v>
      </c>
      <c r="J1126" s="562" t="s">
        <v>757</v>
      </c>
      <c r="K1126" s="561">
        <v>100</v>
      </c>
      <c r="L1126" s="338"/>
      <c r="M1126" s="565">
        <v>2</v>
      </c>
      <c r="N1126" s="565">
        <v>2</v>
      </c>
      <c r="O1126" s="566">
        <f t="shared" si="52"/>
        <v>1</v>
      </c>
      <c r="P1126" s="567">
        <f t="shared" si="53"/>
        <v>1</v>
      </c>
      <c r="Q1126" s="568">
        <f t="shared" si="51"/>
        <v>1</v>
      </c>
      <c r="R1126" s="675"/>
    </row>
    <row r="1127" spans="1:18" x14ac:dyDescent="0.2">
      <c r="A1127" s="558" t="s">
        <v>277</v>
      </c>
      <c r="B1127" s="559" t="s">
        <v>914</v>
      </c>
      <c r="C1127" s="573" t="s">
        <v>296</v>
      </c>
      <c r="D1127" s="327" t="s">
        <v>285</v>
      </c>
      <c r="E1127" s="575" t="s">
        <v>1715</v>
      </c>
      <c r="F1127" s="561" t="s">
        <v>109</v>
      </c>
      <c r="G1127" s="562" t="s">
        <v>964</v>
      </c>
      <c r="H1127" s="562" t="s">
        <v>918</v>
      </c>
      <c r="I1127" s="562" t="s">
        <v>919</v>
      </c>
      <c r="J1127" s="562" t="s">
        <v>757</v>
      </c>
      <c r="K1127" s="561">
        <v>100</v>
      </c>
      <c r="L1127" s="338"/>
      <c r="M1127" s="565">
        <v>11</v>
      </c>
      <c r="N1127" s="565">
        <v>11</v>
      </c>
      <c r="O1127" s="566">
        <f t="shared" si="52"/>
        <v>1</v>
      </c>
      <c r="P1127" s="567">
        <f t="shared" si="53"/>
        <v>1</v>
      </c>
      <c r="Q1127" s="568">
        <f t="shared" si="51"/>
        <v>1</v>
      </c>
      <c r="R1127" s="675"/>
    </row>
    <row r="1128" spans="1:18" x14ac:dyDescent="0.2">
      <c r="A1128" s="558" t="s">
        <v>277</v>
      </c>
      <c r="B1128" s="559" t="s">
        <v>914</v>
      </c>
      <c r="C1128" s="573" t="s">
        <v>296</v>
      </c>
      <c r="D1128" s="327" t="s">
        <v>298</v>
      </c>
      <c r="E1128" s="575" t="s">
        <v>1715</v>
      </c>
      <c r="F1128" s="561" t="s">
        <v>109</v>
      </c>
      <c r="G1128" s="562" t="s">
        <v>964</v>
      </c>
      <c r="H1128" s="562" t="s">
        <v>918</v>
      </c>
      <c r="I1128" s="562" t="s">
        <v>919</v>
      </c>
      <c r="J1128" s="562" t="s">
        <v>757</v>
      </c>
      <c r="K1128" s="561">
        <v>100</v>
      </c>
      <c r="L1128" s="338"/>
      <c r="M1128" s="565">
        <v>20</v>
      </c>
      <c r="N1128" s="565">
        <v>20</v>
      </c>
      <c r="O1128" s="566">
        <f t="shared" si="52"/>
        <v>1</v>
      </c>
      <c r="P1128" s="567">
        <f t="shared" si="53"/>
        <v>1</v>
      </c>
      <c r="Q1128" s="568">
        <f t="shared" si="51"/>
        <v>1</v>
      </c>
      <c r="R1128" s="675"/>
    </row>
    <row r="1129" spans="1:18" x14ac:dyDescent="0.2">
      <c r="A1129" s="558" t="s">
        <v>277</v>
      </c>
      <c r="B1129" s="559" t="s">
        <v>914</v>
      </c>
      <c r="C1129" s="573" t="s">
        <v>316</v>
      </c>
      <c r="D1129" s="327" t="s">
        <v>292</v>
      </c>
      <c r="E1129" s="575" t="s">
        <v>1849</v>
      </c>
      <c r="F1129" s="561" t="s">
        <v>109</v>
      </c>
      <c r="G1129" s="562" t="s">
        <v>964</v>
      </c>
      <c r="H1129" s="562" t="s">
        <v>918</v>
      </c>
      <c r="I1129" s="562" t="s">
        <v>919</v>
      </c>
      <c r="J1129" s="562" t="s">
        <v>757</v>
      </c>
      <c r="K1129" s="561">
        <v>100</v>
      </c>
      <c r="L1129" s="338"/>
      <c r="M1129" s="565">
        <v>0</v>
      </c>
      <c r="N1129" s="565">
        <v>0</v>
      </c>
      <c r="O1129" s="566">
        <f t="shared" si="52"/>
        <v>0</v>
      </c>
      <c r="P1129" s="567">
        <f t="shared" si="53"/>
        <v>0</v>
      </c>
      <c r="Q1129" s="568" t="e">
        <f t="shared" si="51"/>
        <v>#DIV/0!</v>
      </c>
      <c r="R1129" s="676" t="s">
        <v>1919</v>
      </c>
    </row>
    <row r="1130" spans="1:18" x14ac:dyDescent="0.2">
      <c r="A1130" s="558" t="s">
        <v>277</v>
      </c>
      <c r="B1130" s="559" t="s">
        <v>914</v>
      </c>
      <c r="C1130" s="573" t="s">
        <v>316</v>
      </c>
      <c r="D1130" s="327" t="s">
        <v>294</v>
      </c>
      <c r="E1130" s="575" t="s">
        <v>1849</v>
      </c>
      <c r="F1130" s="561" t="s">
        <v>109</v>
      </c>
      <c r="G1130" s="562" t="s">
        <v>964</v>
      </c>
      <c r="H1130" s="562" t="s">
        <v>918</v>
      </c>
      <c r="I1130" s="562" t="s">
        <v>919</v>
      </c>
      <c r="J1130" s="562" t="s">
        <v>757</v>
      </c>
      <c r="K1130" s="561">
        <v>100</v>
      </c>
      <c r="L1130" s="338"/>
      <c r="M1130" s="565">
        <v>0</v>
      </c>
      <c r="N1130" s="565">
        <v>0</v>
      </c>
      <c r="O1130" s="566">
        <f t="shared" si="52"/>
        <v>0</v>
      </c>
      <c r="P1130" s="567">
        <f t="shared" si="53"/>
        <v>0</v>
      </c>
      <c r="Q1130" s="568" t="e">
        <f t="shared" si="51"/>
        <v>#DIV/0!</v>
      </c>
      <c r="R1130" s="676" t="s">
        <v>1919</v>
      </c>
    </row>
    <row r="1131" spans="1:18" x14ac:dyDescent="0.2">
      <c r="A1131" s="558" t="s">
        <v>277</v>
      </c>
      <c r="B1131" s="559" t="s">
        <v>914</v>
      </c>
      <c r="C1131" s="573" t="s">
        <v>308</v>
      </c>
      <c r="D1131" s="327" t="s">
        <v>300</v>
      </c>
      <c r="E1131" s="575" t="s">
        <v>1715</v>
      </c>
      <c r="F1131" s="561" t="s">
        <v>109</v>
      </c>
      <c r="G1131" s="562" t="s">
        <v>964</v>
      </c>
      <c r="H1131" s="562" t="s">
        <v>920</v>
      </c>
      <c r="I1131" s="562" t="s">
        <v>919</v>
      </c>
      <c r="J1131" s="562" t="s">
        <v>757</v>
      </c>
      <c r="K1131" s="561">
        <v>100</v>
      </c>
      <c r="L1131" s="338"/>
      <c r="M1131" s="565">
        <v>51</v>
      </c>
      <c r="N1131" s="565">
        <v>51</v>
      </c>
      <c r="O1131" s="566">
        <f t="shared" si="52"/>
        <v>1</v>
      </c>
      <c r="P1131" s="567">
        <f t="shared" si="53"/>
        <v>1</v>
      </c>
      <c r="Q1131" s="568">
        <f t="shared" si="51"/>
        <v>1</v>
      </c>
      <c r="R1131" s="675"/>
    </row>
    <row r="1132" spans="1:18" x14ac:dyDescent="0.2">
      <c r="A1132" s="558" t="s">
        <v>277</v>
      </c>
      <c r="B1132" s="559" t="s">
        <v>914</v>
      </c>
      <c r="C1132" s="573" t="s">
        <v>308</v>
      </c>
      <c r="D1132" s="327" t="s">
        <v>292</v>
      </c>
      <c r="E1132" s="575" t="s">
        <v>1850</v>
      </c>
      <c r="F1132" s="561" t="s">
        <v>109</v>
      </c>
      <c r="G1132" s="562" t="s">
        <v>964</v>
      </c>
      <c r="H1132" s="562" t="s">
        <v>918</v>
      </c>
      <c r="I1132" s="562" t="s">
        <v>919</v>
      </c>
      <c r="J1132" s="562" t="s">
        <v>757</v>
      </c>
      <c r="K1132" s="561">
        <v>100</v>
      </c>
      <c r="L1132" s="338"/>
      <c r="M1132" s="565">
        <v>7</v>
      </c>
      <c r="N1132" s="565">
        <v>7</v>
      </c>
      <c r="O1132" s="566">
        <f t="shared" si="52"/>
        <v>1</v>
      </c>
      <c r="P1132" s="567">
        <f t="shared" si="53"/>
        <v>1</v>
      </c>
      <c r="Q1132" s="568">
        <f t="shared" si="51"/>
        <v>1</v>
      </c>
      <c r="R1132" s="675"/>
    </row>
    <row r="1133" spans="1:18" x14ac:dyDescent="0.2">
      <c r="A1133" s="558" t="s">
        <v>277</v>
      </c>
      <c r="B1133" s="559" t="s">
        <v>914</v>
      </c>
      <c r="C1133" s="573" t="s">
        <v>308</v>
      </c>
      <c r="D1133" s="327" t="s">
        <v>294</v>
      </c>
      <c r="E1133" s="575" t="s">
        <v>1850</v>
      </c>
      <c r="F1133" s="561" t="s">
        <v>109</v>
      </c>
      <c r="G1133" s="562" t="s">
        <v>964</v>
      </c>
      <c r="H1133" s="562" t="s">
        <v>918</v>
      </c>
      <c r="I1133" s="562" t="s">
        <v>919</v>
      </c>
      <c r="J1133" s="562" t="s">
        <v>757</v>
      </c>
      <c r="K1133" s="561">
        <v>100</v>
      </c>
      <c r="L1133" s="338"/>
      <c r="M1133" s="565">
        <v>1</v>
      </c>
      <c r="N1133" s="565">
        <v>1</v>
      </c>
      <c r="O1133" s="566">
        <f t="shared" si="52"/>
        <v>1</v>
      </c>
      <c r="P1133" s="567">
        <f t="shared" si="53"/>
        <v>1</v>
      </c>
      <c r="Q1133" s="568">
        <f t="shared" si="51"/>
        <v>1</v>
      </c>
      <c r="R1133" s="675"/>
    </row>
    <row r="1134" spans="1:18" x14ac:dyDescent="0.2">
      <c r="A1134" s="558" t="s">
        <v>277</v>
      </c>
      <c r="B1134" s="559" t="s">
        <v>914</v>
      </c>
      <c r="C1134" s="573" t="s">
        <v>305</v>
      </c>
      <c r="D1134" s="327" t="s">
        <v>300</v>
      </c>
      <c r="E1134" s="575" t="s">
        <v>1715</v>
      </c>
      <c r="F1134" s="561" t="s">
        <v>109</v>
      </c>
      <c r="G1134" s="562" t="s">
        <v>964</v>
      </c>
      <c r="H1134" s="562" t="s">
        <v>920</v>
      </c>
      <c r="I1134" s="562" t="s">
        <v>919</v>
      </c>
      <c r="J1134" s="562" t="s">
        <v>757</v>
      </c>
      <c r="K1134" s="561">
        <v>100</v>
      </c>
      <c r="L1134" s="338"/>
      <c r="M1134" s="565">
        <v>568</v>
      </c>
      <c r="N1134" s="565">
        <v>568</v>
      </c>
      <c r="O1134" s="566">
        <f t="shared" si="52"/>
        <v>1</v>
      </c>
      <c r="P1134" s="567">
        <f t="shared" si="53"/>
        <v>1</v>
      </c>
      <c r="Q1134" s="568">
        <f t="shared" si="51"/>
        <v>1</v>
      </c>
      <c r="R1134" s="675"/>
    </row>
    <row r="1135" spans="1:18" x14ac:dyDescent="0.2">
      <c r="A1135" s="558" t="s">
        <v>277</v>
      </c>
      <c r="B1135" s="559" t="s">
        <v>914</v>
      </c>
      <c r="C1135" s="573" t="s">
        <v>305</v>
      </c>
      <c r="D1135" s="327" t="s">
        <v>292</v>
      </c>
      <c r="E1135" s="575" t="s">
        <v>1715</v>
      </c>
      <c r="F1135" s="561" t="s">
        <v>109</v>
      </c>
      <c r="G1135" s="562" t="s">
        <v>964</v>
      </c>
      <c r="H1135" s="562" t="s">
        <v>918</v>
      </c>
      <c r="I1135" s="562" t="s">
        <v>919</v>
      </c>
      <c r="J1135" s="562" t="s">
        <v>757</v>
      </c>
      <c r="K1135" s="561">
        <v>100</v>
      </c>
      <c r="L1135" s="338"/>
      <c r="M1135" s="565">
        <v>85</v>
      </c>
      <c r="N1135" s="565">
        <v>85</v>
      </c>
      <c r="O1135" s="566">
        <f t="shared" si="52"/>
        <v>1</v>
      </c>
      <c r="P1135" s="567">
        <f t="shared" si="53"/>
        <v>1</v>
      </c>
      <c r="Q1135" s="568">
        <f t="shared" si="51"/>
        <v>1</v>
      </c>
      <c r="R1135" s="675"/>
    </row>
    <row r="1136" spans="1:18" x14ac:dyDescent="0.2">
      <c r="A1136" s="558" t="s">
        <v>277</v>
      </c>
      <c r="B1136" s="559" t="s">
        <v>914</v>
      </c>
      <c r="C1136" s="573" t="s">
        <v>305</v>
      </c>
      <c r="D1136" s="327" t="s">
        <v>294</v>
      </c>
      <c r="E1136" s="575" t="s">
        <v>1851</v>
      </c>
      <c r="F1136" s="561" t="s">
        <v>109</v>
      </c>
      <c r="G1136" s="562" t="s">
        <v>964</v>
      </c>
      <c r="H1136" s="562" t="s">
        <v>918</v>
      </c>
      <c r="I1136" s="562" t="s">
        <v>919</v>
      </c>
      <c r="J1136" s="562" t="s">
        <v>757</v>
      </c>
      <c r="K1136" s="561">
        <v>100</v>
      </c>
      <c r="L1136" s="338"/>
      <c r="M1136" s="565">
        <v>24</v>
      </c>
      <c r="N1136" s="565">
        <v>24</v>
      </c>
      <c r="O1136" s="566">
        <f t="shared" si="52"/>
        <v>1</v>
      </c>
      <c r="P1136" s="567">
        <f t="shared" si="53"/>
        <v>1</v>
      </c>
      <c r="Q1136" s="568">
        <f t="shared" si="51"/>
        <v>1</v>
      </c>
      <c r="R1136" s="675"/>
    </row>
    <row r="1137" spans="1:18" x14ac:dyDescent="0.2">
      <c r="A1137" s="558" t="s">
        <v>277</v>
      </c>
      <c r="B1137" s="559" t="s">
        <v>914</v>
      </c>
      <c r="C1137" s="573" t="s">
        <v>305</v>
      </c>
      <c r="D1137" s="327" t="s">
        <v>285</v>
      </c>
      <c r="E1137" s="575" t="s">
        <v>1851</v>
      </c>
      <c r="F1137" s="561" t="s">
        <v>109</v>
      </c>
      <c r="G1137" s="562" t="s">
        <v>964</v>
      </c>
      <c r="H1137" s="562" t="s">
        <v>918</v>
      </c>
      <c r="I1137" s="562" t="s">
        <v>919</v>
      </c>
      <c r="J1137" s="562" t="s">
        <v>757</v>
      </c>
      <c r="K1137" s="561">
        <v>100</v>
      </c>
      <c r="L1137" s="338"/>
      <c r="M1137" s="565">
        <v>2</v>
      </c>
      <c r="N1137" s="565">
        <v>2</v>
      </c>
      <c r="O1137" s="566">
        <f t="shared" si="52"/>
        <v>1</v>
      </c>
      <c r="P1137" s="567">
        <f t="shared" si="53"/>
        <v>1</v>
      </c>
      <c r="Q1137" s="568">
        <f t="shared" si="51"/>
        <v>1</v>
      </c>
      <c r="R1137" s="675"/>
    </row>
    <row r="1138" spans="1:18" x14ac:dyDescent="0.2">
      <c r="A1138" s="558" t="s">
        <v>277</v>
      </c>
      <c r="B1138" s="559" t="s">
        <v>914</v>
      </c>
      <c r="C1138" s="573" t="s">
        <v>97</v>
      </c>
      <c r="D1138" s="327" t="s">
        <v>282</v>
      </c>
      <c r="E1138" s="575" t="s">
        <v>1843</v>
      </c>
      <c r="F1138" s="561" t="s">
        <v>109</v>
      </c>
      <c r="G1138" s="562" t="s">
        <v>965</v>
      </c>
      <c r="H1138" s="562" t="s">
        <v>918</v>
      </c>
      <c r="I1138" s="562" t="s">
        <v>919</v>
      </c>
      <c r="J1138" s="562" t="s">
        <v>757</v>
      </c>
      <c r="K1138" s="561">
        <v>100</v>
      </c>
      <c r="L1138" s="338"/>
      <c r="M1138" s="565">
        <v>6</v>
      </c>
      <c r="N1138" s="565">
        <v>6</v>
      </c>
      <c r="O1138" s="566">
        <f t="shared" si="52"/>
        <v>1</v>
      </c>
      <c r="P1138" s="567">
        <f t="shared" si="53"/>
        <v>1</v>
      </c>
      <c r="Q1138" s="568">
        <f t="shared" si="51"/>
        <v>1</v>
      </c>
      <c r="R1138" s="675"/>
    </row>
    <row r="1139" spans="1:18" x14ac:dyDescent="0.2">
      <c r="A1139" s="558" t="s">
        <v>277</v>
      </c>
      <c r="B1139" s="559" t="s">
        <v>914</v>
      </c>
      <c r="C1139" s="573" t="s">
        <v>97</v>
      </c>
      <c r="D1139" s="327" t="s">
        <v>285</v>
      </c>
      <c r="E1139" s="575" t="s">
        <v>1843</v>
      </c>
      <c r="F1139" s="561" t="s">
        <v>109</v>
      </c>
      <c r="G1139" s="562" t="s">
        <v>965</v>
      </c>
      <c r="H1139" s="562" t="s">
        <v>918</v>
      </c>
      <c r="I1139" s="562" t="s">
        <v>919</v>
      </c>
      <c r="J1139" s="562" t="s">
        <v>757</v>
      </c>
      <c r="K1139" s="561">
        <v>100</v>
      </c>
      <c r="L1139" s="338"/>
      <c r="M1139" s="565">
        <v>8</v>
      </c>
      <c r="N1139" s="565">
        <v>8</v>
      </c>
      <c r="O1139" s="566">
        <f t="shared" si="52"/>
        <v>1</v>
      </c>
      <c r="P1139" s="567">
        <f t="shared" si="53"/>
        <v>1</v>
      </c>
      <c r="Q1139" s="568">
        <f t="shared" si="51"/>
        <v>1</v>
      </c>
      <c r="R1139" s="675"/>
    </row>
    <row r="1140" spans="1:18" x14ac:dyDescent="0.2">
      <c r="A1140" s="558" t="s">
        <v>277</v>
      </c>
      <c r="B1140" s="559" t="s">
        <v>914</v>
      </c>
      <c r="C1140" s="573" t="s">
        <v>286</v>
      </c>
      <c r="D1140" s="327" t="s">
        <v>300</v>
      </c>
      <c r="E1140" s="575" t="s">
        <v>1715</v>
      </c>
      <c r="F1140" s="561" t="s">
        <v>109</v>
      </c>
      <c r="G1140" s="562" t="s">
        <v>965</v>
      </c>
      <c r="H1140" s="562" t="s">
        <v>920</v>
      </c>
      <c r="I1140" s="562" t="s">
        <v>919</v>
      </c>
      <c r="J1140" s="562" t="s">
        <v>757</v>
      </c>
      <c r="K1140" s="561">
        <v>100</v>
      </c>
      <c r="L1140" s="338"/>
      <c r="M1140" s="565">
        <v>39</v>
      </c>
      <c r="N1140" s="565">
        <v>39</v>
      </c>
      <c r="O1140" s="566">
        <f t="shared" si="52"/>
        <v>1</v>
      </c>
      <c r="P1140" s="567">
        <f t="shared" si="53"/>
        <v>1</v>
      </c>
      <c r="Q1140" s="568">
        <f t="shared" si="51"/>
        <v>1</v>
      </c>
      <c r="R1140" s="675"/>
    </row>
    <row r="1141" spans="1:18" x14ac:dyDescent="0.2">
      <c r="A1141" s="558" t="s">
        <v>277</v>
      </c>
      <c r="B1141" s="559" t="s">
        <v>914</v>
      </c>
      <c r="C1141" s="573" t="s">
        <v>286</v>
      </c>
      <c r="D1141" s="327" t="s">
        <v>292</v>
      </c>
      <c r="E1141" s="575" t="s">
        <v>1715</v>
      </c>
      <c r="F1141" s="561" t="s">
        <v>109</v>
      </c>
      <c r="G1141" s="562" t="s">
        <v>965</v>
      </c>
      <c r="H1141" s="562" t="s">
        <v>918</v>
      </c>
      <c r="I1141" s="562" t="s">
        <v>919</v>
      </c>
      <c r="J1141" s="562" t="s">
        <v>757</v>
      </c>
      <c r="K1141" s="561">
        <v>100</v>
      </c>
      <c r="L1141" s="338"/>
      <c r="M1141" s="565">
        <v>12</v>
      </c>
      <c r="N1141" s="565">
        <v>12</v>
      </c>
      <c r="O1141" s="566">
        <f t="shared" si="52"/>
        <v>1</v>
      </c>
      <c r="P1141" s="567">
        <f t="shared" si="53"/>
        <v>1</v>
      </c>
      <c r="Q1141" s="568">
        <f t="shared" si="51"/>
        <v>1</v>
      </c>
      <c r="R1141" s="675"/>
    </row>
    <row r="1142" spans="1:18" x14ac:dyDescent="0.2">
      <c r="A1142" s="558" t="s">
        <v>277</v>
      </c>
      <c r="B1142" s="559" t="s">
        <v>914</v>
      </c>
      <c r="C1142" s="573" t="s">
        <v>286</v>
      </c>
      <c r="D1142" s="327" t="s">
        <v>294</v>
      </c>
      <c r="E1142" s="575" t="s">
        <v>1715</v>
      </c>
      <c r="F1142" s="561" t="s">
        <v>109</v>
      </c>
      <c r="G1142" s="562" t="s">
        <v>965</v>
      </c>
      <c r="H1142" s="562" t="s">
        <v>918</v>
      </c>
      <c r="I1142" s="562" t="s">
        <v>919</v>
      </c>
      <c r="J1142" s="562" t="s">
        <v>757</v>
      </c>
      <c r="K1142" s="561">
        <v>100</v>
      </c>
      <c r="L1142" s="338"/>
      <c r="M1142" s="565">
        <v>40</v>
      </c>
      <c r="N1142" s="565">
        <v>40</v>
      </c>
      <c r="O1142" s="566">
        <f t="shared" si="52"/>
        <v>1</v>
      </c>
      <c r="P1142" s="567">
        <f t="shared" si="53"/>
        <v>1</v>
      </c>
      <c r="Q1142" s="568">
        <f t="shared" si="51"/>
        <v>1</v>
      </c>
      <c r="R1142" s="675"/>
    </row>
    <row r="1143" spans="1:18" x14ac:dyDescent="0.2">
      <c r="A1143" s="558" t="s">
        <v>277</v>
      </c>
      <c r="B1143" s="559" t="s">
        <v>914</v>
      </c>
      <c r="C1143" s="573" t="s">
        <v>286</v>
      </c>
      <c r="D1143" s="327" t="s">
        <v>282</v>
      </c>
      <c r="E1143" s="575" t="s">
        <v>1715</v>
      </c>
      <c r="F1143" s="561" t="s">
        <v>109</v>
      </c>
      <c r="G1143" s="562" t="s">
        <v>965</v>
      </c>
      <c r="H1143" s="562" t="s">
        <v>918</v>
      </c>
      <c r="I1143" s="562" t="s">
        <v>919</v>
      </c>
      <c r="J1143" s="562" t="s">
        <v>757</v>
      </c>
      <c r="K1143" s="561">
        <v>100</v>
      </c>
      <c r="L1143" s="338"/>
      <c r="M1143" s="565">
        <v>68</v>
      </c>
      <c r="N1143" s="565">
        <v>68</v>
      </c>
      <c r="O1143" s="566">
        <f t="shared" si="52"/>
        <v>1</v>
      </c>
      <c r="P1143" s="567">
        <f t="shared" si="53"/>
        <v>1</v>
      </c>
      <c r="Q1143" s="568">
        <f t="shared" si="51"/>
        <v>1</v>
      </c>
      <c r="R1143" s="675"/>
    </row>
    <row r="1144" spans="1:18" x14ac:dyDescent="0.2">
      <c r="A1144" s="558" t="s">
        <v>277</v>
      </c>
      <c r="B1144" s="559" t="s">
        <v>914</v>
      </c>
      <c r="C1144" s="573" t="s">
        <v>286</v>
      </c>
      <c r="D1144" s="327" t="s">
        <v>285</v>
      </c>
      <c r="E1144" s="575" t="s">
        <v>1715</v>
      </c>
      <c r="F1144" s="561" t="s">
        <v>109</v>
      </c>
      <c r="G1144" s="562" t="s">
        <v>965</v>
      </c>
      <c r="H1144" s="562" t="s">
        <v>918</v>
      </c>
      <c r="I1144" s="562" t="s">
        <v>919</v>
      </c>
      <c r="J1144" s="562" t="s">
        <v>757</v>
      </c>
      <c r="K1144" s="561">
        <v>100</v>
      </c>
      <c r="L1144" s="338"/>
      <c r="M1144" s="565">
        <v>47</v>
      </c>
      <c r="N1144" s="565">
        <v>47</v>
      </c>
      <c r="O1144" s="566">
        <f t="shared" si="52"/>
        <v>1</v>
      </c>
      <c r="P1144" s="567">
        <f t="shared" si="53"/>
        <v>1</v>
      </c>
      <c r="Q1144" s="568">
        <f t="shared" si="51"/>
        <v>1</v>
      </c>
      <c r="R1144" s="675"/>
    </row>
    <row r="1145" spans="1:18" x14ac:dyDescent="0.2">
      <c r="A1145" s="558" t="s">
        <v>277</v>
      </c>
      <c r="B1145" s="559" t="s">
        <v>914</v>
      </c>
      <c r="C1145" s="573" t="s">
        <v>303</v>
      </c>
      <c r="D1145" s="327" t="s">
        <v>300</v>
      </c>
      <c r="E1145" s="575" t="s">
        <v>1715</v>
      </c>
      <c r="F1145" s="561" t="s">
        <v>109</v>
      </c>
      <c r="G1145" s="562" t="s">
        <v>965</v>
      </c>
      <c r="H1145" s="562" t="s">
        <v>920</v>
      </c>
      <c r="I1145" s="562" t="s">
        <v>919</v>
      </c>
      <c r="J1145" s="562" t="s">
        <v>757</v>
      </c>
      <c r="K1145" s="561">
        <v>100</v>
      </c>
      <c r="L1145" s="338"/>
      <c r="M1145" s="565">
        <v>144</v>
      </c>
      <c r="N1145" s="565">
        <v>144</v>
      </c>
      <c r="O1145" s="566">
        <f t="shared" si="52"/>
        <v>1</v>
      </c>
      <c r="P1145" s="567">
        <f t="shared" si="53"/>
        <v>1</v>
      </c>
      <c r="Q1145" s="568">
        <f t="shared" si="51"/>
        <v>1</v>
      </c>
      <c r="R1145" s="675"/>
    </row>
    <row r="1146" spans="1:18" x14ac:dyDescent="0.2">
      <c r="A1146" s="558" t="s">
        <v>277</v>
      </c>
      <c r="B1146" s="559" t="s">
        <v>914</v>
      </c>
      <c r="C1146" s="573" t="s">
        <v>303</v>
      </c>
      <c r="D1146" s="327" t="s">
        <v>292</v>
      </c>
      <c r="E1146" s="575" t="s">
        <v>1844</v>
      </c>
      <c r="F1146" s="561" t="s">
        <v>109</v>
      </c>
      <c r="G1146" s="562" t="s">
        <v>965</v>
      </c>
      <c r="H1146" s="562" t="s">
        <v>918</v>
      </c>
      <c r="I1146" s="562" t="s">
        <v>919</v>
      </c>
      <c r="J1146" s="562" t="s">
        <v>757</v>
      </c>
      <c r="K1146" s="561">
        <v>100</v>
      </c>
      <c r="L1146" s="338"/>
      <c r="M1146" s="565">
        <v>42</v>
      </c>
      <c r="N1146" s="565">
        <v>42</v>
      </c>
      <c r="O1146" s="566">
        <f t="shared" si="52"/>
        <v>1</v>
      </c>
      <c r="P1146" s="567">
        <f t="shared" si="53"/>
        <v>1</v>
      </c>
      <c r="Q1146" s="568">
        <f t="shared" si="51"/>
        <v>1</v>
      </c>
      <c r="R1146" s="675"/>
    </row>
    <row r="1147" spans="1:18" x14ac:dyDescent="0.2">
      <c r="A1147" s="558" t="s">
        <v>277</v>
      </c>
      <c r="B1147" s="559" t="s">
        <v>914</v>
      </c>
      <c r="C1147" s="573" t="s">
        <v>303</v>
      </c>
      <c r="D1147" s="327" t="s">
        <v>294</v>
      </c>
      <c r="E1147" s="575" t="s">
        <v>1844</v>
      </c>
      <c r="F1147" s="561" t="s">
        <v>109</v>
      </c>
      <c r="G1147" s="562" t="s">
        <v>965</v>
      </c>
      <c r="H1147" s="562" t="s">
        <v>918</v>
      </c>
      <c r="I1147" s="562" t="s">
        <v>919</v>
      </c>
      <c r="J1147" s="562" t="s">
        <v>757</v>
      </c>
      <c r="K1147" s="561">
        <v>100</v>
      </c>
      <c r="L1147" s="338"/>
      <c r="M1147" s="565">
        <v>10</v>
      </c>
      <c r="N1147" s="565">
        <v>10</v>
      </c>
      <c r="O1147" s="566">
        <f t="shared" si="52"/>
        <v>1</v>
      </c>
      <c r="P1147" s="567">
        <f t="shared" si="53"/>
        <v>1</v>
      </c>
      <c r="Q1147" s="568">
        <f t="shared" si="51"/>
        <v>1</v>
      </c>
      <c r="R1147" s="675"/>
    </row>
    <row r="1148" spans="1:18" x14ac:dyDescent="0.2">
      <c r="A1148" s="558" t="s">
        <v>277</v>
      </c>
      <c r="B1148" s="559" t="s">
        <v>914</v>
      </c>
      <c r="C1148" s="573" t="s">
        <v>303</v>
      </c>
      <c r="D1148" s="327" t="s">
        <v>282</v>
      </c>
      <c r="E1148" s="575" t="s">
        <v>1845</v>
      </c>
      <c r="F1148" s="561" t="s">
        <v>109</v>
      </c>
      <c r="G1148" s="562" t="s">
        <v>965</v>
      </c>
      <c r="H1148" s="562" t="s">
        <v>918</v>
      </c>
      <c r="I1148" s="562" t="s">
        <v>919</v>
      </c>
      <c r="J1148" s="562" t="s">
        <v>757</v>
      </c>
      <c r="K1148" s="561">
        <v>100</v>
      </c>
      <c r="L1148" s="338"/>
      <c r="M1148" s="565">
        <v>2</v>
      </c>
      <c r="N1148" s="565">
        <v>2</v>
      </c>
      <c r="O1148" s="566">
        <f t="shared" si="52"/>
        <v>1</v>
      </c>
      <c r="P1148" s="567">
        <f t="shared" si="53"/>
        <v>1</v>
      </c>
      <c r="Q1148" s="568">
        <f t="shared" si="51"/>
        <v>1</v>
      </c>
      <c r="R1148" s="675"/>
    </row>
    <row r="1149" spans="1:18" x14ac:dyDescent="0.2">
      <c r="A1149" s="558" t="s">
        <v>277</v>
      </c>
      <c r="B1149" s="559" t="s">
        <v>914</v>
      </c>
      <c r="C1149" s="573" t="s">
        <v>303</v>
      </c>
      <c r="D1149" s="327" t="s">
        <v>285</v>
      </c>
      <c r="E1149" s="575" t="s">
        <v>1845</v>
      </c>
      <c r="F1149" s="561" t="s">
        <v>109</v>
      </c>
      <c r="G1149" s="562" t="s">
        <v>965</v>
      </c>
      <c r="H1149" s="562" t="s">
        <v>918</v>
      </c>
      <c r="I1149" s="562" t="s">
        <v>919</v>
      </c>
      <c r="J1149" s="562" t="s">
        <v>757</v>
      </c>
      <c r="K1149" s="561">
        <v>100</v>
      </c>
      <c r="L1149" s="338"/>
      <c r="M1149" s="565">
        <v>5</v>
      </c>
      <c r="N1149" s="565">
        <v>5</v>
      </c>
      <c r="O1149" s="566">
        <f t="shared" si="52"/>
        <v>1</v>
      </c>
      <c r="P1149" s="567">
        <f t="shared" si="53"/>
        <v>1</v>
      </c>
      <c r="Q1149" s="568">
        <f t="shared" si="51"/>
        <v>1</v>
      </c>
      <c r="R1149" s="675"/>
    </row>
    <row r="1150" spans="1:18" x14ac:dyDescent="0.2">
      <c r="A1150" s="558" t="s">
        <v>277</v>
      </c>
      <c r="B1150" s="559" t="s">
        <v>914</v>
      </c>
      <c r="C1150" s="573" t="s">
        <v>99</v>
      </c>
      <c r="D1150" s="327" t="s">
        <v>300</v>
      </c>
      <c r="E1150" s="575" t="s">
        <v>1715</v>
      </c>
      <c r="F1150" s="561" t="s">
        <v>109</v>
      </c>
      <c r="G1150" s="562" t="s">
        <v>965</v>
      </c>
      <c r="H1150" s="562" t="s">
        <v>920</v>
      </c>
      <c r="I1150" s="562" t="s">
        <v>919</v>
      </c>
      <c r="J1150" s="562" t="s">
        <v>757</v>
      </c>
      <c r="K1150" s="561">
        <v>100</v>
      </c>
      <c r="L1150" s="338"/>
      <c r="M1150" s="565">
        <v>158</v>
      </c>
      <c r="N1150" s="565">
        <v>158</v>
      </c>
      <c r="O1150" s="566">
        <f t="shared" si="52"/>
        <v>1</v>
      </c>
      <c r="P1150" s="567">
        <f t="shared" si="53"/>
        <v>1</v>
      </c>
      <c r="Q1150" s="568">
        <f t="shared" si="51"/>
        <v>1</v>
      </c>
      <c r="R1150" s="675"/>
    </row>
    <row r="1151" spans="1:18" x14ac:dyDescent="0.2">
      <c r="A1151" s="558" t="s">
        <v>277</v>
      </c>
      <c r="B1151" s="559" t="s">
        <v>914</v>
      </c>
      <c r="C1151" s="573" t="s">
        <v>99</v>
      </c>
      <c r="D1151" s="327" t="s">
        <v>292</v>
      </c>
      <c r="E1151" s="575" t="s">
        <v>1715</v>
      </c>
      <c r="F1151" s="561" t="s">
        <v>109</v>
      </c>
      <c r="G1151" s="562" t="s">
        <v>965</v>
      </c>
      <c r="H1151" s="562" t="s">
        <v>918</v>
      </c>
      <c r="I1151" s="562" t="s">
        <v>919</v>
      </c>
      <c r="J1151" s="562" t="s">
        <v>757</v>
      </c>
      <c r="K1151" s="561">
        <v>100</v>
      </c>
      <c r="L1151" s="338"/>
      <c r="M1151" s="565">
        <v>7</v>
      </c>
      <c r="N1151" s="565">
        <v>7</v>
      </c>
      <c r="O1151" s="566">
        <f t="shared" si="52"/>
        <v>1</v>
      </c>
      <c r="P1151" s="567">
        <f t="shared" si="53"/>
        <v>1</v>
      </c>
      <c r="Q1151" s="568">
        <f t="shared" si="51"/>
        <v>1</v>
      </c>
      <c r="R1151" s="675"/>
    </row>
    <row r="1152" spans="1:18" x14ac:dyDescent="0.2">
      <c r="A1152" s="558" t="s">
        <v>277</v>
      </c>
      <c r="B1152" s="559" t="s">
        <v>914</v>
      </c>
      <c r="C1152" s="573" t="s">
        <v>99</v>
      </c>
      <c r="D1152" s="327" t="s">
        <v>294</v>
      </c>
      <c r="E1152" s="575" t="s">
        <v>1846</v>
      </c>
      <c r="F1152" s="561" t="s">
        <v>109</v>
      </c>
      <c r="G1152" s="562" t="s">
        <v>965</v>
      </c>
      <c r="H1152" s="562" t="s">
        <v>918</v>
      </c>
      <c r="I1152" s="562" t="s">
        <v>919</v>
      </c>
      <c r="J1152" s="562" t="s">
        <v>757</v>
      </c>
      <c r="K1152" s="561">
        <v>100</v>
      </c>
      <c r="L1152" s="338"/>
      <c r="M1152" s="565">
        <v>8</v>
      </c>
      <c r="N1152" s="565">
        <v>8</v>
      </c>
      <c r="O1152" s="566">
        <f t="shared" si="52"/>
        <v>1</v>
      </c>
      <c r="P1152" s="567">
        <f t="shared" si="53"/>
        <v>1</v>
      </c>
      <c r="Q1152" s="568">
        <f t="shared" si="51"/>
        <v>1</v>
      </c>
      <c r="R1152" s="675"/>
    </row>
    <row r="1153" spans="1:18" x14ac:dyDescent="0.2">
      <c r="A1153" s="558" t="s">
        <v>277</v>
      </c>
      <c r="B1153" s="559" t="s">
        <v>914</v>
      </c>
      <c r="C1153" s="573" t="s">
        <v>99</v>
      </c>
      <c r="D1153" s="327" t="s">
        <v>282</v>
      </c>
      <c r="E1153" s="575" t="s">
        <v>1846</v>
      </c>
      <c r="F1153" s="561" t="s">
        <v>109</v>
      </c>
      <c r="G1153" s="562" t="s">
        <v>965</v>
      </c>
      <c r="H1153" s="562" t="s">
        <v>918</v>
      </c>
      <c r="I1153" s="562" t="s">
        <v>919</v>
      </c>
      <c r="J1153" s="562" t="s">
        <v>757</v>
      </c>
      <c r="K1153" s="561">
        <v>100</v>
      </c>
      <c r="L1153" s="338"/>
      <c r="M1153" s="565">
        <v>4</v>
      </c>
      <c r="N1153" s="565">
        <v>4</v>
      </c>
      <c r="O1153" s="566">
        <f t="shared" si="52"/>
        <v>1</v>
      </c>
      <c r="P1153" s="567">
        <f t="shared" si="53"/>
        <v>1</v>
      </c>
      <c r="Q1153" s="568">
        <f t="shared" si="51"/>
        <v>1</v>
      </c>
      <c r="R1153" s="675"/>
    </row>
    <row r="1154" spans="1:18" x14ac:dyDescent="0.2">
      <c r="A1154" s="558" t="s">
        <v>277</v>
      </c>
      <c r="B1154" s="559" t="s">
        <v>914</v>
      </c>
      <c r="C1154" s="573" t="s">
        <v>99</v>
      </c>
      <c r="D1154" s="327" t="s">
        <v>285</v>
      </c>
      <c r="E1154" s="575" t="s">
        <v>1846</v>
      </c>
      <c r="F1154" s="561" t="s">
        <v>109</v>
      </c>
      <c r="G1154" s="562" t="s">
        <v>965</v>
      </c>
      <c r="H1154" s="562" t="s">
        <v>918</v>
      </c>
      <c r="I1154" s="562" t="s">
        <v>919</v>
      </c>
      <c r="J1154" s="562" t="s">
        <v>757</v>
      </c>
      <c r="K1154" s="561">
        <v>100</v>
      </c>
      <c r="L1154" s="338"/>
      <c r="M1154" s="565">
        <v>1</v>
      </c>
      <c r="N1154" s="565">
        <v>1</v>
      </c>
      <c r="O1154" s="566">
        <f t="shared" si="52"/>
        <v>1</v>
      </c>
      <c r="P1154" s="567">
        <f t="shared" si="53"/>
        <v>1</v>
      </c>
      <c r="Q1154" s="568">
        <f t="shared" si="51"/>
        <v>1</v>
      </c>
      <c r="R1154" s="675"/>
    </row>
    <row r="1155" spans="1:18" x14ac:dyDescent="0.2">
      <c r="A1155" s="558" t="s">
        <v>277</v>
      </c>
      <c r="B1155" s="559" t="s">
        <v>914</v>
      </c>
      <c r="C1155" s="573" t="s">
        <v>296</v>
      </c>
      <c r="D1155" s="327" t="s">
        <v>300</v>
      </c>
      <c r="E1155" s="575" t="s">
        <v>1847</v>
      </c>
      <c r="F1155" s="561" t="s">
        <v>109</v>
      </c>
      <c r="G1155" s="562" t="s">
        <v>965</v>
      </c>
      <c r="H1155" s="562" t="s">
        <v>920</v>
      </c>
      <c r="I1155" s="562" t="s">
        <v>919</v>
      </c>
      <c r="J1155" s="562" t="s">
        <v>757</v>
      </c>
      <c r="K1155" s="561">
        <v>100</v>
      </c>
      <c r="L1155" s="338"/>
      <c r="M1155" s="565">
        <v>0</v>
      </c>
      <c r="N1155" s="565">
        <v>0</v>
      </c>
      <c r="O1155" s="566">
        <f t="shared" si="52"/>
        <v>0</v>
      </c>
      <c r="P1155" s="567">
        <f t="shared" si="53"/>
        <v>0</v>
      </c>
      <c r="Q1155" s="568" t="e">
        <f t="shared" si="51"/>
        <v>#DIV/0!</v>
      </c>
      <c r="R1155" s="676" t="s">
        <v>1919</v>
      </c>
    </row>
    <row r="1156" spans="1:18" x14ac:dyDescent="0.2">
      <c r="A1156" s="558" t="s">
        <v>277</v>
      </c>
      <c r="B1156" s="559" t="s">
        <v>914</v>
      </c>
      <c r="C1156" s="573" t="s">
        <v>296</v>
      </c>
      <c r="D1156" s="327" t="s">
        <v>292</v>
      </c>
      <c r="E1156" s="575" t="s">
        <v>1847</v>
      </c>
      <c r="F1156" s="561" t="s">
        <v>109</v>
      </c>
      <c r="G1156" s="562" t="s">
        <v>965</v>
      </c>
      <c r="H1156" s="562" t="s">
        <v>918</v>
      </c>
      <c r="I1156" s="562" t="s">
        <v>919</v>
      </c>
      <c r="J1156" s="562" t="s">
        <v>757</v>
      </c>
      <c r="K1156" s="561">
        <v>100</v>
      </c>
      <c r="L1156" s="338"/>
      <c r="M1156" s="565">
        <v>3</v>
      </c>
      <c r="N1156" s="565">
        <v>3</v>
      </c>
      <c r="O1156" s="566">
        <f t="shared" si="52"/>
        <v>1</v>
      </c>
      <c r="P1156" s="567">
        <f t="shared" si="53"/>
        <v>1</v>
      </c>
      <c r="Q1156" s="568">
        <f t="shared" si="51"/>
        <v>1</v>
      </c>
      <c r="R1156" s="675"/>
    </row>
    <row r="1157" spans="1:18" x14ac:dyDescent="0.2">
      <c r="A1157" s="558" t="s">
        <v>277</v>
      </c>
      <c r="B1157" s="559" t="s">
        <v>914</v>
      </c>
      <c r="C1157" s="573" t="s">
        <v>296</v>
      </c>
      <c r="D1157" s="327" t="s">
        <v>294</v>
      </c>
      <c r="E1157" s="575" t="s">
        <v>1848</v>
      </c>
      <c r="F1157" s="561" t="s">
        <v>109</v>
      </c>
      <c r="G1157" s="562" t="s">
        <v>965</v>
      </c>
      <c r="H1157" s="562" t="s">
        <v>918</v>
      </c>
      <c r="I1157" s="562" t="s">
        <v>919</v>
      </c>
      <c r="J1157" s="562" t="s">
        <v>757</v>
      </c>
      <c r="K1157" s="561">
        <v>100</v>
      </c>
      <c r="L1157" s="338"/>
      <c r="M1157" s="565">
        <v>1</v>
      </c>
      <c r="N1157" s="565">
        <v>1</v>
      </c>
      <c r="O1157" s="566">
        <f t="shared" si="52"/>
        <v>1</v>
      </c>
      <c r="P1157" s="567">
        <f t="shared" si="53"/>
        <v>1</v>
      </c>
      <c r="Q1157" s="568">
        <f t="shared" ref="Q1157:Q1169" si="54">N1157/(M1157*K1157/100)</f>
        <v>1</v>
      </c>
      <c r="R1157" s="675"/>
    </row>
    <row r="1158" spans="1:18" x14ac:dyDescent="0.2">
      <c r="A1158" s="558" t="s">
        <v>277</v>
      </c>
      <c r="B1158" s="559" t="s">
        <v>914</v>
      </c>
      <c r="C1158" s="573" t="s">
        <v>296</v>
      </c>
      <c r="D1158" s="327" t="s">
        <v>282</v>
      </c>
      <c r="E1158" s="575" t="s">
        <v>1848</v>
      </c>
      <c r="F1158" s="561" t="s">
        <v>109</v>
      </c>
      <c r="G1158" s="562" t="s">
        <v>965</v>
      </c>
      <c r="H1158" s="562" t="s">
        <v>918</v>
      </c>
      <c r="I1158" s="562" t="s">
        <v>919</v>
      </c>
      <c r="J1158" s="562" t="s">
        <v>757</v>
      </c>
      <c r="K1158" s="561">
        <v>100</v>
      </c>
      <c r="L1158" s="338"/>
      <c r="M1158" s="565">
        <v>2</v>
      </c>
      <c r="N1158" s="565">
        <v>2</v>
      </c>
      <c r="O1158" s="566">
        <f t="shared" ref="O1158:O1169" si="55">IFERROR(N1158/M1158,0)</f>
        <v>1</v>
      </c>
      <c r="P1158" s="567">
        <f t="shared" ref="P1158:P1169" si="56">IFERROR(N1158/(M1158*(K1158/100)),0)</f>
        <v>1</v>
      </c>
      <c r="Q1158" s="568">
        <f t="shared" si="54"/>
        <v>1</v>
      </c>
      <c r="R1158" s="675"/>
    </row>
    <row r="1159" spans="1:18" x14ac:dyDescent="0.2">
      <c r="A1159" s="558" t="s">
        <v>277</v>
      </c>
      <c r="B1159" s="559" t="s">
        <v>914</v>
      </c>
      <c r="C1159" s="573" t="s">
        <v>296</v>
      </c>
      <c r="D1159" s="327" t="s">
        <v>285</v>
      </c>
      <c r="E1159" s="575" t="s">
        <v>1715</v>
      </c>
      <c r="F1159" s="561" t="s">
        <v>109</v>
      </c>
      <c r="G1159" s="562" t="s">
        <v>965</v>
      </c>
      <c r="H1159" s="562" t="s">
        <v>918</v>
      </c>
      <c r="I1159" s="562" t="s">
        <v>919</v>
      </c>
      <c r="J1159" s="562" t="s">
        <v>757</v>
      </c>
      <c r="K1159" s="561">
        <v>100</v>
      </c>
      <c r="L1159" s="338"/>
      <c r="M1159" s="565">
        <v>11</v>
      </c>
      <c r="N1159" s="565">
        <v>11</v>
      </c>
      <c r="O1159" s="566">
        <f t="shared" si="55"/>
        <v>1</v>
      </c>
      <c r="P1159" s="567">
        <f t="shared" si="56"/>
        <v>1</v>
      </c>
      <c r="Q1159" s="568">
        <f t="shared" si="54"/>
        <v>1</v>
      </c>
      <c r="R1159" s="675"/>
    </row>
    <row r="1160" spans="1:18" x14ac:dyDescent="0.2">
      <c r="A1160" s="558" t="s">
        <v>277</v>
      </c>
      <c r="B1160" s="559" t="s">
        <v>914</v>
      </c>
      <c r="C1160" s="573" t="s">
        <v>296</v>
      </c>
      <c r="D1160" s="327" t="s">
        <v>298</v>
      </c>
      <c r="E1160" s="575" t="s">
        <v>1715</v>
      </c>
      <c r="F1160" s="561" t="s">
        <v>109</v>
      </c>
      <c r="G1160" s="562" t="s">
        <v>965</v>
      </c>
      <c r="H1160" s="562" t="s">
        <v>918</v>
      </c>
      <c r="I1160" s="562" t="s">
        <v>919</v>
      </c>
      <c r="J1160" s="562" t="s">
        <v>757</v>
      </c>
      <c r="K1160" s="561">
        <v>100</v>
      </c>
      <c r="L1160" s="338"/>
      <c r="M1160" s="565">
        <v>20</v>
      </c>
      <c r="N1160" s="565">
        <v>20</v>
      </c>
      <c r="O1160" s="566">
        <f t="shared" si="55"/>
        <v>1</v>
      </c>
      <c r="P1160" s="567">
        <f t="shared" si="56"/>
        <v>1</v>
      </c>
      <c r="Q1160" s="568">
        <f t="shared" si="54"/>
        <v>1</v>
      </c>
      <c r="R1160" s="675"/>
    </row>
    <row r="1161" spans="1:18" x14ac:dyDescent="0.2">
      <c r="A1161" s="558" t="s">
        <v>277</v>
      </c>
      <c r="B1161" s="559" t="s">
        <v>914</v>
      </c>
      <c r="C1161" s="573" t="s">
        <v>316</v>
      </c>
      <c r="D1161" s="327" t="s">
        <v>292</v>
      </c>
      <c r="E1161" s="575" t="s">
        <v>1849</v>
      </c>
      <c r="F1161" s="561" t="s">
        <v>109</v>
      </c>
      <c r="G1161" s="331" t="s">
        <v>965</v>
      </c>
      <c r="H1161" s="332" t="s">
        <v>918</v>
      </c>
      <c r="I1161" s="333" t="s">
        <v>919</v>
      </c>
      <c r="J1161" s="333" t="s">
        <v>757</v>
      </c>
      <c r="K1161" s="19">
        <v>100</v>
      </c>
      <c r="M1161" s="565">
        <v>0</v>
      </c>
      <c r="N1161" s="565">
        <v>0</v>
      </c>
      <c r="O1161" s="566">
        <f t="shared" si="55"/>
        <v>0</v>
      </c>
      <c r="P1161" s="567">
        <f t="shared" si="56"/>
        <v>0</v>
      </c>
      <c r="Q1161" s="568" t="e">
        <f t="shared" si="54"/>
        <v>#DIV/0!</v>
      </c>
      <c r="R1161" s="676" t="s">
        <v>1919</v>
      </c>
    </row>
    <row r="1162" spans="1:18" x14ac:dyDescent="0.2">
      <c r="A1162" s="558" t="s">
        <v>277</v>
      </c>
      <c r="B1162" s="559" t="s">
        <v>914</v>
      </c>
      <c r="C1162" s="573" t="s">
        <v>316</v>
      </c>
      <c r="D1162" s="327" t="s">
        <v>294</v>
      </c>
      <c r="E1162" s="575" t="s">
        <v>1849</v>
      </c>
      <c r="F1162" s="561" t="s">
        <v>109</v>
      </c>
      <c r="G1162" s="331" t="s">
        <v>965</v>
      </c>
      <c r="H1162" s="332" t="s">
        <v>918</v>
      </c>
      <c r="I1162" s="333" t="s">
        <v>919</v>
      </c>
      <c r="J1162" s="333" t="s">
        <v>757</v>
      </c>
      <c r="K1162" s="19">
        <v>100</v>
      </c>
      <c r="M1162" s="565">
        <v>0</v>
      </c>
      <c r="N1162" s="565">
        <v>0</v>
      </c>
      <c r="O1162" s="566">
        <f t="shared" si="55"/>
        <v>0</v>
      </c>
      <c r="P1162" s="567">
        <f t="shared" si="56"/>
        <v>0</v>
      </c>
      <c r="Q1162" s="568" t="e">
        <f t="shared" si="54"/>
        <v>#DIV/0!</v>
      </c>
      <c r="R1162" s="676" t="s">
        <v>1919</v>
      </c>
    </row>
    <row r="1163" spans="1:18" x14ac:dyDescent="0.2">
      <c r="A1163" s="558" t="s">
        <v>277</v>
      </c>
      <c r="B1163" s="559" t="s">
        <v>914</v>
      </c>
      <c r="C1163" s="573" t="s">
        <v>308</v>
      </c>
      <c r="D1163" s="327" t="s">
        <v>300</v>
      </c>
      <c r="E1163" s="575" t="s">
        <v>1715</v>
      </c>
      <c r="F1163" s="561" t="s">
        <v>109</v>
      </c>
      <c r="G1163" s="331" t="s">
        <v>965</v>
      </c>
      <c r="H1163" s="332" t="s">
        <v>920</v>
      </c>
      <c r="I1163" s="333" t="s">
        <v>919</v>
      </c>
      <c r="J1163" s="333" t="s">
        <v>757</v>
      </c>
      <c r="K1163" s="19">
        <v>100</v>
      </c>
      <c r="M1163" s="565">
        <v>51</v>
      </c>
      <c r="N1163" s="565">
        <v>51</v>
      </c>
      <c r="O1163" s="566">
        <f t="shared" si="55"/>
        <v>1</v>
      </c>
      <c r="P1163" s="567">
        <f t="shared" si="56"/>
        <v>1</v>
      </c>
      <c r="Q1163" s="568">
        <f t="shared" si="54"/>
        <v>1</v>
      </c>
      <c r="R1163" s="675"/>
    </row>
    <row r="1164" spans="1:18" x14ac:dyDescent="0.2">
      <c r="A1164" s="558" t="s">
        <v>277</v>
      </c>
      <c r="B1164" s="559" t="s">
        <v>914</v>
      </c>
      <c r="C1164" s="573" t="s">
        <v>308</v>
      </c>
      <c r="D1164" s="327" t="s">
        <v>292</v>
      </c>
      <c r="E1164" s="575" t="s">
        <v>1850</v>
      </c>
      <c r="F1164" s="561" t="s">
        <v>109</v>
      </c>
      <c r="G1164" s="331" t="s">
        <v>965</v>
      </c>
      <c r="H1164" s="332" t="s">
        <v>918</v>
      </c>
      <c r="I1164" s="333" t="s">
        <v>919</v>
      </c>
      <c r="J1164" s="333" t="s">
        <v>757</v>
      </c>
      <c r="K1164" s="19">
        <v>100</v>
      </c>
      <c r="M1164" s="565">
        <v>7</v>
      </c>
      <c r="N1164" s="565">
        <v>7</v>
      </c>
      <c r="O1164" s="566">
        <f t="shared" si="55"/>
        <v>1</v>
      </c>
      <c r="P1164" s="567">
        <f t="shared" si="56"/>
        <v>1</v>
      </c>
      <c r="Q1164" s="568">
        <f t="shared" si="54"/>
        <v>1</v>
      </c>
      <c r="R1164" s="675"/>
    </row>
    <row r="1165" spans="1:18" x14ac:dyDescent="0.2">
      <c r="A1165" s="558" t="s">
        <v>277</v>
      </c>
      <c r="B1165" s="559" t="s">
        <v>914</v>
      </c>
      <c r="C1165" s="573" t="s">
        <v>308</v>
      </c>
      <c r="D1165" s="327" t="s">
        <v>294</v>
      </c>
      <c r="E1165" s="575" t="s">
        <v>1850</v>
      </c>
      <c r="F1165" s="561" t="s">
        <v>109</v>
      </c>
      <c r="G1165" s="331" t="s">
        <v>965</v>
      </c>
      <c r="H1165" s="332" t="s">
        <v>918</v>
      </c>
      <c r="I1165" s="333" t="s">
        <v>919</v>
      </c>
      <c r="J1165" s="333" t="s">
        <v>757</v>
      </c>
      <c r="K1165" s="19">
        <v>100</v>
      </c>
      <c r="M1165" s="565">
        <v>1</v>
      </c>
      <c r="N1165" s="565">
        <v>1</v>
      </c>
      <c r="O1165" s="566">
        <f t="shared" si="55"/>
        <v>1</v>
      </c>
      <c r="P1165" s="567">
        <f t="shared" si="56"/>
        <v>1</v>
      </c>
      <c r="Q1165" s="568">
        <f t="shared" si="54"/>
        <v>1</v>
      </c>
      <c r="R1165" s="675"/>
    </row>
    <row r="1166" spans="1:18" x14ac:dyDescent="0.2">
      <c r="A1166" s="558" t="s">
        <v>277</v>
      </c>
      <c r="B1166" s="559" t="s">
        <v>914</v>
      </c>
      <c r="C1166" s="573" t="s">
        <v>305</v>
      </c>
      <c r="D1166" s="327" t="s">
        <v>300</v>
      </c>
      <c r="E1166" s="575" t="s">
        <v>1715</v>
      </c>
      <c r="F1166" s="561" t="s">
        <v>109</v>
      </c>
      <c r="G1166" s="331" t="s">
        <v>965</v>
      </c>
      <c r="H1166" s="332" t="s">
        <v>920</v>
      </c>
      <c r="I1166" s="333" t="s">
        <v>919</v>
      </c>
      <c r="J1166" s="333" t="s">
        <v>757</v>
      </c>
      <c r="K1166" s="19">
        <v>100</v>
      </c>
      <c r="M1166" s="565">
        <v>568</v>
      </c>
      <c r="N1166" s="565">
        <v>568</v>
      </c>
      <c r="O1166" s="566">
        <f t="shared" si="55"/>
        <v>1</v>
      </c>
      <c r="P1166" s="567">
        <f t="shared" si="56"/>
        <v>1</v>
      </c>
      <c r="Q1166" s="568">
        <f t="shared" si="54"/>
        <v>1</v>
      </c>
      <c r="R1166" s="675"/>
    </row>
    <row r="1167" spans="1:18" x14ac:dyDescent="0.2">
      <c r="A1167" s="558" t="s">
        <v>277</v>
      </c>
      <c r="B1167" s="559" t="s">
        <v>914</v>
      </c>
      <c r="C1167" s="573" t="s">
        <v>305</v>
      </c>
      <c r="D1167" s="327" t="s">
        <v>292</v>
      </c>
      <c r="E1167" s="575" t="s">
        <v>1715</v>
      </c>
      <c r="F1167" s="561" t="s">
        <v>109</v>
      </c>
      <c r="G1167" s="331" t="s">
        <v>965</v>
      </c>
      <c r="H1167" s="332" t="s">
        <v>918</v>
      </c>
      <c r="I1167" s="333" t="s">
        <v>919</v>
      </c>
      <c r="J1167" s="333" t="s">
        <v>757</v>
      </c>
      <c r="K1167" s="19">
        <v>100</v>
      </c>
      <c r="M1167" s="565">
        <v>85</v>
      </c>
      <c r="N1167" s="565">
        <v>85</v>
      </c>
      <c r="O1167" s="566">
        <f t="shared" si="55"/>
        <v>1</v>
      </c>
      <c r="P1167" s="567">
        <f t="shared" si="56"/>
        <v>1</v>
      </c>
      <c r="Q1167" s="568">
        <f t="shared" si="54"/>
        <v>1</v>
      </c>
      <c r="R1167" s="675"/>
    </row>
    <row r="1168" spans="1:18" x14ac:dyDescent="0.2">
      <c r="A1168" s="558" t="s">
        <v>277</v>
      </c>
      <c r="B1168" s="559" t="s">
        <v>914</v>
      </c>
      <c r="C1168" s="573" t="s">
        <v>305</v>
      </c>
      <c r="D1168" s="327" t="s">
        <v>294</v>
      </c>
      <c r="E1168" s="575" t="s">
        <v>1851</v>
      </c>
      <c r="F1168" s="561" t="s">
        <v>109</v>
      </c>
      <c r="G1168" s="331" t="s">
        <v>965</v>
      </c>
      <c r="H1168" s="332" t="s">
        <v>918</v>
      </c>
      <c r="I1168" s="333" t="s">
        <v>919</v>
      </c>
      <c r="J1168" s="333" t="s">
        <v>757</v>
      </c>
      <c r="K1168" s="19">
        <v>100</v>
      </c>
      <c r="M1168" s="565">
        <v>24</v>
      </c>
      <c r="N1168" s="565">
        <v>24</v>
      </c>
      <c r="O1168" s="566">
        <f t="shared" si="55"/>
        <v>1</v>
      </c>
      <c r="P1168" s="567">
        <f t="shared" si="56"/>
        <v>1</v>
      </c>
      <c r="Q1168" s="568">
        <f t="shared" si="54"/>
        <v>1</v>
      </c>
      <c r="R1168" s="675"/>
    </row>
    <row r="1169" spans="1:18" x14ac:dyDescent="0.2">
      <c r="A1169" s="558" t="s">
        <v>277</v>
      </c>
      <c r="B1169" s="559" t="s">
        <v>914</v>
      </c>
      <c r="C1169" s="573" t="s">
        <v>305</v>
      </c>
      <c r="D1169" s="327" t="s">
        <v>285</v>
      </c>
      <c r="E1169" s="575" t="s">
        <v>1851</v>
      </c>
      <c r="F1169" s="561" t="s">
        <v>109</v>
      </c>
      <c r="G1169" s="331" t="s">
        <v>965</v>
      </c>
      <c r="H1169" s="332" t="s">
        <v>918</v>
      </c>
      <c r="I1169" s="333" t="s">
        <v>919</v>
      </c>
      <c r="J1169" s="333" t="s">
        <v>757</v>
      </c>
      <c r="K1169" s="19">
        <v>100</v>
      </c>
      <c r="M1169" s="565">
        <v>2</v>
      </c>
      <c r="N1169" s="565">
        <v>2</v>
      </c>
      <c r="O1169" s="566">
        <f t="shared" si="55"/>
        <v>1</v>
      </c>
      <c r="P1169" s="567">
        <f t="shared" si="56"/>
        <v>1</v>
      </c>
      <c r="Q1169" s="568">
        <f t="shared" si="54"/>
        <v>1</v>
      </c>
      <c r="R1169" s="675"/>
    </row>
    <row r="1170" spans="1:18" x14ac:dyDescent="0.2">
      <c r="F1170" s="334"/>
      <c r="G1170" s="331"/>
      <c r="H1170" s="332"/>
      <c r="I1170" s="25"/>
    </row>
    <row r="1171" spans="1:18" x14ac:dyDescent="0.2">
      <c r="F1171" s="334"/>
      <c r="G1171" s="331"/>
      <c r="H1171" s="332"/>
      <c r="I1171" s="25"/>
    </row>
    <row r="1172" spans="1:18" x14ac:dyDescent="0.2">
      <c r="F1172" s="334"/>
      <c r="G1172" s="331"/>
      <c r="H1172" s="332"/>
      <c r="I1172" s="25"/>
    </row>
  </sheetData>
  <dataValidations count="1">
    <dataValidation type="list" allowBlank="1" showInputMessage="1" showErrorMessage="1" sqref="A5:A7 D5:D7 I5:J7">
      <formula1>#REF!</formula1>
    </dataValidation>
  </dataValidations>
  <pageMargins left="0.25" right="0.25" top="0.75" bottom="0.75" header="0.3" footer="0.3"/>
  <pageSetup paperSize="9" scale="42" firstPageNumber="0" orientation="landscape" r:id="rId1"/>
  <headerFooter alignWithMargins="0">
    <oddHeader>&amp;C&amp;"Times New Roman,Normal"&amp;12&amp;A</oddHeader>
    <oddFooter>&amp;C&amp;"Times New Roman,Normal"&amp;12Page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Y463"/>
  <sheetViews>
    <sheetView topLeftCell="H1" zoomScale="70" zoomScaleNormal="70" zoomScaleSheetLayoutView="100" workbookViewId="0">
      <selection activeCell="L20" sqref="L20"/>
    </sheetView>
  </sheetViews>
  <sheetFormatPr defaultColWidth="11.42578125" defaultRowHeight="12.75" x14ac:dyDescent="0.2"/>
  <cols>
    <col min="1" max="1" width="8.28515625" style="19" customWidth="1"/>
    <col min="2" max="2" width="29" style="19" customWidth="1"/>
    <col min="3" max="3" width="14.85546875" style="19" customWidth="1"/>
    <col min="4" max="4" width="11.28515625" style="19" customWidth="1"/>
    <col min="5" max="5" width="23.28515625" style="19" customWidth="1"/>
    <col min="6" max="6" width="18" style="19" customWidth="1"/>
    <col min="7" max="7" width="29.140625" style="19" customWidth="1"/>
    <col min="8" max="8" width="18.28515625" style="19" customWidth="1"/>
    <col min="9" max="9" width="13.28515625" style="19" customWidth="1"/>
    <col min="10" max="10" width="12.42578125" style="19" bestFit="1" customWidth="1"/>
    <col min="11" max="11" width="17.5703125" style="19" customWidth="1"/>
    <col min="12" max="12" width="66.85546875" style="19" customWidth="1"/>
    <col min="13" max="13" width="24.28515625" style="19" customWidth="1"/>
    <col min="14" max="14" width="18" style="19" customWidth="1"/>
    <col min="15" max="15" width="21.140625" style="19" customWidth="1"/>
    <col min="16" max="16" width="12.5703125" style="19" customWidth="1"/>
    <col min="17" max="17" width="17.5703125" style="19" customWidth="1"/>
    <col min="18" max="18" width="35.28515625" style="19" bestFit="1" customWidth="1"/>
    <col min="19" max="19" width="62.42578125" style="19" bestFit="1" customWidth="1"/>
    <col min="20" max="24" width="11.42578125" style="19"/>
    <col min="25" max="25" width="52.7109375" style="19" customWidth="1"/>
    <col min="26" max="16384" width="11.42578125" style="19"/>
  </cols>
  <sheetData>
    <row r="1" spans="1:25" ht="13.5" thickBot="1" x14ac:dyDescent="0.25">
      <c r="A1" s="24" t="s">
        <v>110</v>
      </c>
      <c r="B1" s="25"/>
      <c r="C1" s="25"/>
      <c r="D1" s="25"/>
      <c r="E1" s="25"/>
      <c r="F1" s="25"/>
      <c r="G1" s="25"/>
      <c r="H1" s="25"/>
      <c r="I1" s="25"/>
      <c r="J1" s="25"/>
      <c r="K1" s="25"/>
      <c r="L1" s="25"/>
      <c r="M1" s="25"/>
      <c r="N1" s="25"/>
      <c r="O1" s="25"/>
      <c r="P1" s="25"/>
      <c r="Q1" s="25"/>
      <c r="R1" s="25"/>
      <c r="S1" s="25"/>
    </row>
    <row r="2" spans="1:25" x14ac:dyDescent="0.2">
      <c r="A2" s="49"/>
      <c r="B2" s="20"/>
      <c r="C2" s="20"/>
      <c r="D2" s="20"/>
      <c r="E2" s="20"/>
      <c r="F2" s="20"/>
      <c r="G2" s="20"/>
      <c r="H2" s="20"/>
      <c r="I2" s="20"/>
      <c r="J2" s="20"/>
      <c r="K2" s="20"/>
      <c r="L2" s="20"/>
      <c r="M2" s="20"/>
      <c r="N2" s="20"/>
      <c r="O2" s="20"/>
      <c r="Q2" s="96" t="s">
        <v>56</v>
      </c>
      <c r="R2" s="88" t="s">
        <v>50</v>
      </c>
    </row>
    <row r="3" spans="1:25" ht="13.5" thickBot="1" x14ac:dyDescent="0.25">
      <c r="A3" s="49"/>
      <c r="B3" s="20"/>
      <c r="C3" s="20"/>
      <c r="D3" s="20"/>
      <c r="E3" s="20"/>
      <c r="F3" s="20"/>
      <c r="G3" s="20"/>
      <c r="H3" s="20"/>
      <c r="I3" s="20"/>
      <c r="J3" s="20"/>
      <c r="K3" s="20"/>
      <c r="L3" s="20"/>
      <c r="M3" s="20"/>
      <c r="N3" s="20"/>
      <c r="O3" s="20"/>
      <c r="Q3" s="77">
        <v>2019</v>
      </c>
      <c r="R3" s="150"/>
    </row>
    <row r="4" spans="1:25" ht="39" thickBot="1" x14ac:dyDescent="0.25">
      <c r="A4" s="109" t="s">
        <v>0</v>
      </c>
      <c r="B4" s="110" t="s">
        <v>111</v>
      </c>
      <c r="C4" s="111" t="s">
        <v>112</v>
      </c>
      <c r="D4" s="104" t="s">
        <v>103</v>
      </c>
      <c r="E4" s="112" t="s">
        <v>83</v>
      </c>
      <c r="F4" s="112" t="s">
        <v>113</v>
      </c>
      <c r="G4" s="107" t="s">
        <v>105</v>
      </c>
      <c r="H4" s="107" t="s">
        <v>65</v>
      </c>
      <c r="I4" s="554" t="s">
        <v>114</v>
      </c>
      <c r="J4" s="107" t="s">
        <v>9</v>
      </c>
      <c r="K4" s="555" t="s">
        <v>106</v>
      </c>
      <c r="L4" s="101" t="s">
        <v>4</v>
      </c>
      <c r="M4" s="556" t="s">
        <v>239</v>
      </c>
      <c r="N4" s="556" t="s">
        <v>240</v>
      </c>
      <c r="O4" s="554" t="s">
        <v>107</v>
      </c>
      <c r="P4" s="554" t="s">
        <v>241</v>
      </c>
      <c r="Q4" s="326" t="s">
        <v>242</v>
      </c>
      <c r="R4" s="554" t="s">
        <v>108</v>
      </c>
    </row>
    <row r="5" spans="1:25" ht="25.5" x14ac:dyDescent="0.2">
      <c r="A5" s="580" t="s">
        <v>277</v>
      </c>
      <c r="B5" s="581" t="s">
        <v>966</v>
      </c>
      <c r="C5" s="580" t="s">
        <v>967</v>
      </c>
      <c r="D5" s="581" t="s">
        <v>109</v>
      </c>
      <c r="E5" s="581" t="s">
        <v>968</v>
      </c>
      <c r="F5" s="582" t="s">
        <v>969</v>
      </c>
      <c r="G5" s="581" t="s">
        <v>919</v>
      </c>
      <c r="H5" s="583" t="s">
        <v>77</v>
      </c>
      <c r="I5" s="571"/>
      <c r="J5" s="583" t="s">
        <v>1023</v>
      </c>
      <c r="K5" s="584">
        <v>100</v>
      </c>
      <c r="L5" s="585" t="s">
        <v>1024</v>
      </c>
      <c r="M5" s="571">
        <v>7</v>
      </c>
      <c r="N5" s="571">
        <v>3</v>
      </c>
      <c r="O5" s="566">
        <f>IFERROR(N5/M5,0)</f>
        <v>0.42857142857142855</v>
      </c>
      <c r="P5" s="567">
        <f>IFERROR(N5/(M5*(K5/100)),0)</f>
        <v>0.42857142857142855</v>
      </c>
      <c r="Q5" s="568">
        <f>N5/(M5*K5/100)</f>
        <v>0.42857142857142855</v>
      </c>
      <c r="R5" s="687" t="s">
        <v>1954</v>
      </c>
    </row>
    <row r="6" spans="1:25" x14ac:dyDescent="0.2">
      <c r="A6" s="580" t="s">
        <v>277</v>
      </c>
      <c r="B6" s="581" t="s">
        <v>966</v>
      </c>
      <c r="C6" s="580" t="s">
        <v>967</v>
      </c>
      <c r="D6" s="581" t="s">
        <v>109</v>
      </c>
      <c r="E6" s="581" t="s">
        <v>968</v>
      </c>
      <c r="F6" s="582" t="s">
        <v>970</v>
      </c>
      <c r="G6" s="581" t="s">
        <v>971</v>
      </c>
      <c r="H6" s="583" t="s">
        <v>77</v>
      </c>
      <c r="I6" s="586"/>
      <c r="J6" s="583" t="s">
        <v>1023</v>
      </c>
      <c r="K6" s="584">
        <v>33</v>
      </c>
      <c r="L6" s="587"/>
      <c r="M6" s="571">
        <v>7</v>
      </c>
      <c r="N6" s="571">
        <v>3</v>
      </c>
      <c r="O6" s="566">
        <f t="shared" ref="O6:O69" si="0">IFERROR(N6/M6,0)</f>
        <v>0.42857142857142855</v>
      </c>
      <c r="P6" s="567">
        <f t="shared" ref="P6:P69" si="1">IFERROR(N6/(M6*(K6/100)),0)</f>
        <v>1.2987012987012987</v>
      </c>
      <c r="Q6" s="568">
        <f t="shared" ref="Q6:Q69" si="2">N6/(M6*K6/100)</f>
        <v>1.2987012987012987</v>
      </c>
      <c r="R6" s="687" t="s">
        <v>1954</v>
      </c>
    </row>
    <row r="7" spans="1:25" ht="25.5" x14ac:dyDescent="0.2">
      <c r="A7" s="580" t="s">
        <v>277</v>
      </c>
      <c r="B7" s="581" t="s">
        <v>966</v>
      </c>
      <c r="C7" s="580" t="s">
        <v>967</v>
      </c>
      <c r="D7" s="581" t="s">
        <v>109</v>
      </c>
      <c r="E7" s="581" t="s">
        <v>972</v>
      </c>
      <c r="F7" s="582" t="s">
        <v>969</v>
      </c>
      <c r="G7" s="581" t="s">
        <v>925</v>
      </c>
      <c r="H7" s="583" t="s">
        <v>77</v>
      </c>
      <c r="I7" s="586"/>
      <c r="J7" s="583" t="s">
        <v>1023</v>
      </c>
      <c r="K7" s="584">
        <v>25</v>
      </c>
      <c r="L7" s="587"/>
      <c r="M7" s="571">
        <v>7</v>
      </c>
      <c r="N7" s="571">
        <v>4</v>
      </c>
      <c r="O7" s="566">
        <f t="shared" si="0"/>
        <v>0.5714285714285714</v>
      </c>
      <c r="P7" s="567">
        <f t="shared" si="1"/>
        <v>2.2857142857142856</v>
      </c>
      <c r="Q7" s="568">
        <f t="shared" si="2"/>
        <v>2.2857142857142856</v>
      </c>
      <c r="R7" s="687" t="s">
        <v>1954</v>
      </c>
    </row>
    <row r="8" spans="1:25" ht="25.5" x14ac:dyDescent="0.2">
      <c r="A8" s="580" t="s">
        <v>277</v>
      </c>
      <c r="B8" s="581" t="s">
        <v>966</v>
      </c>
      <c r="C8" s="580" t="s">
        <v>967</v>
      </c>
      <c r="D8" s="581" t="s">
        <v>109</v>
      </c>
      <c r="E8" s="581" t="s">
        <v>972</v>
      </c>
      <c r="F8" s="582" t="s">
        <v>970</v>
      </c>
      <c r="G8" s="581" t="s">
        <v>925</v>
      </c>
      <c r="H8" s="583" t="s">
        <v>77</v>
      </c>
      <c r="I8" s="586"/>
      <c r="J8" s="583" t="s">
        <v>1023</v>
      </c>
      <c r="K8" s="584">
        <v>25</v>
      </c>
      <c r="L8" s="587"/>
      <c r="M8" s="571">
        <v>7</v>
      </c>
      <c r="N8" s="571">
        <v>4</v>
      </c>
      <c r="O8" s="566">
        <f t="shared" si="0"/>
        <v>0.5714285714285714</v>
      </c>
      <c r="P8" s="567">
        <f t="shared" si="1"/>
        <v>2.2857142857142856</v>
      </c>
      <c r="Q8" s="568">
        <f t="shared" si="2"/>
        <v>2.2857142857142856</v>
      </c>
      <c r="R8" s="687" t="s">
        <v>1954</v>
      </c>
    </row>
    <row r="9" spans="1:25" ht="38.25" x14ac:dyDescent="0.2">
      <c r="A9" s="580" t="s">
        <v>277</v>
      </c>
      <c r="B9" s="581" t="s">
        <v>966</v>
      </c>
      <c r="C9" s="580" t="s">
        <v>967</v>
      </c>
      <c r="D9" s="581" t="s">
        <v>109</v>
      </c>
      <c r="E9" s="581" t="s">
        <v>973</v>
      </c>
      <c r="F9" s="582" t="s">
        <v>974</v>
      </c>
      <c r="G9" s="581" t="s">
        <v>925</v>
      </c>
      <c r="H9" s="583" t="s">
        <v>77</v>
      </c>
      <c r="I9" s="586"/>
      <c r="J9" s="583" t="s">
        <v>1023</v>
      </c>
      <c r="K9" s="584">
        <v>25</v>
      </c>
      <c r="L9" s="585" t="s">
        <v>1025</v>
      </c>
      <c r="M9" s="571">
        <v>7</v>
      </c>
      <c r="N9" s="571">
        <v>0</v>
      </c>
      <c r="O9" s="566">
        <f t="shared" si="0"/>
        <v>0</v>
      </c>
      <c r="P9" s="567">
        <f t="shared" si="1"/>
        <v>0</v>
      </c>
      <c r="Q9" s="568">
        <f t="shared" si="2"/>
        <v>0</v>
      </c>
      <c r="R9" s="687" t="s">
        <v>1954</v>
      </c>
    </row>
    <row r="10" spans="1:25" ht="25.5" x14ac:dyDescent="0.2">
      <c r="A10" s="580" t="s">
        <v>277</v>
      </c>
      <c r="B10" s="581" t="s">
        <v>966</v>
      </c>
      <c r="C10" s="580" t="s">
        <v>967</v>
      </c>
      <c r="D10" s="581" t="s">
        <v>109</v>
      </c>
      <c r="E10" s="581" t="s">
        <v>973</v>
      </c>
      <c r="F10" s="582" t="s">
        <v>975</v>
      </c>
      <c r="G10" s="581" t="s">
        <v>925</v>
      </c>
      <c r="H10" s="583" t="s">
        <v>77</v>
      </c>
      <c r="I10" s="586"/>
      <c r="J10" s="583" t="s">
        <v>1023</v>
      </c>
      <c r="K10" s="584">
        <v>33</v>
      </c>
      <c r="L10" s="587"/>
      <c r="M10" s="571">
        <v>7</v>
      </c>
      <c r="N10" s="571">
        <v>0</v>
      </c>
      <c r="O10" s="566">
        <f t="shared" si="0"/>
        <v>0</v>
      </c>
      <c r="P10" s="567">
        <f t="shared" si="1"/>
        <v>0</v>
      </c>
      <c r="Q10" s="568">
        <f t="shared" si="2"/>
        <v>0</v>
      </c>
      <c r="R10" s="687" t="s">
        <v>1954</v>
      </c>
      <c r="W10" s="273"/>
      <c r="X10" s="273"/>
      <c r="Y10" s="273"/>
    </row>
    <row r="11" spans="1:25" ht="25.5" x14ac:dyDescent="0.2">
      <c r="A11" s="580" t="s">
        <v>277</v>
      </c>
      <c r="B11" s="581" t="s">
        <v>966</v>
      </c>
      <c r="C11" s="580" t="s">
        <v>967</v>
      </c>
      <c r="D11" s="581" t="s">
        <v>109</v>
      </c>
      <c r="E11" s="581" t="s">
        <v>976</v>
      </c>
      <c r="F11" s="582" t="s">
        <v>974</v>
      </c>
      <c r="G11" s="581" t="s">
        <v>925</v>
      </c>
      <c r="H11" s="583" t="s">
        <v>77</v>
      </c>
      <c r="I11" s="586"/>
      <c r="J11" s="583" t="s">
        <v>1023</v>
      </c>
      <c r="K11" s="584">
        <v>25</v>
      </c>
      <c r="L11" s="587"/>
      <c r="M11" s="571">
        <v>7</v>
      </c>
      <c r="N11" s="571">
        <v>4</v>
      </c>
      <c r="O11" s="566">
        <f t="shared" si="0"/>
        <v>0.5714285714285714</v>
      </c>
      <c r="P11" s="567">
        <f t="shared" si="1"/>
        <v>2.2857142857142856</v>
      </c>
      <c r="Q11" s="568">
        <f t="shared" si="2"/>
        <v>2.2857142857142856</v>
      </c>
      <c r="R11" s="687" t="s">
        <v>1954</v>
      </c>
      <c r="W11" s="30"/>
      <c r="X11" s="30"/>
      <c r="Y11" s="30"/>
    </row>
    <row r="12" spans="1:25" ht="25.5" x14ac:dyDescent="0.2">
      <c r="A12" s="580" t="s">
        <v>277</v>
      </c>
      <c r="B12" s="581" t="s">
        <v>966</v>
      </c>
      <c r="C12" s="580" t="s">
        <v>967</v>
      </c>
      <c r="D12" s="581" t="s">
        <v>109</v>
      </c>
      <c r="E12" s="581" t="s">
        <v>977</v>
      </c>
      <c r="F12" s="582" t="s">
        <v>974</v>
      </c>
      <c r="G12" s="581" t="s">
        <v>925</v>
      </c>
      <c r="H12" s="583" t="s">
        <v>77</v>
      </c>
      <c r="I12" s="586"/>
      <c r="J12" s="583" t="s">
        <v>1023</v>
      </c>
      <c r="K12" s="584">
        <v>25</v>
      </c>
      <c r="L12" s="587"/>
      <c r="M12" s="571">
        <v>7</v>
      </c>
      <c r="N12" s="571">
        <v>0</v>
      </c>
      <c r="O12" s="566">
        <f t="shared" si="0"/>
        <v>0</v>
      </c>
      <c r="P12" s="567">
        <f t="shared" si="1"/>
        <v>0</v>
      </c>
      <c r="Q12" s="568">
        <f t="shared" si="2"/>
        <v>0</v>
      </c>
      <c r="R12" s="687" t="s">
        <v>1954</v>
      </c>
      <c r="W12" s="30"/>
      <c r="X12" s="30"/>
      <c r="Y12" s="30"/>
    </row>
    <row r="13" spans="1:25" x14ac:dyDescent="0.2">
      <c r="A13" s="580" t="s">
        <v>277</v>
      </c>
      <c r="B13" s="581" t="s">
        <v>966</v>
      </c>
      <c r="C13" s="580" t="s">
        <v>967</v>
      </c>
      <c r="D13" s="581" t="s">
        <v>109</v>
      </c>
      <c r="E13" s="581" t="s">
        <v>978</v>
      </c>
      <c r="F13" s="582" t="s">
        <v>974</v>
      </c>
      <c r="G13" s="581" t="s">
        <v>919</v>
      </c>
      <c r="H13" s="583" t="s">
        <v>77</v>
      </c>
      <c r="I13" s="586"/>
      <c r="J13" s="583" t="s">
        <v>1023</v>
      </c>
      <c r="K13" s="584">
        <v>100</v>
      </c>
      <c r="L13" s="587"/>
      <c r="M13" s="571">
        <v>7</v>
      </c>
      <c r="N13" s="571">
        <v>3</v>
      </c>
      <c r="O13" s="566">
        <f t="shared" si="0"/>
        <v>0.42857142857142855</v>
      </c>
      <c r="P13" s="567">
        <f t="shared" si="1"/>
        <v>0.42857142857142855</v>
      </c>
      <c r="Q13" s="568">
        <f t="shared" si="2"/>
        <v>0.42857142857142855</v>
      </c>
      <c r="R13" s="687" t="s">
        <v>1954</v>
      </c>
      <c r="W13" s="30"/>
      <c r="X13" s="30"/>
      <c r="Y13" s="30"/>
    </row>
    <row r="14" spans="1:25" x14ac:dyDescent="0.2">
      <c r="A14" s="580" t="s">
        <v>277</v>
      </c>
      <c r="B14" s="581" t="s">
        <v>966</v>
      </c>
      <c r="C14" s="580" t="s">
        <v>967</v>
      </c>
      <c r="D14" s="581" t="s">
        <v>109</v>
      </c>
      <c r="E14" s="581" t="s">
        <v>979</v>
      </c>
      <c r="F14" s="582" t="s">
        <v>974</v>
      </c>
      <c r="G14" s="581" t="s">
        <v>919</v>
      </c>
      <c r="H14" s="583" t="s">
        <v>77</v>
      </c>
      <c r="I14" s="586"/>
      <c r="J14" s="583" t="s">
        <v>1023</v>
      </c>
      <c r="K14" s="589">
        <v>100</v>
      </c>
      <c r="L14" s="587"/>
      <c r="M14" s="571">
        <v>7</v>
      </c>
      <c r="N14" s="571">
        <v>3</v>
      </c>
      <c r="O14" s="566">
        <f t="shared" si="0"/>
        <v>0.42857142857142855</v>
      </c>
      <c r="P14" s="567">
        <f t="shared" si="1"/>
        <v>0.42857142857142855</v>
      </c>
      <c r="Q14" s="568">
        <f t="shared" si="2"/>
        <v>0.42857142857142855</v>
      </c>
      <c r="R14" s="687" t="s">
        <v>1954</v>
      </c>
      <c r="W14" s="30"/>
      <c r="X14" s="30"/>
      <c r="Y14" s="30"/>
    </row>
    <row r="15" spans="1:25" ht="25.5" x14ac:dyDescent="0.2">
      <c r="A15" s="580" t="s">
        <v>277</v>
      </c>
      <c r="B15" s="581" t="s">
        <v>966</v>
      </c>
      <c r="C15" s="580" t="s">
        <v>967</v>
      </c>
      <c r="D15" s="581" t="s">
        <v>109</v>
      </c>
      <c r="E15" s="581" t="s">
        <v>980</v>
      </c>
      <c r="F15" s="582" t="s">
        <v>974</v>
      </c>
      <c r="G15" s="581" t="s">
        <v>925</v>
      </c>
      <c r="H15" s="583" t="s">
        <v>77</v>
      </c>
      <c r="I15" s="586"/>
      <c r="J15" s="583" t="s">
        <v>1023</v>
      </c>
      <c r="K15" s="589">
        <v>25</v>
      </c>
      <c r="L15" s="587"/>
      <c r="M15" s="571">
        <v>7</v>
      </c>
      <c r="N15" s="571">
        <v>0</v>
      </c>
      <c r="O15" s="566">
        <f t="shared" si="0"/>
        <v>0</v>
      </c>
      <c r="P15" s="567">
        <f t="shared" si="1"/>
        <v>0</v>
      </c>
      <c r="Q15" s="568">
        <f t="shared" si="2"/>
        <v>0</v>
      </c>
      <c r="R15" s="687" t="s">
        <v>1954</v>
      </c>
      <c r="W15" s="30"/>
      <c r="X15" s="30"/>
      <c r="Y15" s="30"/>
    </row>
    <row r="16" spans="1:25" ht="25.5" x14ac:dyDescent="0.2">
      <c r="A16" s="580" t="s">
        <v>277</v>
      </c>
      <c r="B16" s="581" t="s">
        <v>966</v>
      </c>
      <c r="C16" s="580" t="s">
        <v>967</v>
      </c>
      <c r="D16" s="581" t="s">
        <v>109</v>
      </c>
      <c r="E16" s="581" t="s">
        <v>981</v>
      </c>
      <c r="F16" s="582" t="s">
        <v>974</v>
      </c>
      <c r="G16" s="581" t="s">
        <v>925</v>
      </c>
      <c r="H16" s="583" t="s">
        <v>77</v>
      </c>
      <c r="I16" s="586"/>
      <c r="J16" s="583" t="s">
        <v>1023</v>
      </c>
      <c r="K16" s="589">
        <v>25</v>
      </c>
      <c r="L16" s="587"/>
      <c r="M16" s="571">
        <v>7</v>
      </c>
      <c r="N16" s="571">
        <v>0</v>
      </c>
      <c r="O16" s="566">
        <f t="shared" si="0"/>
        <v>0</v>
      </c>
      <c r="P16" s="567">
        <f t="shared" si="1"/>
        <v>0</v>
      </c>
      <c r="Q16" s="568">
        <f t="shared" si="2"/>
        <v>0</v>
      </c>
      <c r="R16" s="687" t="s">
        <v>1954</v>
      </c>
      <c r="W16" s="30"/>
      <c r="X16" s="30"/>
      <c r="Y16" s="30"/>
    </row>
    <row r="17" spans="1:25" x14ac:dyDescent="0.2">
      <c r="A17" s="580" t="s">
        <v>277</v>
      </c>
      <c r="B17" s="581" t="s">
        <v>966</v>
      </c>
      <c r="C17" s="580" t="s">
        <v>967</v>
      </c>
      <c r="D17" s="581" t="s">
        <v>109</v>
      </c>
      <c r="E17" s="581" t="s">
        <v>982</v>
      </c>
      <c r="F17" s="590" t="s">
        <v>983</v>
      </c>
      <c r="G17" s="581" t="s">
        <v>919</v>
      </c>
      <c r="H17" s="583" t="s">
        <v>77</v>
      </c>
      <c r="I17" s="586"/>
      <c r="J17" s="583" t="s">
        <v>1023</v>
      </c>
      <c r="K17" s="589">
        <v>100</v>
      </c>
      <c r="L17" s="587"/>
      <c r="M17" s="571">
        <v>7</v>
      </c>
      <c r="N17" s="571">
        <v>3</v>
      </c>
      <c r="O17" s="566">
        <f t="shared" si="0"/>
        <v>0.42857142857142855</v>
      </c>
      <c r="P17" s="567">
        <f t="shared" si="1"/>
        <v>0.42857142857142855</v>
      </c>
      <c r="Q17" s="568">
        <f t="shared" si="2"/>
        <v>0.42857142857142855</v>
      </c>
      <c r="R17" s="687" t="s">
        <v>1954</v>
      </c>
      <c r="W17" s="30"/>
      <c r="X17" s="30"/>
      <c r="Y17" s="30"/>
    </row>
    <row r="18" spans="1:25" x14ac:dyDescent="0.2">
      <c r="A18" s="580" t="s">
        <v>277</v>
      </c>
      <c r="B18" s="581" t="s">
        <v>966</v>
      </c>
      <c r="C18" s="580" t="s">
        <v>967</v>
      </c>
      <c r="D18" s="581" t="s">
        <v>109</v>
      </c>
      <c r="E18" s="581" t="s">
        <v>984</v>
      </c>
      <c r="F18" s="590" t="s">
        <v>983</v>
      </c>
      <c r="G18" s="581" t="s">
        <v>919</v>
      </c>
      <c r="H18" s="583" t="s">
        <v>77</v>
      </c>
      <c r="I18" s="586"/>
      <c r="J18" s="583" t="s">
        <v>1023</v>
      </c>
      <c r="K18" s="589">
        <v>100</v>
      </c>
      <c r="L18" s="587"/>
      <c r="M18" s="571">
        <v>7</v>
      </c>
      <c r="N18" s="571">
        <v>3</v>
      </c>
      <c r="O18" s="566">
        <f t="shared" si="0"/>
        <v>0.42857142857142855</v>
      </c>
      <c r="P18" s="567">
        <f t="shared" si="1"/>
        <v>0.42857142857142855</v>
      </c>
      <c r="Q18" s="568">
        <f t="shared" si="2"/>
        <v>0.42857142857142855</v>
      </c>
      <c r="R18" s="687" t="s">
        <v>1954</v>
      </c>
      <c r="W18" s="30"/>
      <c r="X18" s="30"/>
      <c r="Y18" s="30"/>
    </row>
    <row r="19" spans="1:25" ht="25.5" x14ac:dyDescent="0.2">
      <c r="A19" s="580" t="s">
        <v>277</v>
      </c>
      <c r="B19" s="581" t="s">
        <v>966</v>
      </c>
      <c r="C19" s="580" t="s">
        <v>967</v>
      </c>
      <c r="D19" s="581" t="s">
        <v>109</v>
      </c>
      <c r="E19" s="581" t="s">
        <v>985</v>
      </c>
      <c r="F19" s="590" t="s">
        <v>970</v>
      </c>
      <c r="G19" s="581" t="s">
        <v>925</v>
      </c>
      <c r="H19" s="583" t="s">
        <v>77</v>
      </c>
      <c r="I19" s="586"/>
      <c r="J19" s="583" t="s">
        <v>1023</v>
      </c>
      <c r="K19" s="589">
        <v>33</v>
      </c>
      <c r="L19" s="587"/>
      <c r="M19" s="571">
        <v>7</v>
      </c>
      <c r="N19" s="571">
        <v>4</v>
      </c>
      <c r="O19" s="566">
        <f t="shared" si="0"/>
        <v>0.5714285714285714</v>
      </c>
      <c r="P19" s="567">
        <f t="shared" si="1"/>
        <v>1.7316017316017316</v>
      </c>
      <c r="Q19" s="568">
        <f t="shared" si="2"/>
        <v>1.7316017316017316</v>
      </c>
      <c r="R19" s="687" t="s">
        <v>1954</v>
      </c>
      <c r="W19" s="30"/>
      <c r="X19" s="30"/>
      <c r="Y19" s="30"/>
    </row>
    <row r="20" spans="1:25" ht="25.5" x14ac:dyDescent="0.2">
      <c r="A20" s="580" t="s">
        <v>277</v>
      </c>
      <c r="B20" s="581" t="s">
        <v>966</v>
      </c>
      <c r="C20" s="580" t="s">
        <v>967</v>
      </c>
      <c r="D20" s="581" t="s">
        <v>109</v>
      </c>
      <c r="E20" s="581" t="s">
        <v>986</v>
      </c>
      <c r="F20" s="590" t="s">
        <v>970</v>
      </c>
      <c r="G20" s="581" t="s">
        <v>925</v>
      </c>
      <c r="H20" s="583" t="s">
        <v>77</v>
      </c>
      <c r="I20" s="586"/>
      <c r="J20" s="583" t="s">
        <v>1023</v>
      </c>
      <c r="K20" s="589">
        <v>33</v>
      </c>
      <c r="L20" s="587"/>
      <c r="M20" s="571">
        <v>7</v>
      </c>
      <c r="N20" s="571">
        <v>4</v>
      </c>
      <c r="O20" s="566">
        <f t="shared" si="0"/>
        <v>0.5714285714285714</v>
      </c>
      <c r="P20" s="567">
        <f t="shared" si="1"/>
        <v>1.7316017316017316</v>
      </c>
      <c r="Q20" s="568">
        <f t="shared" si="2"/>
        <v>1.7316017316017316</v>
      </c>
      <c r="R20" s="687" t="s">
        <v>1954</v>
      </c>
      <c r="W20" s="30"/>
      <c r="X20" s="30"/>
      <c r="Y20" s="30"/>
    </row>
    <row r="21" spans="1:25" ht="25.5" x14ac:dyDescent="0.2">
      <c r="A21" s="580" t="s">
        <v>277</v>
      </c>
      <c r="B21" s="581" t="s">
        <v>966</v>
      </c>
      <c r="C21" s="580" t="s">
        <v>967</v>
      </c>
      <c r="D21" s="581" t="s">
        <v>109</v>
      </c>
      <c r="E21" s="581" t="s">
        <v>987</v>
      </c>
      <c r="F21" s="590" t="s">
        <v>970</v>
      </c>
      <c r="G21" s="581" t="s">
        <v>925</v>
      </c>
      <c r="H21" s="583" t="s">
        <v>77</v>
      </c>
      <c r="I21" s="591"/>
      <c r="J21" s="583" t="s">
        <v>1023</v>
      </c>
      <c r="K21" s="589">
        <v>33</v>
      </c>
      <c r="L21" s="587"/>
      <c r="M21" s="571">
        <v>7</v>
      </c>
      <c r="N21" s="571">
        <v>4</v>
      </c>
      <c r="O21" s="566">
        <f t="shared" si="0"/>
        <v>0.5714285714285714</v>
      </c>
      <c r="P21" s="567">
        <f t="shared" si="1"/>
        <v>1.7316017316017316</v>
      </c>
      <c r="Q21" s="568">
        <f t="shared" si="2"/>
        <v>1.7316017316017316</v>
      </c>
      <c r="R21" s="687" t="s">
        <v>1954</v>
      </c>
      <c r="W21" s="30"/>
      <c r="X21" s="30"/>
      <c r="Y21" s="30"/>
    </row>
    <row r="22" spans="1:25" ht="25.5" x14ac:dyDescent="0.2">
      <c r="A22" s="580" t="s">
        <v>277</v>
      </c>
      <c r="B22" s="581" t="s">
        <v>966</v>
      </c>
      <c r="C22" s="580" t="s">
        <v>967</v>
      </c>
      <c r="D22" s="581" t="s">
        <v>109</v>
      </c>
      <c r="E22" s="581" t="s">
        <v>988</v>
      </c>
      <c r="F22" s="590" t="s">
        <v>970</v>
      </c>
      <c r="G22" s="581" t="s">
        <v>925</v>
      </c>
      <c r="H22" s="583" t="s">
        <v>77</v>
      </c>
      <c r="I22" s="591"/>
      <c r="J22" s="583" t="s">
        <v>1023</v>
      </c>
      <c r="K22" s="589">
        <v>33</v>
      </c>
      <c r="L22" s="587"/>
      <c r="M22" s="571">
        <v>7</v>
      </c>
      <c r="N22" s="571">
        <v>4</v>
      </c>
      <c r="O22" s="566">
        <f t="shared" si="0"/>
        <v>0.5714285714285714</v>
      </c>
      <c r="P22" s="567">
        <f t="shared" si="1"/>
        <v>1.7316017316017316</v>
      </c>
      <c r="Q22" s="568">
        <f t="shared" si="2"/>
        <v>1.7316017316017316</v>
      </c>
      <c r="R22" s="687" t="s">
        <v>1954</v>
      </c>
      <c r="W22" s="273"/>
      <c r="X22" s="273"/>
      <c r="Y22" s="273"/>
    </row>
    <row r="23" spans="1:25" ht="25.5" x14ac:dyDescent="0.2">
      <c r="A23" s="580" t="s">
        <v>277</v>
      </c>
      <c r="B23" s="581" t="s">
        <v>966</v>
      </c>
      <c r="C23" s="580" t="s">
        <v>967</v>
      </c>
      <c r="D23" s="581" t="s">
        <v>109</v>
      </c>
      <c r="E23" s="581" t="s">
        <v>989</v>
      </c>
      <c r="F23" s="590" t="s">
        <v>970</v>
      </c>
      <c r="G23" s="581" t="s">
        <v>925</v>
      </c>
      <c r="H23" s="583" t="s">
        <v>77</v>
      </c>
      <c r="I23" s="591"/>
      <c r="J23" s="583" t="s">
        <v>1023</v>
      </c>
      <c r="K23" s="589">
        <v>33</v>
      </c>
      <c r="L23" s="587"/>
      <c r="M23" s="571">
        <v>7</v>
      </c>
      <c r="N23" s="571">
        <v>4</v>
      </c>
      <c r="O23" s="566">
        <f t="shared" si="0"/>
        <v>0.5714285714285714</v>
      </c>
      <c r="P23" s="567">
        <f t="shared" si="1"/>
        <v>1.7316017316017316</v>
      </c>
      <c r="Q23" s="568">
        <f t="shared" si="2"/>
        <v>1.7316017316017316</v>
      </c>
      <c r="R23" s="687" t="s">
        <v>1954</v>
      </c>
      <c r="W23" s="273"/>
      <c r="X23" s="273"/>
      <c r="Y23" s="273"/>
    </row>
    <row r="24" spans="1:25" ht="25.5" x14ac:dyDescent="0.2">
      <c r="A24" s="580" t="s">
        <v>277</v>
      </c>
      <c r="B24" s="581" t="s">
        <v>966</v>
      </c>
      <c r="C24" s="580" t="s">
        <v>967</v>
      </c>
      <c r="D24" s="581" t="s">
        <v>109</v>
      </c>
      <c r="E24" s="581" t="s">
        <v>990</v>
      </c>
      <c r="F24" s="590" t="s">
        <v>970</v>
      </c>
      <c r="G24" s="581" t="s">
        <v>925</v>
      </c>
      <c r="H24" s="583" t="s">
        <v>77</v>
      </c>
      <c r="I24" s="591"/>
      <c r="J24" s="583" t="s">
        <v>1023</v>
      </c>
      <c r="K24" s="589">
        <v>33</v>
      </c>
      <c r="L24" s="587"/>
      <c r="M24" s="571">
        <v>7</v>
      </c>
      <c r="N24" s="571">
        <v>4</v>
      </c>
      <c r="O24" s="566">
        <f t="shared" si="0"/>
        <v>0.5714285714285714</v>
      </c>
      <c r="P24" s="567">
        <f t="shared" si="1"/>
        <v>1.7316017316017316</v>
      </c>
      <c r="Q24" s="568">
        <f t="shared" si="2"/>
        <v>1.7316017316017316</v>
      </c>
      <c r="R24" s="687" t="s">
        <v>1954</v>
      </c>
      <c r="W24" s="273"/>
      <c r="X24" s="273"/>
      <c r="Y24" s="273"/>
    </row>
    <row r="25" spans="1:25" x14ac:dyDescent="0.2">
      <c r="A25" s="580" t="s">
        <v>277</v>
      </c>
      <c r="B25" s="581" t="s">
        <v>966</v>
      </c>
      <c r="C25" s="580" t="s">
        <v>967</v>
      </c>
      <c r="D25" s="581" t="s">
        <v>109</v>
      </c>
      <c r="E25" s="581" t="s">
        <v>991</v>
      </c>
      <c r="F25" s="590" t="s">
        <v>974</v>
      </c>
      <c r="G25" s="581" t="s">
        <v>919</v>
      </c>
      <c r="H25" s="583" t="s">
        <v>77</v>
      </c>
      <c r="I25" s="592"/>
      <c r="J25" s="583" t="s">
        <v>1023</v>
      </c>
      <c r="K25" s="589">
        <v>100</v>
      </c>
      <c r="L25" s="587"/>
      <c r="M25" s="571">
        <v>7</v>
      </c>
      <c r="N25" s="571">
        <v>3</v>
      </c>
      <c r="O25" s="566">
        <f t="shared" si="0"/>
        <v>0.42857142857142855</v>
      </c>
      <c r="P25" s="567">
        <f t="shared" si="1"/>
        <v>0.42857142857142855</v>
      </c>
      <c r="Q25" s="568">
        <f t="shared" si="2"/>
        <v>0.42857142857142855</v>
      </c>
      <c r="R25" s="687" t="s">
        <v>1954</v>
      </c>
      <c r="W25" s="273"/>
      <c r="X25" s="273"/>
      <c r="Y25" s="273"/>
    </row>
    <row r="26" spans="1:25" x14ac:dyDescent="0.2">
      <c r="A26" s="580" t="s">
        <v>277</v>
      </c>
      <c r="B26" s="581" t="s">
        <v>966</v>
      </c>
      <c r="C26" s="580" t="s">
        <v>967</v>
      </c>
      <c r="D26" s="581" t="s">
        <v>109</v>
      </c>
      <c r="E26" s="581" t="s">
        <v>992</v>
      </c>
      <c r="F26" s="590" t="s">
        <v>974</v>
      </c>
      <c r="G26" s="581" t="s">
        <v>919</v>
      </c>
      <c r="H26" s="583" t="s">
        <v>77</v>
      </c>
      <c r="I26" s="591"/>
      <c r="J26" s="583" t="s">
        <v>1023</v>
      </c>
      <c r="K26" s="589">
        <v>100</v>
      </c>
      <c r="L26" s="587"/>
      <c r="M26" s="571">
        <v>7</v>
      </c>
      <c r="N26" s="571">
        <v>3</v>
      </c>
      <c r="O26" s="566">
        <f t="shared" si="0"/>
        <v>0.42857142857142855</v>
      </c>
      <c r="P26" s="567">
        <f t="shared" si="1"/>
        <v>0.42857142857142855</v>
      </c>
      <c r="Q26" s="568">
        <f t="shared" si="2"/>
        <v>0.42857142857142855</v>
      </c>
      <c r="R26" s="687" t="s">
        <v>1954</v>
      </c>
    </row>
    <row r="27" spans="1:25" ht="25.5" x14ac:dyDescent="0.2">
      <c r="A27" s="580" t="s">
        <v>277</v>
      </c>
      <c r="B27" s="581" t="s">
        <v>966</v>
      </c>
      <c r="C27" s="580" t="s">
        <v>967</v>
      </c>
      <c r="D27" s="581" t="s">
        <v>109</v>
      </c>
      <c r="E27" s="581" t="s">
        <v>993</v>
      </c>
      <c r="F27" s="590" t="s">
        <v>974</v>
      </c>
      <c r="G27" s="581" t="s">
        <v>919</v>
      </c>
      <c r="H27" s="583" t="s">
        <v>77</v>
      </c>
      <c r="I27" s="591"/>
      <c r="J27" s="583" t="s">
        <v>1023</v>
      </c>
      <c r="K27" s="589">
        <v>100</v>
      </c>
      <c r="L27" s="587"/>
      <c r="M27" s="571">
        <v>7</v>
      </c>
      <c r="N27" s="571">
        <v>3</v>
      </c>
      <c r="O27" s="566">
        <f t="shared" si="0"/>
        <v>0.42857142857142855</v>
      </c>
      <c r="P27" s="567">
        <f t="shared" si="1"/>
        <v>0.42857142857142855</v>
      </c>
      <c r="Q27" s="568">
        <f t="shared" si="2"/>
        <v>0.42857142857142855</v>
      </c>
      <c r="R27" s="687" t="s">
        <v>1954</v>
      </c>
    </row>
    <row r="28" spans="1:25" ht="25.5" x14ac:dyDescent="0.2">
      <c r="A28" s="580" t="s">
        <v>277</v>
      </c>
      <c r="B28" s="581" t="s">
        <v>966</v>
      </c>
      <c r="C28" s="580" t="s">
        <v>967</v>
      </c>
      <c r="D28" s="581" t="s">
        <v>109</v>
      </c>
      <c r="E28" s="581" t="s">
        <v>994</v>
      </c>
      <c r="F28" s="582" t="s">
        <v>969</v>
      </c>
      <c r="G28" s="581" t="s">
        <v>919</v>
      </c>
      <c r="H28" s="583" t="s">
        <v>77</v>
      </c>
      <c r="I28" s="591"/>
      <c r="J28" s="583" t="s">
        <v>1023</v>
      </c>
      <c r="K28" s="589">
        <v>100</v>
      </c>
      <c r="L28" s="585" t="s">
        <v>1024</v>
      </c>
      <c r="M28" s="571">
        <v>7</v>
      </c>
      <c r="N28" s="571">
        <v>3</v>
      </c>
      <c r="O28" s="566">
        <f t="shared" si="0"/>
        <v>0.42857142857142855</v>
      </c>
      <c r="P28" s="567">
        <f t="shared" si="1"/>
        <v>0.42857142857142855</v>
      </c>
      <c r="Q28" s="568">
        <f t="shared" si="2"/>
        <v>0.42857142857142855</v>
      </c>
      <c r="R28" s="687" t="s">
        <v>1954</v>
      </c>
    </row>
    <row r="29" spans="1:25" ht="25.5" x14ac:dyDescent="0.2">
      <c r="A29" s="580" t="s">
        <v>277</v>
      </c>
      <c r="B29" s="581" t="s">
        <v>966</v>
      </c>
      <c r="C29" s="580" t="s">
        <v>967</v>
      </c>
      <c r="D29" s="581" t="s">
        <v>109</v>
      </c>
      <c r="E29" s="581" t="s">
        <v>994</v>
      </c>
      <c r="F29" s="582" t="s">
        <v>970</v>
      </c>
      <c r="G29" s="581" t="s">
        <v>925</v>
      </c>
      <c r="H29" s="583" t="s">
        <v>77</v>
      </c>
      <c r="I29" s="591"/>
      <c r="J29" s="583" t="s">
        <v>1023</v>
      </c>
      <c r="K29" s="589">
        <v>33</v>
      </c>
      <c r="L29" s="587"/>
      <c r="M29" s="571">
        <v>7</v>
      </c>
      <c r="N29" s="571">
        <v>3</v>
      </c>
      <c r="O29" s="566">
        <f t="shared" si="0"/>
        <v>0.42857142857142855</v>
      </c>
      <c r="P29" s="567">
        <f t="shared" si="1"/>
        <v>1.2987012987012987</v>
      </c>
      <c r="Q29" s="568">
        <f t="shared" si="2"/>
        <v>1.2987012987012987</v>
      </c>
      <c r="R29" s="687" t="s">
        <v>1954</v>
      </c>
    </row>
    <row r="30" spans="1:25" ht="25.5" x14ac:dyDescent="0.2">
      <c r="A30" s="580" t="s">
        <v>277</v>
      </c>
      <c r="B30" s="581" t="s">
        <v>966</v>
      </c>
      <c r="C30" s="580" t="s">
        <v>967</v>
      </c>
      <c r="D30" s="581" t="s">
        <v>109</v>
      </c>
      <c r="E30" s="581" t="s">
        <v>995</v>
      </c>
      <c r="F30" s="590" t="s">
        <v>974</v>
      </c>
      <c r="G30" s="581" t="s">
        <v>925</v>
      </c>
      <c r="H30" s="583" t="s">
        <v>77</v>
      </c>
      <c r="I30" s="513"/>
      <c r="J30" s="583" t="s">
        <v>1023</v>
      </c>
      <c r="K30" s="589">
        <v>25</v>
      </c>
      <c r="L30" s="587"/>
      <c r="M30" s="571">
        <v>7</v>
      </c>
      <c r="N30" s="571">
        <v>0</v>
      </c>
      <c r="O30" s="566">
        <f t="shared" si="0"/>
        <v>0</v>
      </c>
      <c r="P30" s="567">
        <f t="shared" si="1"/>
        <v>0</v>
      </c>
      <c r="Q30" s="568">
        <f t="shared" si="2"/>
        <v>0</v>
      </c>
      <c r="R30" s="687" t="s">
        <v>1954</v>
      </c>
    </row>
    <row r="31" spans="1:25" ht="38.25" x14ac:dyDescent="0.2">
      <c r="A31" s="580" t="s">
        <v>277</v>
      </c>
      <c r="B31" s="581" t="s">
        <v>966</v>
      </c>
      <c r="C31" s="580" t="s">
        <v>967</v>
      </c>
      <c r="D31" s="581" t="s">
        <v>109</v>
      </c>
      <c r="E31" s="581" t="s">
        <v>996</v>
      </c>
      <c r="F31" s="590" t="s">
        <v>974</v>
      </c>
      <c r="G31" s="581" t="s">
        <v>925</v>
      </c>
      <c r="H31" s="583" t="s">
        <v>77</v>
      </c>
      <c r="I31" s="513"/>
      <c r="J31" s="583" t="s">
        <v>1023</v>
      </c>
      <c r="K31" s="589">
        <v>25</v>
      </c>
      <c r="L31" s="587"/>
      <c r="M31" s="571">
        <v>7</v>
      </c>
      <c r="N31" s="571">
        <v>0</v>
      </c>
      <c r="O31" s="566">
        <f t="shared" si="0"/>
        <v>0</v>
      </c>
      <c r="P31" s="567">
        <f t="shared" si="1"/>
        <v>0</v>
      </c>
      <c r="Q31" s="568">
        <f t="shared" si="2"/>
        <v>0</v>
      </c>
      <c r="R31" s="687" t="s">
        <v>1954</v>
      </c>
    </row>
    <row r="32" spans="1:25" ht="38.25" x14ac:dyDescent="0.2">
      <c r="A32" s="580" t="s">
        <v>277</v>
      </c>
      <c r="B32" s="581" t="s">
        <v>966</v>
      </c>
      <c r="C32" s="580" t="s">
        <v>967</v>
      </c>
      <c r="D32" s="581" t="s">
        <v>109</v>
      </c>
      <c r="E32" s="581" t="s">
        <v>997</v>
      </c>
      <c r="F32" s="590" t="s">
        <v>974</v>
      </c>
      <c r="G32" s="581" t="s">
        <v>919</v>
      </c>
      <c r="H32" s="583" t="s">
        <v>77</v>
      </c>
      <c r="I32" s="513"/>
      <c r="J32" s="583" t="s">
        <v>1023</v>
      </c>
      <c r="K32" s="589">
        <v>100</v>
      </c>
      <c r="L32" s="587"/>
      <c r="M32" s="571">
        <v>7</v>
      </c>
      <c r="N32" s="571">
        <v>3</v>
      </c>
      <c r="O32" s="566">
        <f t="shared" si="0"/>
        <v>0.42857142857142855</v>
      </c>
      <c r="P32" s="567">
        <f t="shared" si="1"/>
        <v>0.42857142857142855</v>
      </c>
      <c r="Q32" s="568">
        <f t="shared" si="2"/>
        <v>0.42857142857142855</v>
      </c>
      <c r="R32" s="687" t="s">
        <v>1954</v>
      </c>
    </row>
    <row r="33" spans="1:18" x14ac:dyDescent="0.2">
      <c r="A33" s="580" t="s">
        <v>277</v>
      </c>
      <c r="B33" s="581" t="s">
        <v>966</v>
      </c>
      <c r="C33" s="580" t="s">
        <v>967</v>
      </c>
      <c r="D33" s="581" t="s">
        <v>946</v>
      </c>
      <c r="E33" s="581" t="s">
        <v>998</v>
      </c>
      <c r="F33" s="590" t="s">
        <v>974</v>
      </c>
      <c r="G33" s="581" t="s">
        <v>919</v>
      </c>
      <c r="H33" s="583" t="s">
        <v>77</v>
      </c>
      <c r="I33" s="513"/>
      <c r="J33" s="583" t="s">
        <v>1023</v>
      </c>
      <c r="K33" s="589">
        <v>100</v>
      </c>
      <c r="L33" s="587"/>
      <c r="M33" s="571">
        <v>7</v>
      </c>
      <c r="N33" s="571">
        <v>3</v>
      </c>
      <c r="O33" s="566">
        <f t="shared" si="0"/>
        <v>0.42857142857142855</v>
      </c>
      <c r="P33" s="567">
        <f t="shared" si="1"/>
        <v>0.42857142857142855</v>
      </c>
      <c r="Q33" s="568">
        <f t="shared" si="2"/>
        <v>0.42857142857142855</v>
      </c>
      <c r="R33" s="687" t="s">
        <v>1954</v>
      </c>
    </row>
    <row r="34" spans="1:18" x14ac:dyDescent="0.2">
      <c r="A34" s="580" t="s">
        <v>277</v>
      </c>
      <c r="B34" s="581" t="s">
        <v>966</v>
      </c>
      <c r="C34" s="580" t="s">
        <v>967</v>
      </c>
      <c r="D34" s="581" t="s">
        <v>946</v>
      </c>
      <c r="E34" s="581" t="s">
        <v>999</v>
      </c>
      <c r="F34" s="590" t="s">
        <v>974</v>
      </c>
      <c r="G34" s="581" t="s">
        <v>919</v>
      </c>
      <c r="H34" s="583" t="s">
        <v>77</v>
      </c>
      <c r="I34" s="513"/>
      <c r="J34" s="583" t="s">
        <v>1023</v>
      </c>
      <c r="K34" s="589">
        <v>100</v>
      </c>
      <c r="L34" s="587"/>
      <c r="M34" s="571">
        <v>7</v>
      </c>
      <c r="N34" s="571">
        <v>3</v>
      </c>
      <c r="O34" s="566">
        <f t="shared" si="0"/>
        <v>0.42857142857142855</v>
      </c>
      <c r="P34" s="567">
        <f t="shared" si="1"/>
        <v>0.42857142857142855</v>
      </c>
      <c r="Q34" s="568">
        <f t="shared" si="2"/>
        <v>0.42857142857142855</v>
      </c>
      <c r="R34" s="687" t="s">
        <v>1954</v>
      </c>
    </row>
    <row r="35" spans="1:18" ht="25.5" x14ac:dyDescent="0.2">
      <c r="A35" s="580" t="s">
        <v>277</v>
      </c>
      <c r="B35" s="581" t="s">
        <v>966</v>
      </c>
      <c r="C35" s="580" t="s">
        <v>967</v>
      </c>
      <c r="D35" s="581" t="s">
        <v>946</v>
      </c>
      <c r="E35" s="581" t="s">
        <v>1000</v>
      </c>
      <c r="F35" s="590" t="s">
        <v>974</v>
      </c>
      <c r="G35" s="581" t="s">
        <v>925</v>
      </c>
      <c r="H35" s="583" t="s">
        <v>77</v>
      </c>
      <c r="I35" s="513"/>
      <c r="J35" s="583" t="s">
        <v>1023</v>
      </c>
      <c r="K35" s="589">
        <v>25</v>
      </c>
      <c r="L35" s="587"/>
      <c r="M35" s="571">
        <v>7</v>
      </c>
      <c r="N35" s="571">
        <v>0</v>
      </c>
      <c r="O35" s="566">
        <f t="shared" si="0"/>
        <v>0</v>
      </c>
      <c r="P35" s="567">
        <f t="shared" si="1"/>
        <v>0</v>
      </c>
      <c r="Q35" s="568">
        <f t="shared" si="2"/>
        <v>0</v>
      </c>
      <c r="R35" s="687" t="s">
        <v>1954</v>
      </c>
    </row>
    <row r="36" spans="1:18" ht="25.5" x14ac:dyDescent="0.2">
      <c r="A36" s="580" t="s">
        <v>277</v>
      </c>
      <c r="B36" s="581" t="s">
        <v>966</v>
      </c>
      <c r="C36" s="580" t="s">
        <v>967</v>
      </c>
      <c r="D36" s="581" t="s">
        <v>946</v>
      </c>
      <c r="E36" s="581" t="s">
        <v>1001</v>
      </c>
      <c r="F36" s="590" t="s">
        <v>974</v>
      </c>
      <c r="G36" s="581" t="s">
        <v>925</v>
      </c>
      <c r="H36" s="583" t="s">
        <v>77</v>
      </c>
      <c r="I36" s="513"/>
      <c r="J36" s="583" t="s">
        <v>1023</v>
      </c>
      <c r="K36" s="589">
        <v>25</v>
      </c>
      <c r="L36" s="587"/>
      <c r="M36" s="571">
        <v>7</v>
      </c>
      <c r="N36" s="571">
        <v>0</v>
      </c>
      <c r="O36" s="566">
        <f t="shared" si="0"/>
        <v>0</v>
      </c>
      <c r="P36" s="567">
        <f t="shared" si="1"/>
        <v>0</v>
      </c>
      <c r="Q36" s="568">
        <f t="shared" si="2"/>
        <v>0</v>
      </c>
      <c r="R36" s="687" t="s">
        <v>1954</v>
      </c>
    </row>
    <row r="37" spans="1:18" ht="25.5" x14ac:dyDescent="0.2">
      <c r="A37" s="580" t="s">
        <v>277</v>
      </c>
      <c r="B37" s="581" t="s">
        <v>966</v>
      </c>
      <c r="C37" s="580" t="s">
        <v>967</v>
      </c>
      <c r="D37" s="581" t="s">
        <v>946</v>
      </c>
      <c r="E37" s="581" t="s">
        <v>1002</v>
      </c>
      <c r="F37" s="590" t="s">
        <v>974</v>
      </c>
      <c r="G37" s="581" t="s">
        <v>925</v>
      </c>
      <c r="H37" s="583" t="s">
        <v>77</v>
      </c>
      <c r="I37" s="513"/>
      <c r="J37" s="583" t="s">
        <v>1023</v>
      </c>
      <c r="K37" s="589">
        <v>25</v>
      </c>
      <c r="L37" s="587"/>
      <c r="M37" s="571">
        <v>7</v>
      </c>
      <c r="N37" s="571">
        <v>0</v>
      </c>
      <c r="O37" s="566">
        <f t="shared" si="0"/>
        <v>0</v>
      </c>
      <c r="P37" s="567">
        <f t="shared" si="1"/>
        <v>0</v>
      </c>
      <c r="Q37" s="568">
        <f t="shared" si="2"/>
        <v>0</v>
      </c>
      <c r="R37" s="687" t="s">
        <v>1954</v>
      </c>
    </row>
    <row r="38" spans="1:18" ht="25.5" x14ac:dyDescent="0.2">
      <c r="A38" s="580" t="s">
        <v>277</v>
      </c>
      <c r="B38" s="581" t="s">
        <v>966</v>
      </c>
      <c r="C38" s="580" t="s">
        <v>967</v>
      </c>
      <c r="D38" s="581" t="s">
        <v>946</v>
      </c>
      <c r="E38" s="581" t="s">
        <v>1003</v>
      </c>
      <c r="F38" s="590" t="s">
        <v>974</v>
      </c>
      <c r="G38" s="581" t="s">
        <v>925</v>
      </c>
      <c r="H38" s="583" t="s">
        <v>77</v>
      </c>
      <c r="I38" s="513"/>
      <c r="J38" s="583" t="s">
        <v>1023</v>
      </c>
      <c r="K38" s="589">
        <v>25</v>
      </c>
      <c r="L38" s="587"/>
      <c r="M38" s="571">
        <v>7</v>
      </c>
      <c r="N38" s="571">
        <v>0</v>
      </c>
      <c r="O38" s="566">
        <f t="shared" si="0"/>
        <v>0</v>
      </c>
      <c r="P38" s="567">
        <f t="shared" si="1"/>
        <v>0</v>
      </c>
      <c r="Q38" s="568">
        <f t="shared" si="2"/>
        <v>0</v>
      </c>
      <c r="R38" s="687" t="s">
        <v>1954</v>
      </c>
    </row>
    <row r="39" spans="1:18" ht="25.5" x14ac:dyDescent="0.2">
      <c r="A39" s="580" t="s">
        <v>277</v>
      </c>
      <c r="B39" s="581" t="s">
        <v>966</v>
      </c>
      <c r="C39" s="580" t="s">
        <v>967</v>
      </c>
      <c r="D39" s="581" t="s">
        <v>946</v>
      </c>
      <c r="E39" s="581" t="s">
        <v>1004</v>
      </c>
      <c r="F39" s="582" t="s">
        <v>974</v>
      </c>
      <c r="G39" s="581" t="s">
        <v>919</v>
      </c>
      <c r="H39" s="583" t="s">
        <v>77</v>
      </c>
      <c r="I39" s="513"/>
      <c r="J39" s="583" t="s">
        <v>1023</v>
      </c>
      <c r="K39" s="589">
        <v>100</v>
      </c>
      <c r="L39" s="587"/>
      <c r="M39" s="571">
        <v>7</v>
      </c>
      <c r="N39" s="571">
        <v>3</v>
      </c>
      <c r="O39" s="566">
        <f t="shared" si="0"/>
        <v>0.42857142857142855</v>
      </c>
      <c r="P39" s="567">
        <f t="shared" si="1"/>
        <v>0.42857142857142855</v>
      </c>
      <c r="Q39" s="568">
        <f t="shared" si="2"/>
        <v>0.42857142857142855</v>
      </c>
      <c r="R39" s="687" t="s">
        <v>1954</v>
      </c>
    </row>
    <row r="40" spans="1:18" ht="25.5" x14ac:dyDescent="0.2">
      <c r="A40" s="580" t="s">
        <v>277</v>
      </c>
      <c r="B40" s="581" t="s">
        <v>966</v>
      </c>
      <c r="C40" s="580" t="s">
        <v>967</v>
      </c>
      <c r="D40" s="581" t="s">
        <v>946</v>
      </c>
      <c r="E40" s="581" t="s">
        <v>1004</v>
      </c>
      <c r="F40" s="582" t="s">
        <v>970</v>
      </c>
      <c r="G40" s="581" t="s">
        <v>1005</v>
      </c>
      <c r="H40" s="583" t="s">
        <v>77</v>
      </c>
      <c r="I40" s="513"/>
      <c r="J40" s="583" t="s">
        <v>1023</v>
      </c>
      <c r="K40" s="589">
        <v>33</v>
      </c>
      <c r="L40" s="587"/>
      <c r="M40" s="571">
        <v>7</v>
      </c>
      <c r="N40" s="571">
        <v>3</v>
      </c>
      <c r="O40" s="566">
        <f t="shared" si="0"/>
        <v>0.42857142857142855</v>
      </c>
      <c r="P40" s="567">
        <f t="shared" si="1"/>
        <v>1.2987012987012987</v>
      </c>
      <c r="Q40" s="568">
        <f t="shared" si="2"/>
        <v>1.2987012987012987</v>
      </c>
      <c r="R40" s="687" t="s">
        <v>1954</v>
      </c>
    </row>
    <row r="41" spans="1:18" ht="25.5" x14ac:dyDescent="0.2">
      <c r="A41" s="580" t="s">
        <v>277</v>
      </c>
      <c r="B41" s="581" t="s">
        <v>966</v>
      </c>
      <c r="C41" s="580" t="s">
        <v>967</v>
      </c>
      <c r="D41" s="581" t="s">
        <v>946</v>
      </c>
      <c r="E41" s="581" t="s">
        <v>954</v>
      </c>
      <c r="F41" s="582" t="s">
        <v>974</v>
      </c>
      <c r="G41" s="581" t="s">
        <v>1006</v>
      </c>
      <c r="H41" s="583" t="s">
        <v>77</v>
      </c>
      <c r="I41" s="513"/>
      <c r="J41" s="583" t="s">
        <v>1023</v>
      </c>
      <c r="K41" s="589">
        <v>100</v>
      </c>
      <c r="L41" s="585" t="s">
        <v>1024</v>
      </c>
      <c r="M41" s="571">
        <v>7</v>
      </c>
      <c r="N41" s="571">
        <v>3</v>
      </c>
      <c r="O41" s="566">
        <f t="shared" si="0"/>
        <v>0.42857142857142855</v>
      </c>
      <c r="P41" s="567">
        <f t="shared" si="1"/>
        <v>0.42857142857142855</v>
      </c>
      <c r="Q41" s="568">
        <f t="shared" si="2"/>
        <v>0.42857142857142855</v>
      </c>
      <c r="R41" s="687" t="s">
        <v>1954</v>
      </c>
    </row>
    <row r="42" spans="1:18" x14ac:dyDescent="0.2">
      <c r="A42" s="580" t="s">
        <v>277</v>
      </c>
      <c r="B42" s="581" t="s">
        <v>966</v>
      </c>
      <c r="C42" s="580" t="s">
        <v>967</v>
      </c>
      <c r="D42" s="581" t="s">
        <v>946</v>
      </c>
      <c r="E42" s="581" t="s">
        <v>954</v>
      </c>
      <c r="F42" s="582" t="s">
        <v>970</v>
      </c>
      <c r="G42" s="581" t="s">
        <v>1005</v>
      </c>
      <c r="H42" s="583" t="s">
        <v>77</v>
      </c>
      <c r="I42" s="513"/>
      <c r="J42" s="583" t="s">
        <v>1023</v>
      </c>
      <c r="K42" s="589">
        <v>33</v>
      </c>
      <c r="L42" s="587"/>
      <c r="M42" s="571">
        <v>7</v>
      </c>
      <c r="N42" s="571">
        <v>3</v>
      </c>
      <c r="O42" s="566">
        <f t="shared" si="0"/>
        <v>0.42857142857142855</v>
      </c>
      <c r="P42" s="567">
        <f t="shared" si="1"/>
        <v>1.2987012987012987</v>
      </c>
      <c r="Q42" s="568">
        <f t="shared" si="2"/>
        <v>1.2987012987012987</v>
      </c>
      <c r="R42" s="687" t="s">
        <v>1954</v>
      </c>
    </row>
    <row r="43" spans="1:18" ht="25.5" x14ac:dyDescent="0.2">
      <c r="A43" s="580" t="s">
        <v>277</v>
      </c>
      <c r="B43" s="581" t="s">
        <v>966</v>
      </c>
      <c r="C43" s="580" t="s">
        <v>967</v>
      </c>
      <c r="D43" s="581" t="s">
        <v>946</v>
      </c>
      <c r="E43" s="581" t="s">
        <v>1007</v>
      </c>
      <c r="F43" s="582" t="s">
        <v>974</v>
      </c>
      <c r="G43" s="581" t="s">
        <v>919</v>
      </c>
      <c r="H43" s="583" t="s">
        <v>77</v>
      </c>
      <c r="I43" s="513"/>
      <c r="J43" s="583" t="s">
        <v>1023</v>
      </c>
      <c r="K43" s="589">
        <v>100</v>
      </c>
      <c r="L43" s="587"/>
      <c r="M43" s="571">
        <v>7</v>
      </c>
      <c r="N43" s="571">
        <v>3</v>
      </c>
      <c r="O43" s="566">
        <f t="shared" si="0"/>
        <v>0.42857142857142855</v>
      </c>
      <c r="P43" s="567">
        <f t="shared" si="1"/>
        <v>0.42857142857142855</v>
      </c>
      <c r="Q43" s="568">
        <f t="shared" si="2"/>
        <v>0.42857142857142855</v>
      </c>
      <c r="R43" s="687" t="s">
        <v>1954</v>
      </c>
    </row>
    <row r="44" spans="1:18" ht="25.5" x14ac:dyDescent="0.2">
      <c r="A44" s="580" t="s">
        <v>277</v>
      </c>
      <c r="B44" s="581" t="s">
        <v>966</v>
      </c>
      <c r="C44" s="580" t="s">
        <v>967</v>
      </c>
      <c r="D44" s="581" t="s">
        <v>1008</v>
      </c>
      <c r="E44" s="593" t="s">
        <v>1007</v>
      </c>
      <c r="F44" s="582" t="s">
        <v>1009</v>
      </c>
      <c r="G44" s="581" t="s">
        <v>919</v>
      </c>
      <c r="H44" s="583" t="s">
        <v>77</v>
      </c>
      <c r="I44" s="513"/>
      <c r="J44" s="583" t="s">
        <v>1023</v>
      </c>
      <c r="K44" s="589">
        <v>100</v>
      </c>
      <c r="L44" s="587"/>
      <c r="M44" s="571">
        <v>7</v>
      </c>
      <c r="N44" s="571">
        <v>3</v>
      </c>
      <c r="O44" s="566">
        <f t="shared" si="0"/>
        <v>0.42857142857142855</v>
      </c>
      <c r="P44" s="567">
        <f t="shared" si="1"/>
        <v>0.42857142857142855</v>
      </c>
      <c r="Q44" s="568">
        <f t="shared" si="2"/>
        <v>0.42857142857142855</v>
      </c>
      <c r="R44" s="687" t="s">
        <v>1954</v>
      </c>
    </row>
    <row r="45" spans="1:18" x14ac:dyDescent="0.2">
      <c r="A45" s="580" t="s">
        <v>277</v>
      </c>
      <c r="B45" s="581" t="s">
        <v>966</v>
      </c>
      <c r="C45" s="580" t="s">
        <v>967</v>
      </c>
      <c r="D45" s="581" t="s">
        <v>1008</v>
      </c>
      <c r="E45" s="581" t="s">
        <v>1010</v>
      </c>
      <c r="F45" s="582" t="s">
        <v>974</v>
      </c>
      <c r="G45" s="581" t="s">
        <v>919</v>
      </c>
      <c r="H45" s="583" t="s">
        <v>77</v>
      </c>
      <c r="I45" s="513"/>
      <c r="J45" s="583" t="s">
        <v>1023</v>
      </c>
      <c r="K45" s="589">
        <v>100</v>
      </c>
      <c r="L45" s="587"/>
      <c r="M45" s="571">
        <v>7</v>
      </c>
      <c r="N45" s="571">
        <v>3</v>
      </c>
      <c r="O45" s="566">
        <f t="shared" si="0"/>
        <v>0.42857142857142855</v>
      </c>
      <c r="P45" s="567">
        <f t="shared" si="1"/>
        <v>0.42857142857142855</v>
      </c>
      <c r="Q45" s="568">
        <f t="shared" si="2"/>
        <v>0.42857142857142855</v>
      </c>
      <c r="R45" s="687" t="s">
        <v>1954</v>
      </c>
    </row>
    <row r="46" spans="1:18" ht="25.5" x14ac:dyDescent="0.2">
      <c r="A46" s="580" t="s">
        <v>277</v>
      </c>
      <c r="B46" s="581" t="s">
        <v>1011</v>
      </c>
      <c r="C46" s="580" t="s">
        <v>967</v>
      </c>
      <c r="D46" s="581" t="s">
        <v>109</v>
      </c>
      <c r="E46" s="581" t="s">
        <v>968</v>
      </c>
      <c r="F46" s="582" t="s">
        <v>969</v>
      </c>
      <c r="G46" s="581" t="s">
        <v>919</v>
      </c>
      <c r="H46" s="583" t="s">
        <v>77</v>
      </c>
      <c r="I46" s="513"/>
      <c r="J46" s="583" t="s">
        <v>1023</v>
      </c>
      <c r="K46" s="584">
        <v>100</v>
      </c>
      <c r="L46" s="585" t="s">
        <v>1024</v>
      </c>
      <c r="M46" s="571">
        <v>19</v>
      </c>
      <c r="N46" s="571">
        <v>19</v>
      </c>
      <c r="O46" s="566">
        <f t="shared" si="0"/>
        <v>1</v>
      </c>
      <c r="P46" s="567">
        <f t="shared" si="1"/>
        <v>1</v>
      </c>
      <c r="Q46" s="568">
        <f t="shared" si="2"/>
        <v>1</v>
      </c>
      <c r="R46" s="687" t="s">
        <v>1954</v>
      </c>
    </row>
    <row r="47" spans="1:18" x14ac:dyDescent="0.2">
      <c r="A47" s="580" t="s">
        <v>277</v>
      </c>
      <c r="B47" s="581" t="s">
        <v>1011</v>
      </c>
      <c r="C47" s="580" t="s">
        <v>967</v>
      </c>
      <c r="D47" s="581" t="s">
        <v>109</v>
      </c>
      <c r="E47" s="581" t="s">
        <v>968</v>
      </c>
      <c r="F47" s="582" t="s">
        <v>970</v>
      </c>
      <c r="G47" s="581" t="s">
        <v>971</v>
      </c>
      <c r="H47" s="583" t="s">
        <v>77</v>
      </c>
      <c r="I47" s="513"/>
      <c r="J47" s="583" t="s">
        <v>1023</v>
      </c>
      <c r="K47" s="584">
        <v>33</v>
      </c>
      <c r="L47" s="587"/>
      <c r="M47" s="571">
        <v>19</v>
      </c>
      <c r="N47" s="571">
        <v>19</v>
      </c>
      <c r="O47" s="566">
        <f t="shared" si="0"/>
        <v>1</v>
      </c>
      <c r="P47" s="567">
        <f t="shared" si="1"/>
        <v>3.0303030303030303</v>
      </c>
      <c r="Q47" s="568">
        <f t="shared" si="2"/>
        <v>3.0303030303030307</v>
      </c>
      <c r="R47" s="687" t="s">
        <v>1954</v>
      </c>
    </row>
    <row r="48" spans="1:18" ht="25.5" x14ac:dyDescent="0.2">
      <c r="A48" s="580" t="s">
        <v>277</v>
      </c>
      <c r="B48" s="581" t="s">
        <v>1011</v>
      </c>
      <c r="C48" s="580" t="s">
        <v>967</v>
      </c>
      <c r="D48" s="581" t="s">
        <v>109</v>
      </c>
      <c r="E48" s="581" t="s">
        <v>972</v>
      </c>
      <c r="F48" s="582" t="s">
        <v>969</v>
      </c>
      <c r="G48" s="581" t="s">
        <v>925</v>
      </c>
      <c r="H48" s="583" t="s">
        <v>77</v>
      </c>
      <c r="I48" s="513"/>
      <c r="J48" s="583" t="s">
        <v>1023</v>
      </c>
      <c r="K48" s="584">
        <v>25</v>
      </c>
      <c r="L48" s="587"/>
      <c r="M48" s="571">
        <v>19</v>
      </c>
      <c r="N48" s="571">
        <v>1</v>
      </c>
      <c r="O48" s="566">
        <f t="shared" si="0"/>
        <v>5.2631578947368418E-2</v>
      </c>
      <c r="P48" s="567">
        <f t="shared" si="1"/>
        <v>0.21052631578947367</v>
      </c>
      <c r="Q48" s="568">
        <f t="shared" si="2"/>
        <v>0.21052631578947367</v>
      </c>
      <c r="R48" s="687" t="s">
        <v>1954</v>
      </c>
    </row>
    <row r="49" spans="1:18" ht="25.5" x14ac:dyDescent="0.2">
      <c r="A49" s="580" t="s">
        <v>277</v>
      </c>
      <c r="B49" s="581" t="s">
        <v>1011</v>
      </c>
      <c r="C49" s="580" t="s">
        <v>967</v>
      </c>
      <c r="D49" s="581" t="s">
        <v>109</v>
      </c>
      <c r="E49" s="581" t="s">
        <v>972</v>
      </c>
      <c r="F49" s="582" t="s">
        <v>970</v>
      </c>
      <c r="G49" s="581" t="s">
        <v>925</v>
      </c>
      <c r="H49" s="583" t="s">
        <v>77</v>
      </c>
      <c r="I49" s="513"/>
      <c r="J49" s="583" t="s">
        <v>1023</v>
      </c>
      <c r="K49" s="584">
        <v>25</v>
      </c>
      <c r="L49" s="587"/>
      <c r="M49" s="571">
        <v>19</v>
      </c>
      <c r="N49" s="571">
        <v>1</v>
      </c>
      <c r="O49" s="566">
        <f t="shared" si="0"/>
        <v>5.2631578947368418E-2</v>
      </c>
      <c r="P49" s="567">
        <f t="shared" si="1"/>
        <v>0.21052631578947367</v>
      </c>
      <c r="Q49" s="568">
        <f t="shared" si="2"/>
        <v>0.21052631578947367</v>
      </c>
      <c r="R49" s="687" t="s">
        <v>1954</v>
      </c>
    </row>
    <row r="50" spans="1:18" ht="38.25" x14ac:dyDescent="0.2">
      <c r="A50" s="580" t="s">
        <v>277</v>
      </c>
      <c r="B50" s="581" t="s">
        <v>1011</v>
      </c>
      <c r="C50" s="580" t="s">
        <v>967</v>
      </c>
      <c r="D50" s="581" t="s">
        <v>109</v>
      </c>
      <c r="E50" s="581" t="s">
        <v>973</v>
      </c>
      <c r="F50" s="582" t="s">
        <v>974</v>
      </c>
      <c r="G50" s="581" t="s">
        <v>925</v>
      </c>
      <c r="H50" s="583" t="s">
        <v>77</v>
      </c>
      <c r="I50" s="513"/>
      <c r="J50" s="583" t="s">
        <v>1023</v>
      </c>
      <c r="K50" s="584">
        <v>25</v>
      </c>
      <c r="L50" s="585" t="s">
        <v>1025</v>
      </c>
      <c r="M50" s="571">
        <v>19</v>
      </c>
      <c r="N50" s="571">
        <v>5</v>
      </c>
      <c r="O50" s="566">
        <f t="shared" si="0"/>
        <v>0.26315789473684209</v>
      </c>
      <c r="P50" s="567">
        <f t="shared" si="1"/>
        <v>1.0526315789473684</v>
      </c>
      <c r="Q50" s="568">
        <f t="shared" si="2"/>
        <v>1.0526315789473684</v>
      </c>
      <c r="R50" s="687" t="s">
        <v>1954</v>
      </c>
    </row>
    <row r="51" spans="1:18" ht="25.5" x14ac:dyDescent="0.2">
      <c r="A51" s="580" t="s">
        <v>277</v>
      </c>
      <c r="B51" s="581" t="s">
        <v>1011</v>
      </c>
      <c r="C51" s="580" t="s">
        <v>967</v>
      </c>
      <c r="D51" s="581" t="s">
        <v>109</v>
      </c>
      <c r="E51" s="581" t="s">
        <v>973</v>
      </c>
      <c r="F51" s="582" t="s">
        <v>975</v>
      </c>
      <c r="G51" s="581" t="s">
        <v>925</v>
      </c>
      <c r="H51" s="583" t="s">
        <v>77</v>
      </c>
      <c r="I51" s="513"/>
      <c r="J51" s="583" t="s">
        <v>1023</v>
      </c>
      <c r="K51" s="584">
        <v>33</v>
      </c>
      <c r="L51" s="587"/>
      <c r="M51" s="571">
        <v>19</v>
      </c>
      <c r="N51" s="571">
        <v>5</v>
      </c>
      <c r="O51" s="566">
        <f t="shared" si="0"/>
        <v>0.26315789473684209</v>
      </c>
      <c r="P51" s="567">
        <f t="shared" si="1"/>
        <v>0.79744816586921841</v>
      </c>
      <c r="Q51" s="568">
        <f t="shared" si="2"/>
        <v>0.79744816586921852</v>
      </c>
      <c r="R51" s="687" t="s">
        <v>1954</v>
      </c>
    </row>
    <row r="52" spans="1:18" ht="25.5" x14ac:dyDescent="0.2">
      <c r="A52" s="580" t="s">
        <v>277</v>
      </c>
      <c r="B52" s="581" t="s">
        <v>1011</v>
      </c>
      <c r="C52" s="580" t="s">
        <v>967</v>
      </c>
      <c r="D52" s="581" t="s">
        <v>109</v>
      </c>
      <c r="E52" s="581" t="s">
        <v>976</v>
      </c>
      <c r="F52" s="582" t="s">
        <v>974</v>
      </c>
      <c r="G52" s="581" t="s">
        <v>925</v>
      </c>
      <c r="H52" s="583" t="s">
        <v>77</v>
      </c>
      <c r="I52" s="513"/>
      <c r="J52" s="583" t="s">
        <v>1023</v>
      </c>
      <c r="K52" s="584">
        <v>25</v>
      </c>
      <c r="L52" s="587"/>
      <c r="M52" s="571">
        <v>19</v>
      </c>
      <c r="N52" s="571">
        <v>5</v>
      </c>
      <c r="O52" s="566">
        <f t="shared" si="0"/>
        <v>0.26315789473684209</v>
      </c>
      <c r="P52" s="567">
        <f t="shared" si="1"/>
        <v>1.0526315789473684</v>
      </c>
      <c r="Q52" s="568">
        <f t="shared" si="2"/>
        <v>1.0526315789473684</v>
      </c>
      <c r="R52" s="687" t="s">
        <v>1954</v>
      </c>
    </row>
    <row r="53" spans="1:18" ht="25.5" x14ac:dyDescent="0.2">
      <c r="A53" s="580" t="s">
        <v>277</v>
      </c>
      <c r="B53" s="581" t="s">
        <v>1011</v>
      </c>
      <c r="C53" s="580" t="s">
        <v>967</v>
      </c>
      <c r="D53" s="581" t="s">
        <v>109</v>
      </c>
      <c r="E53" s="581" t="s">
        <v>977</v>
      </c>
      <c r="F53" s="582" t="s">
        <v>974</v>
      </c>
      <c r="G53" s="581" t="s">
        <v>925</v>
      </c>
      <c r="H53" s="583" t="s">
        <v>77</v>
      </c>
      <c r="I53" s="513"/>
      <c r="J53" s="583" t="s">
        <v>1023</v>
      </c>
      <c r="K53" s="584">
        <v>25</v>
      </c>
      <c r="L53" s="587"/>
      <c r="M53" s="571">
        <v>19</v>
      </c>
      <c r="N53" s="571">
        <v>2</v>
      </c>
      <c r="O53" s="566">
        <f t="shared" si="0"/>
        <v>0.10526315789473684</v>
      </c>
      <c r="P53" s="567">
        <f t="shared" si="1"/>
        <v>0.42105263157894735</v>
      </c>
      <c r="Q53" s="568">
        <f t="shared" si="2"/>
        <v>0.42105263157894735</v>
      </c>
      <c r="R53" s="687" t="s">
        <v>1954</v>
      </c>
    </row>
    <row r="54" spans="1:18" x14ac:dyDescent="0.2">
      <c r="A54" s="580" t="s">
        <v>277</v>
      </c>
      <c r="B54" s="581" t="s">
        <v>1011</v>
      </c>
      <c r="C54" s="580" t="s">
        <v>967</v>
      </c>
      <c r="D54" s="581" t="s">
        <v>109</v>
      </c>
      <c r="E54" s="581" t="s">
        <v>978</v>
      </c>
      <c r="F54" s="582" t="s">
        <v>974</v>
      </c>
      <c r="G54" s="581" t="s">
        <v>919</v>
      </c>
      <c r="H54" s="583" t="s">
        <v>77</v>
      </c>
      <c r="I54" s="513"/>
      <c r="J54" s="583" t="s">
        <v>1023</v>
      </c>
      <c r="K54" s="584">
        <v>100</v>
      </c>
      <c r="L54" s="587"/>
      <c r="M54" s="571">
        <v>19</v>
      </c>
      <c r="N54" s="571">
        <v>19</v>
      </c>
      <c r="O54" s="566">
        <f t="shared" si="0"/>
        <v>1</v>
      </c>
      <c r="P54" s="567">
        <f t="shared" si="1"/>
        <v>1</v>
      </c>
      <c r="Q54" s="568">
        <f t="shared" si="2"/>
        <v>1</v>
      </c>
      <c r="R54" s="687" t="s">
        <v>1954</v>
      </c>
    </row>
    <row r="55" spans="1:18" x14ac:dyDescent="0.2">
      <c r="A55" s="580" t="s">
        <v>277</v>
      </c>
      <c r="B55" s="581" t="s">
        <v>1011</v>
      </c>
      <c r="C55" s="580" t="s">
        <v>967</v>
      </c>
      <c r="D55" s="581" t="s">
        <v>109</v>
      </c>
      <c r="E55" s="581" t="s">
        <v>979</v>
      </c>
      <c r="F55" s="582" t="s">
        <v>974</v>
      </c>
      <c r="G55" s="581" t="s">
        <v>919</v>
      </c>
      <c r="H55" s="583" t="s">
        <v>77</v>
      </c>
      <c r="I55" s="513"/>
      <c r="J55" s="583" t="s">
        <v>1023</v>
      </c>
      <c r="K55" s="589">
        <v>100</v>
      </c>
      <c r="L55" s="587"/>
      <c r="M55" s="571">
        <v>19</v>
      </c>
      <c r="N55" s="571">
        <v>19</v>
      </c>
      <c r="O55" s="566">
        <f t="shared" si="0"/>
        <v>1</v>
      </c>
      <c r="P55" s="567">
        <f t="shared" si="1"/>
        <v>1</v>
      </c>
      <c r="Q55" s="568">
        <f t="shared" si="2"/>
        <v>1</v>
      </c>
      <c r="R55" s="687" t="s">
        <v>1954</v>
      </c>
    </row>
    <row r="56" spans="1:18" ht="25.5" x14ac:dyDescent="0.2">
      <c r="A56" s="580" t="s">
        <v>277</v>
      </c>
      <c r="B56" s="581" t="s">
        <v>1011</v>
      </c>
      <c r="C56" s="580" t="s">
        <v>967</v>
      </c>
      <c r="D56" s="581" t="s">
        <v>109</v>
      </c>
      <c r="E56" s="581" t="s">
        <v>980</v>
      </c>
      <c r="F56" s="582" t="s">
        <v>974</v>
      </c>
      <c r="G56" s="581" t="s">
        <v>925</v>
      </c>
      <c r="H56" s="583" t="s">
        <v>77</v>
      </c>
      <c r="I56" s="513"/>
      <c r="J56" s="583" t="s">
        <v>1023</v>
      </c>
      <c r="K56" s="589">
        <v>25</v>
      </c>
      <c r="L56" s="587"/>
      <c r="M56" s="571">
        <v>19</v>
      </c>
      <c r="N56" s="571">
        <v>1</v>
      </c>
      <c r="O56" s="566">
        <f t="shared" si="0"/>
        <v>5.2631578947368418E-2</v>
      </c>
      <c r="P56" s="567">
        <f t="shared" si="1"/>
        <v>0.21052631578947367</v>
      </c>
      <c r="Q56" s="568">
        <f t="shared" si="2"/>
        <v>0.21052631578947367</v>
      </c>
      <c r="R56" s="687" t="s">
        <v>1954</v>
      </c>
    </row>
    <row r="57" spans="1:18" ht="25.5" x14ac:dyDescent="0.2">
      <c r="A57" s="580" t="s">
        <v>277</v>
      </c>
      <c r="B57" s="581" t="s">
        <v>1011</v>
      </c>
      <c r="C57" s="580" t="s">
        <v>967</v>
      </c>
      <c r="D57" s="581" t="s">
        <v>109</v>
      </c>
      <c r="E57" s="581" t="s">
        <v>981</v>
      </c>
      <c r="F57" s="582" t="s">
        <v>974</v>
      </c>
      <c r="G57" s="581" t="s">
        <v>925</v>
      </c>
      <c r="H57" s="583" t="s">
        <v>77</v>
      </c>
      <c r="I57" s="513"/>
      <c r="J57" s="583" t="s">
        <v>1023</v>
      </c>
      <c r="K57" s="589">
        <v>25</v>
      </c>
      <c r="L57" s="587"/>
      <c r="M57" s="571">
        <v>19</v>
      </c>
      <c r="N57" s="571">
        <v>2</v>
      </c>
      <c r="O57" s="566">
        <f t="shared" si="0"/>
        <v>0.10526315789473684</v>
      </c>
      <c r="P57" s="567">
        <f t="shared" si="1"/>
        <v>0.42105263157894735</v>
      </c>
      <c r="Q57" s="568">
        <f t="shared" si="2"/>
        <v>0.42105263157894735</v>
      </c>
      <c r="R57" s="687" t="s">
        <v>1954</v>
      </c>
    </row>
    <row r="58" spans="1:18" x14ac:dyDescent="0.2">
      <c r="A58" s="580" t="s">
        <v>277</v>
      </c>
      <c r="B58" s="581" t="s">
        <v>1011</v>
      </c>
      <c r="C58" s="580" t="s">
        <v>967</v>
      </c>
      <c r="D58" s="581" t="s">
        <v>109</v>
      </c>
      <c r="E58" s="581" t="s">
        <v>982</v>
      </c>
      <c r="F58" s="590" t="s">
        <v>983</v>
      </c>
      <c r="G58" s="581" t="s">
        <v>919</v>
      </c>
      <c r="H58" s="583" t="s">
        <v>77</v>
      </c>
      <c r="I58" s="513"/>
      <c r="J58" s="583" t="s">
        <v>1023</v>
      </c>
      <c r="K58" s="589">
        <v>100</v>
      </c>
      <c r="L58" s="587"/>
      <c r="M58" s="571">
        <v>19</v>
      </c>
      <c r="N58" s="571">
        <v>19</v>
      </c>
      <c r="O58" s="566">
        <f t="shared" si="0"/>
        <v>1</v>
      </c>
      <c r="P58" s="567">
        <f t="shared" si="1"/>
        <v>1</v>
      </c>
      <c r="Q58" s="568">
        <f t="shared" si="2"/>
        <v>1</v>
      </c>
      <c r="R58" s="687" t="s">
        <v>1954</v>
      </c>
    </row>
    <row r="59" spans="1:18" x14ac:dyDescent="0.2">
      <c r="A59" s="580" t="s">
        <v>277</v>
      </c>
      <c r="B59" s="581" t="s">
        <v>1011</v>
      </c>
      <c r="C59" s="580" t="s">
        <v>967</v>
      </c>
      <c r="D59" s="581" t="s">
        <v>109</v>
      </c>
      <c r="E59" s="581" t="s">
        <v>984</v>
      </c>
      <c r="F59" s="590" t="s">
        <v>983</v>
      </c>
      <c r="G59" s="581" t="s">
        <v>919</v>
      </c>
      <c r="H59" s="583" t="s">
        <v>77</v>
      </c>
      <c r="I59" s="513"/>
      <c r="J59" s="583" t="s">
        <v>1023</v>
      </c>
      <c r="K59" s="589">
        <v>100</v>
      </c>
      <c r="L59" s="587"/>
      <c r="M59" s="571">
        <v>19</v>
      </c>
      <c r="N59" s="571">
        <v>19</v>
      </c>
      <c r="O59" s="566">
        <f t="shared" si="0"/>
        <v>1</v>
      </c>
      <c r="P59" s="567">
        <f t="shared" si="1"/>
        <v>1</v>
      </c>
      <c r="Q59" s="568">
        <f t="shared" si="2"/>
        <v>1</v>
      </c>
      <c r="R59" s="687" t="s">
        <v>1954</v>
      </c>
    </row>
    <row r="60" spans="1:18" ht="25.5" x14ac:dyDescent="0.2">
      <c r="A60" s="580" t="s">
        <v>277</v>
      </c>
      <c r="B60" s="581" t="s">
        <v>1011</v>
      </c>
      <c r="C60" s="580" t="s">
        <v>967</v>
      </c>
      <c r="D60" s="581" t="s">
        <v>109</v>
      </c>
      <c r="E60" s="581" t="s">
        <v>985</v>
      </c>
      <c r="F60" s="590" t="s">
        <v>970</v>
      </c>
      <c r="G60" s="581" t="s">
        <v>925</v>
      </c>
      <c r="H60" s="583" t="s">
        <v>77</v>
      </c>
      <c r="I60" s="513"/>
      <c r="J60" s="583" t="s">
        <v>1023</v>
      </c>
      <c r="K60" s="589">
        <v>33</v>
      </c>
      <c r="L60" s="587"/>
      <c r="M60" s="571">
        <v>19</v>
      </c>
      <c r="N60" s="571">
        <v>5</v>
      </c>
      <c r="O60" s="566">
        <f t="shared" si="0"/>
        <v>0.26315789473684209</v>
      </c>
      <c r="P60" s="567">
        <f t="shared" si="1"/>
        <v>0.79744816586921841</v>
      </c>
      <c r="Q60" s="568">
        <f t="shared" si="2"/>
        <v>0.79744816586921852</v>
      </c>
      <c r="R60" s="687" t="s">
        <v>1954</v>
      </c>
    </row>
    <row r="61" spans="1:18" ht="25.5" x14ac:dyDescent="0.2">
      <c r="A61" s="580" t="s">
        <v>277</v>
      </c>
      <c r="B61" s="581" t="s">
        <v>1011</v>
      </c>
      <c r="C61" s="580" t="s">
        <v>967</v>
      </c>
      <c r="D61" s="581" t="s">
        <v>109</v>
      </c>
      <c r="E61" s="581" t="s">
        <v>986</v>
      </c>
      <c r="F61" s="590" t="s">
        <v>970</v>
      </c>
      <c r="G61" s="581" t="s">
        <v>925</v>
      </c>
      <c r="H61" s="583" t="s">
        <v>77</v>
      </c>
      <c r="I61" s="513"/>
      <c r="J61" s="583" t="s">
        <v>1023</v>
      </c>
      <c r="K61" s="589">
        <v>33</v>
      </c>
      <c r="L61" s="587"/>
      <c r="M61" s="571">
        <v>19</v>
      </c>
      <c r="N61" s="571">
        <v>5</v>
      </c>
      <c r="O61" s="566">
        <f t="shared" si="0"/>
        <v>0.26315789473684209</v>
      </c>
      <c r="P61" s="567">
        <f t="shared" si="1"/>
        <v>0.79744816586921841</v>
      </c>
      <c r="Q61" s="568">
        <f t="shared" si="2"/>
        <v>0.79744816586921852</v>
      </c>
      <c r="R61" s="687" t="s">
        <v>1954</v>
      </c>
    </row>
    <row r="62" spans="1:18" ht="25.5" x14ac:dyDescent="0.2">
      <c r="A62" s="580" t="s">
        <v>277</v>
      </c>
      <c r="B62" s="581" t="s">
        <v>1011</v>
      </c>
      <c r="C62" s="580" t="s">
        <v>967</v>
      </c>
      <c r="D62" s="581" t="s">
        <v>109</v>
      </c>
      <c r="E62" s="581" t="s">
        <v>987</v>
      </c>
      <c r="F62" s="590" t="s">
        <v>970</v>
      </c>
      <c r="G62" s="581" t="s">
        <v>925</v>
      </c>
      <c r="H62" s="583" t="s">
        <v>77</v>
      </c>
      <c r="I62" s="513"/>
      <c r="J62" s="583" t="s">
        <v>1023</v>
      </c>
      <c r="K62" s="589">
        <v>33</v>
      </c>
      <c r="L62" s="587"/>
      <c r="M62" s="571">
        <v>19</v>
      </c>
      <c r="N62" s="571">
        <v>5</v>
      </c>
      <c r="O62" s="566">
        <f t="shared" si="0"/>
        <v>0.26315789473684209</v>
      </c>
      <c r="P62" s="567">
        <f t="shared" si="1"/>
        <v>0.79744816586921841</v>
      </c>
      <c r="Q62" s="568">
        <f t="shared" si="2"/>
        <v>0.79744816586921852</v>
      </c>
      <c r="R62" s="687" t="s">
        <v>1954</v>
      </c>
    </row>
    <row r="63" spans="1:18" ht="25.5" x14ac:dyDescent="0.2">
      <c r="A63" s="580" t="s">
        <v>277</v>
      </c>
      <c r="B63" s="581" t="s">
        <v>1011</v>
      </c>
      <c r="C63" s="580" t="s">
        <v>967</v>
      </c>
      <c r="D63" s="581" t="s">
        <v>109</v>
      </c>
      <c r="E63" s="581" t="s">
        <v>988</v>
      </c>
      <c r="F63" s="590" t="s">
        <v>970</v>
      </c>
      <c r="G63" s="581" t="s">
        <v>925</v>
      </c>
      <c r="H63" s="583" t="s">
        <v>77</v>
      </c>
      <c r="I63" s="513"/>
      <c r="J63" s="583" t="s">
        <v>1023</v>
      </c>
      <c r="K63" s="589">
        <v>33</v>
      </c>
      <c r="L63" s="587"/>
      <c r="M63" s="571">
        <v>19</v>
      </c>
      <c r="N63" s="571">
        <v>5</v>
      </c>
      <c r="O63" s="566">
        <f t="shared" si="0"/>
        <v>0.26315789473684209</v>
      </c>
      <c r="P63" s="567">
        <f t="shared" si="1"/>
        <v>0.79744816586921841</v>
      </c>
      <c r="Q63" s="568">
        <f t="shared" si="2"/>
        <v>0.79744816586921852</v>
      </c>
      <c r="R63" s="687" t="s">
        <v>1954</v>
      </c>
    </row>
    <row r="64" spans="1:18" ht="25.5" x14ac:dyDescent="0.2">
      <c r="A64" s="580" t="s">
        <v>277</v>
      </c>
      <c r="B64" s="581" t="s">
        <v>1011</v>
      </c>
      <c r="C64" s="580" t="s">
        <v>967</v>
      </c>
      <c r="D64" s="581" t="s">
        <v>109</v>
      </c>
      <c r="E64" s="581" t="s">
        <v>989</v>
      </c>
      <c r="F64" s="590" t="s">
        <v>970</v>
      </c>
      <c r="G64" s="581" t="s">
        <v>925</v>
      </c>
      <c r="H64" s="583" t="s">
        <v>77</v>
      </c>
      <c r="I64" s="513"/>
      <c r="J64" s="583" t="s">
        <v>1023</v>
      </c>
      <c r="K64" s="589">
        <v>33</v>
      </c>
      <c r="L64" s="587"/>
      <c r="M64" s="571">
        <v>19</v>
      </c>
      <c r="N64" s="571">
        <v>5</v>
      </c>
      <c r="O64" s="566">
        <f t="shared" si="0"/>
        <v>0.26315789473684209</v>
      </c>
      <c r="P64" s="567">
        <f t="shared" si="1"/>
        <v>0.79744816586921841</v>
      </c>
      <c r="Q64" s="568">
        <f t="shared" si="2"/>
        <v>0.79744816586921852</v>
      </c>
      <c r="R64" s="687" t="s">
        <v>1954</v>
      </c>
    </row>
    <row r="65" spans="1:18" ht="25.5" x14ac:dyDescent="0.2">
      <c r="A65" s="580" t="s">
        <v>277</v>
      </c>
      <c r="B65" s="581" t="s">
        <v>1011</v>
      </c>
      <c r="C65" s="580" t="s">
        <v>967</v>
      </c>
      <c r="D65" s="581" t="s">
        <v>109</v>
      </c>
      <c r="E65" s="581" t="s">
        <v>990</v>
      </c>
      <c r="F65" s="590" t="s">
        <v>970</v>
      </c>
      <c r="G65" s="581" t="s">
        <v>925</v>
      </c>
      <c r="H65" s="583" t="s">
        <v>77</v>
      </c>
      <c r="I65" s="513"/>
      <c r="J65" s="583" t="s">
        <v>1023</v>
      </c>
      <c r="K65" s="589">
        <v>33</v>
      </c>
      <c r="L65" s="587"/>
      <c r="M65" s="571">
        <v>19</v>
      </c>
      <c r="N65" s="571">
        <v>5</v>
      </c>
      <c r="O65" s="566">
        <f t="shared" si="0"/>
        <v>0.26315789473684209</v>
      </c>
      <c r="P65" s="567">
        <f t="shared" si="1"/>
        <v>0.79744816586921841</v>
      </c>
      <c r="Q65" s="568">
        <f t="shared" si="2"/>
        <v>0.79744816586921852</v>
      </c>
      <c r="R65" s="687" t="s">
        <v>1954</v>
      </c>
    </row>
    <row r="66" spans="1:18" x14ac:dyDescent="0.2">
      <c r="A66" s="580" t="s">
        <v>277</v>
      </c>
      <c r="B66" s="581" t="s">
        <v>1011</v>
      </c>
      <c r="C66" s="580" t="s">
        <v>967</v>
      </c>
      <c r="D66" s="581" t="s">
        <v>109</v>
      </c>
      <c r="E66" s="581" t="s">
        <v>991</v>
      </c>
      <c r="F66" s="590" t="s">
        <v>974</v>
      </c>
      <c r="G66" s="581" t="s">
        <v>919</v>
      </c>
      <c r="H66" s="583" t="s">
        <v>77</v>
      </c>
      <c r="I66" s="513"/>
      <c r="J66" s="583" t="s">
        <v>1023</v>
      </c>
      <c r="K66" s="589">
        <v>100</v>
      </c>
      <c r="L66" s="587"/>
      <c r="M66" s="571">
        <v>19</v>
      </c>
      <c r="N66" s="571">
        <v>19</v>
      </c>
      <c r="O66" s="566">
        <f t="shared" si="0"/>
        <v>1</v>
      </c>
      <c r="P66" s="567">
        <f t="shared" si="1"/>
        <v>1</v>
      </c>
      <c r="Q66" s="568">
        <f t="shared" si="2"/>
        <v>1</v>
      </c>
      <c r="R66" s="687" t="s">
        <v>1954</v>
      </c>
    </row>
    <row r="67" spans="1:18" x14ac:dyDescent="0.2">
      <c r="A67" s="580" t="s">
        <v>277</v>
      </c>
      <c r="B67" s="581" t="s">
        <v>1011</v>
      </c>
      <c r="C67" s="580" t="s">
        <v>967</v>
      </c>
      <c r="D67" s="581" t="s">
        <v>109</v>
      </c>
      <c r="E67" s="581" t="s">
        <v>992</v>
      </c>
      <c r="F67" s="590" t="s">
        <v>974</v>
      </c>
      <c r="G67" s="581" t="s">
        <v>919</v>
      </c>
      <c r="H67" s="583" t="s">
        <v>77</v>
      </c>
      <c r="I67" s="513"/>
      <c r="J67" s="583" t="s">
        <v>1023</v>
      </c>
      <c r="K67" s="589">
        <v>100</v>
      </c>
      <c r="L67" s="587"/>
      <c r="M67" s="571">
        <v>19</v>
      </c>
      <c r="N67" s="571">
        <v>19</v>
      </c>
      <c r="O67" s="566">
        <f t="shared" si="0"/>
        <v>1</v>
      </c>
      <c r="P67" s="567">
        <f t="shared" si="1"/>
        <v>1</v>
      </c>
      <c r="Q67" s="568">
        <f t="shared" si="2"/>
        <v>1</v>
      </c>
      <c r="R67" s="687" t="s">
        <v>1954</v>
      </c>
    </row>
    <row r="68" spans="1:18" ht="25.5" x14ac:dyDescent="0.2">
      <c r="A68" s="580" t="s">
        <v>277</v>
      </c>
      <c r="B68" s="581" t="s">
        <v>1011</v>
      </c>
      <c r="C68" s="580" t="s">
        <v>967</v>
      </c>
      <c r="D68" s="581" t="s">
        <v>109</v>
      </c>
      <c r="E68" s="581" t="s">
        <v>993</v>
      </c>
      <c r="F68" s="590" t="s">
        <v>974</v>
      </c>
      <c r="G68" s="581" t="s">
        <v>919</v>
      </c>
      <c r="H68" s="583" t="s">
        <v>77</v>
      </c>
      <c r="I68" s="513"/>
      <c r="J68" s="583" t="s">
        <v>1023</v>
      </c>
      <c r="K68" s="589">
        <v>100</v>
      </c>
      <c r="L68" s="587"/>
      <c r="M68" s="571">
        <v>19</v>
      </c>
      <c r="N68" s="571">
        <v>19</v>
      </c>
      <c r="O68" s="566">
        <f t="shared" si="0"/>
        <v>1</v>
      </c>
      <c r="P68" s="567">
        <f t="shared" si="1"/>
        <v>1</v>
      </c>
      <c r="Q68" s="568">
        <f t="shared" si="2"/>
        <v>1</v>
      </c>
      <c r="R68" s="687" t="s">
        <v>1954</v>
      </c>
    </row>
    <row r="69" spans="1:18" ht="25.5" x14ac:dyDescent="0.2">
      <c r="A69" s="580" t="s">
        <v>277</v>
      </c>
      <c r="B69" s="581" t="s">
        <v>1011</v>
      </c>
      <c r="C69" s="580" t="s">
        <v>967</v>
      </c>
      <c r="D69" s="581" t="s">
        <v>109</v>
      </c>
      <c r="E69" s="581" t="s">
        <v>994</v>
      </c>
      <c r="F69" s="582" t="s">
        <v>969</v>
      </c>
      <c r="G69" s="581" t="s">
        <v>919</v>
      </c>
      <c r="H69" s="583" t="s">
        <v>77</v>
      </c>
      <c r="I69" s="513"/>
      <c r="J69" s="583" t="s">
        <v>1023</v>
      </c>
      <c r="K69" s="589">
        <v>100</v>
      </c>
      <c r="L69" s="585" t="s">
        <v>1024</v>
      </c>
      <c r="M69" s="571">
        <v>19</v>
      </c>
      <c r="N69" s="571">
        <v>19</v>
      </c>
      <c r="O69" s="566">
        <f t="shared" si="0"/>
        <v>1</v>
      </c>
      <c r="P69" s="567">
        <f t="shared" si="1"/>
        <v>1</v>
      </c>
      <c r="Q69" s="568">
        <f t="shared" si="2"/>
        <v>1</v>
      </c>
      <c r="R69" s="687" t="s">
        <v>1954</v>
      </c>
    </row>
    <row r="70" spans="1:18" ht="25.5" x14ac:dyDescent="0.2">
      <c r="A70" s="580" t="s">
        <v>277</v>
      </c>
      <c r="B70" s="581" t="s">
        <v>1011</v>
      </c>
      <c r="C70" s="580" t="s">
        <v>967</v>
      </c>
      <c r="D70" s="581" t="s">
        <v>109</v>
      </c>
      <c r="E70" s="581" t="s">
        <v>994</v>
      </c>
      <c r="F70" s="582" t="s">
        <v>970</v>
      </c>
      <c r="G70" s="581" t="s">
        <v>925</v>
      </c>
      <c r="H70" s="583" t="s">
        <v>77</v>
      </c>
      <c r="I70" s="513"/>
      <c r="J70" s="583" t="s">
        <v>1023</v>
      </c>
      <c r="K70" s="589">
        <v>33</v>
      </c>
      <c r="L70" s="587"/>
      <c r="M70" s="571">
        <v>19</v>
      </c>
      <c r="N70" s="571">
        <v>19</v>
      </c>
      <c r="O70" s="566">
        <f t="shared" ref="O70:O133" si="3">IFERROR(N70/M70,0)</f>
        <v>1</v>
      </c>
      <c r="P70" s="567">
        <f t="shared" ref="P70:P133" si="4">IFERROR(N70/(M70*(K70/100)),0)</f>
        <v>3.0303030303030303</v>
      </c>
      <c r="Q70" s="568">
        <f t="shared" ref="Q70:Q133" si="5">N70/(M70*K70/100)</f>
        <v>3.0303030303030307</v>
      </c>
      <c r="R70" s="687" t="s">
        <v>1954</v>
      </c>
    </row>
    <row r="71" spans="1:18" ht="25.5" x14ac:dyDescent="0.2">
      <c r="A71" s="580" t="s">
        <v>277</v>
      </c>
      <c r="B71" s="581" t="s">
        <v>1011</v>
      </c>
      <c r="C71" s="580" t="s">
        <v>967</v>
      </c>
      <c r="D71" s="581" t="s">
        <v>109</v>
      </c>
      <c r="E71" s="581" t="s">
        <v>995</v>
      </c>
      <c r="F71" s="590" t="s">
        <v>974</v>
      </c>
      <c r="G71" s="581" t="s">
        <v>925</v>
      </c>
      <c r="H71" s="583" t="s">
        <v>77</v>
      </c>
      <c r="I71" s="513"/>
      <c r="J71" s="583" t="s">
        <v>1023</v>
      </c>
      <c r="K71" s="589">
        <v>25</v>
      </c>
      <c r="L71" s="587"/>
      <c r="M71" s="571">
        <v>19</v>
      </c>
      <c r="N71" s="571">
        <v>2</v>
      </c>
      <c r="O71" s="566">
        <f t="shared" si="3"/>
        <v>0.10526315789473684</v>
      </c>
      <c r="P71" s="567">
        <f t="shared" si="4"/>
        <v>0.42105263157894735</v>
      </c>
      <c r="Q71" s="568">
        <f t="shared" si="5"/>
        <v>0.42105263157894735</v>
      </c>
      <c r="R71" s="687" t="s">
        <v>1954</v>
      </c>
    </row>
    <row r="72" spans="1:18" ht="38.25" x14ac:dyDescent="0.2">
      <c r="A72" s="580" t="s">
        <v>277</v>
      </c>
      <c r="B72" s="581" t="s">
        <v>1011</v>
      </c>
      <c r="C72" s="580" t="s">
        <v>967</v>
      </c>
      <c r="D72" s="581" t="s">
        <v>109</v>
      </c>
      <c r="E72" s="581" t="s">
        <v>996</v>
      </c>
      <c r="F72" s="590" t="s">
        <v>974</v>
      </c>
      <c r="G72" s="581" t="s">
        <v>925</v>
      </c>
      <c r="H72" s="583" t="s">
        <v>77</v>
      </c>
      <c r="I72" s="513"/>
      <c r="J72" s="583" t="s">
        <v>1023</v>
      </c>
      <c r="K72" s="589">
        <v>25</v>
      </c>
      <c r="L72" s="587"/>
      <c r="M72" s="571">
        <v>19</v>
      </c>
      <c r="N72" s="571">
        <v>2</v>
      </c>
      <c r="O72" s="566">
        <f t="shared" si="3"/>
        <v>0.10526315789473684</v>
      </c>
      <c r="P72" s="567">
        <f t="shared" si="4"/>
        <v>0.42105263157894735</v>
      </c>
      <c r="Q72" s="568">
        <f t="shared" si="5"/>
        <v>0.42105263157894735</v>
      </c>
      <c r="R72" s="687" t="s">
        <v>1954</v>
      </c>
    </row>
    <row r="73" spans="1:18" ht="38.25" x14ac:dyDescent="0.2">
      <c r="A73" s="580" t="s">
        <v>277</v>
      </c>
      <c r="B73" s="581" t="s">
        <v>1011</v>
      </c>
      <c r="C73" s="580" t="s">
        <v>967</v>
      </c>
      <c r="D73" s="581" t="s">
        <v>109</v>
      </c>
      <c r="E73" s="581" t="s">
        <v>997</v>
      </c>
      <c r="F73" s="590" t="s">
        <v>974</v>
      </c>
      <c r="G73" s="581" t="s">
        <v>919</v>
      </c>
      <c r="H73" s="583" t="s">
        <v>77</v>
      </c>
      <c r="I73" s="513"/>
      <c r="J73" s="583" t="s">
        <v>1023</v>
      </c>
      <c r="K73" s="589">
        <v>100</v>
      </c>
      <c r="L73" s="587"/>
      <c r="M73" s="571">
        <v>19</v>
      </c>
      <c r="N73" s="571">
        <v>19</v>
      </c>
      <c r="O73" s="566">
        <f t="shared" si="3"/>
        <v>1</v>
      </c>
      <c r="P73" s="567">
        <f t="shared" si="4"/>
        <v>1</v>
      </c>
      <c r="Q73" s="568">
        <f t="shared" si="5"/>
        <v>1</v>
      </c>
      <c r="R73" s="687" t="s">
        <v>1954</v>
      </c>
    </row>
    <row r="74" spans="1:18" x14ac:dyDescent="0.2">
      <c r="A74" s="580" t="s">
        <v>277</v>
      </c>
      <c r="B74" s="581" t="s">
        <v>1011</v>
      </c>
      <c r="C74" s="580" t="s">
        <v>967</v>
      </c>
      <c r="D74" s="581" t="s">
        <v>946</v>
      </c>
      <c r="E74" s="581" t="s">
        <v>998</v>
      </c>
      <c r="F74" s="590" t="s">
        <v>974</v>
      </c>
      <c r="G74" s="581" t="s">
        <v>919</v>
      </c>
      <c r="H74" s="583" t="s">
        <v>77</v>
      </c>
      <c r="I74" s="513"/>
      <c r="J74" s="583" t="s">
        <v>1023</v>
      </c>
      <c r="K74" s="589">
        <v>100</v>
      </c>
      <c r="L74" s="587"/>
      <c r="M74" s="571">
        <v>19</v>
      </c>
      <c r="N74" s="571">
        <v>19</v>
      </c>
      <c r="O74" s="566">
        <f t="shared" si="3"/>
        <v>1</v>
      </c>
      <c r="P74" s="567">
        <f t="shared" si="4"/>
        <v>1</v>
      </c>
      <c r="Q74" s="568">
        <f t="shared" si="5"/>
        <v>1</v>
      </c>
      <c r="R74" s="687" t="s">
        <v>1954</v>
      </c>
    </row>
    <row r="75" spans="1:18" x14ac:dyDescent="0.2">
      <c r="A75" s="580" t="s">
        <v>277</v>
      </c>
      <c r="B75" s="581" t="s">
        <v>1011</v>
      </c>
      <c r="C75" s="580" t="s">
        <v>967</v>
      </c>
      <c r="D75" s="581" t="s">
        <v>946</v>
      </c>
      <c r="E75" s="581" t="s">
        <v>999</v>
      </c>
      <c r="F75" s="590" t="s">
        <v>974</v>
      </c>
      <c r="G75" s="581" t="s">
        <v>919</v>
      </c>
      <c r="H75" s="583" t="s">
        <v>77</v>
      </c>
      <c r="I75" s="513"/>
      <c r="J75" s="583" t="s">
        <v>1023</v>
      </c>
      <c r="K75" s="589">
        <v>100</v>
      </c>
      <c r="L75" s="587"/>
      <c r="M75" s="571">
        <v>19</v>
      </c>
      <c r="N75" s="571">
        <v>19</v>
      </c>
      <c r="O75" s="566">
        <f t="shared" si="3"/>
        <v>1</v>
      </c>
      <c r="P75" s="567">
        <f t="shared" si="4"/>
        <v>1</v>
      </c>
      <c r="Q75" s="568">
        <f t="shared" si="5"/>
        <v>1</v>
      </c>
      <c r="R75" s="687" t="s">
        <v>1954</v>
      </c>
    </row>
    <row r="76" spans="1:18" ht="25.5" x14ac:dyDescent="0.2">
      <c r="A76" s="580" t="s">
        <v>277</v>
      </c>
      <c r="B76" s="581" t="s">
        <v>1011</v>
      </c>
      <c r="C76" s="580" t="s">
        <v>967</v>
      </c>
      <c r="D76" s="581" t="s">
        <v>946</v>
      </c>
      <c r="E76" s="581" t="s">
        <v>1000</v>
      </c>
      <c r="F76" s="590" t="s">
        <v>974</v>
      </c>
      <c r="G76" s="581" t="s">
        <v>925</v>
      </c>
      <c r="H76" s="583" t="s">
        <v>77</v>
      </c>
      <c r="I76" s="513"/>
      <c r="J76" s="583" t="s">
        <v>1023</v>
      </c>
      <c r="K76" s="589">
        <v>25</v>
      </c>
      <c r="L76" s="587"/>
      <c r="M76" s="571">
        <v>19</v>
      </c>
      <c r="N76" s="571">
        <v>2</v>
      </c>
      <c r="O76" s="566">
        <f t="shared" si="3"/>
        <v>0.10526315789473684</v>
      </c>
      <c r="P76" s="567">
        <f t="shared" si="4"/>
        <v>0.42105263157894735</v>
      </c>
      <c r="Q76" s="568">
        <f t="shared" si="5"/>
        <v>0.42105263157894735</v>
      </c>
      <c r="R76" s="687" t="s">
        <v>1954</v>
      </c>
    </row>
    <row r="77" spans="1:18" ht="25.5" x14ac:dyDescent="0.2">
      <c r="A77" s="580" t="s">
        <v>277</v>
      </c>
      <c r="B77" s="581" t="s">
        <v>1011</v>
      </c>
      <c r="C77" s="580" t="s">
        <v>967</v>
      </c>
      <c r="D77" s="581" t="s">
        <v>946</v>
      </c>
      <c r="E77" s="581" t="s">
        <v>1001</v>
      </c>
      <c r="F77" s="590" t="s">
        <v>974</v>
      </c>
      <c r="G77" s="581" t="s">
        <v>925</v>
      </c>
      <c r="H77" s="583" t="s">
        <v>77</v>
      </c>
      <c r="I77" s="513"/>
      <c r="J77" s="583" t="s">
        <v>1023</v>
      </c>
      <c r="K77" s="589">
        <v>25</v>
      </c>
      <c r="L77" s="587"/>
      <c r="M77" s="571">
        <v>19</v>
      </c>
      <c r="N77" s="571">
        <v>2</v>
      </c>
      <c r="O77" s="566">
        <f t="shared" si="3"/>
        <v>0.10526315789473684</v>
      </c>
      <c r="P77" s="567">
        <f t="shared" si="4"/>
        <v>0.42105263157894735</v>
      </c>
      <c r="Q77" s="568">
        <f t="shared" si="5"/>
        <v>0.42105263157894735</v>
      </c>
      <c r="R77" s="687" t="s">
        <v>1954</v>
      </c>
    </row>
    <row r="78" spans="1:18" ht="25.5" x14ac:dyDescent="0.2">
      <c r="A78" s="580" t="s">
        <v>277</v>
      </c>
      <c r="B78" s="581" t="s">
        <v>1011</v>
      </c>
      <c r="C78" s="580" t="s">
        <v>967</v>
      </c>
      <c r="D78" s="581" t="s">
        <v>946</v>
      </c>
      <c r="E78" s="581" t="s">
        <v>1002</v>
      </c>
      <c r="F78" s="590" t="s">
        <v>974</v>
      </c>
      <c r="G78" s="581" t="s">
        <v>925</v>
      </c>
      <c r="H78" s="583" t="s">
        <v>77</v>
      </c>
      <c r="I78" s="513"/>
      <c r="J78" s="583" t="s">
        <v>1023</v>
      </c>
      <c r="K78" s="589">
        <v>25</v>
      </c>
      <c r="L78" s="587"/>
      <c r="M78" s="571">
        <v>19</v>
      </c>
      <c r="N78" s="571">
        <v>2</v>
      </c>
      <c r="O78" s="566">
        <f t="shared" si="3"/>
        <v>0.10526315789473684</v>
      </c>
      <c r="P78" s="567">
        <f t="shared" si="4"/>
        <v>0.42105263157894735</v>
      </c>
      <c r="Q78" s="568">
        <f t="shared" si="5"/>
        <v>0.42105263157894735</v>
      </c>
      <c r="R78" s="687" t="s">
        <v>1954</v>
      </c>
    </row>
    <row r="79" spans="1:18" ht="25.5" x14ac:dyDescent="0.2">
      <c r="A79" s="580" t="s">
        <v>277</v>
      </c>
      <c r="B79" s="581" t="s">
        <v>1011</v>
      </c>
      <c r="C79" s="580" t="s">
        <v>967</v>
      </c>
      <c r="D79" s="581" t="s">
        <v>946</v>
      </c>
      <c r="E79" s="581" t="s">
        <v>1003</v>
      </c>
      <c r="F79" s="590" t="s">
        <v>974</v>
      </c>
      <c r="G79" s="581" t="s">
        <v>925</v>
      </c>
      <c r="H79" s="583" t="s">
        <v>77</v>
      </c>
      <c r="I79" s="513"/>
      <c r="J79" s="583" t="s">
        <v>1023</v>
      </c>
      <c r="K79" s="589">
        <v>25</v>
      </c>
      <c r="L79" s="587"/>
      <c r="M79" s="571">
        <v>19</v>
      </c>
      <c r="N79" s="571">
        <v>2</v>
      </c>
      <c r="O79" s="566">
        <f t="shared" si="3"/>
        <v>0.10526315789473684</v>
      </c>
      <c r="P79" s="567">
        <f t="shared" si="4"/>
        <v>0.42105263157894735</v>
      </c>
      <c r="Q79" s="568">
        <f t="shared" si="5"/>
        <v>0.42105263157894735</v>
      </c>
      <c r="R79" s="687" t="s">
        <v>1954</v>
      </c>
    </row>
    <row r="80" spans="1:18" ht="25.5" x14ac:dyDescent="0.2">
      <c r="A80" s="580" t="s">
        <v>277</v>
      </c>
      <c r="B80" s="581" t="s">
        <v>1011</v>
      </c>
      <c r="C80" s="580" t="s">
        <v>967</v>
      </c>
      <c r="D80" s="581" t="s">
        <v>946</v>
      </c>
      <c r="E80" s="581" t="s">
        <v>1004</v>
      </c>
      <c r="F80" s="582" t="s">
        <v>974</v>
      </c>
      <c r="G80" s="581" t="s">
        <v>919</v>
      </c>
      <c r="H80" s="583" t="s">
        <v>77</v>
      </c>
      <c r="I80" s="513"/>
      <c r="J80" s="583" t="s">
        <v>1023</v>
      </c>
      <c r="K80" s="589">
        <v>100</v>
      </c>
      <c r="L80" s="587"/>
      <c r="M80" s="571">
        <v>19</v>
      </c>
      <c r="N80" s="571">
        <v>19</v>
      </c>
      <c r="O80" s="566">
        <f t="shared" si="3"/>
        <v>1</v>
      </c>
      <c r="P80" s="567">
        <f t="shared" si="4"/>
        <v>1</v>
      </c>
      <c r="Q80" s="568">
        <f t="shared" si="5"/>
        <v>1</v>
      </c>
      <c r="R80" s="687" t="s">
        <v>1954</v>
      </c>
    </row>
    <row r="81" spans="1:18" ht="25.5" x14ac:dyDescent="0.2">
      <c r="A81" s="580" t="s">
        <v>277</v>
      </c>
      <c r="B81" s="581" t="s">
        <v>1011</v>
      </c>
      <c r="C81" s="580" t="s">
        <v>967</v>
      </c>
      <c r="D81" s="581" t="s">
        <v>946</v>
      </c>
      <c r="E81" s="581" t="s">
        <v>1004</v>
      </c>
      <c r="F81" s="582" t="s">
        <v>970</v>
      </c>
      <c r="G81" s="581" t="s">
        <v>1005</v>
      </c>
      <c r="H81" s="583" t="s">
        <v>77</v>
      </c>
      <c r="I81" s="513"/>
      <c r="J81" s="583" t="s">
        <v>1023</v>
      </c>
      <c r="K81" s="589">
        <v>33</v>
      </c>
      <c r="L81" s="587"/>
      <c r="M81" s="571">
        <v>19</v>
      </c>
      <c r="N81" s="571">
        <v>19</v>
      </c>
      <c r="O81" s="566">
        <f t="shared" si="3"/>
        <v>1</v>
      </c>
      <c r="P81" s="567">
        <f t="shared" si="4"/>
        <v>3.0303030303030303</v>
      </c>
      <c r="Q81" s="568">
        <f t="shared" si="5"/>
        <v>3.0303030303030307</v>
      </c>
      <c r="R81" s="687" t="s">
        <v>1954</v>
      </c>
    </row>
    <row r="82" spans="1:18" ht="25.5" x14ac:dyDescent="0.2">
      <c r="A82" s="580" t="s">
        <v>277</v>
      </c>
      <c r="B82" s="581" t="s">
        <v>1011</v>
      </c>
      <c r="C82" s="580" t="s">
        <v>967</v>
      </c>
      <c r="D82" s="581" t="s">
        <v>946</v>
      </c>
      <c r="E82" s="581" t="s">
        <v>954</v>
      </c>
      <c r="F82" s="582" t="s">
        <v>974</v>
      </c>
      <c r="G82" s="581" t="s">
        <v>1006</v>
      </c>
      <c r="H82" s="583" t="s">
        <v>77</v>
      </c>
      <c r="I82" s="513"/>
      <c r="J82" s="583" t="s">
        <v>1023</v>
      </c>
      <c r="K82" s="589">
        <v>100</v>
      </c>
      <c r="L82" s="585" t="s">
        <v>1024</v>
      </c>
      <c r="M82" s="571">
        <v>19</v>
      </c>
      <c r="N82" s="571">
        <v>19</v>
      </c>
      <c r="O82" s="566">
        <f t="shared" si="3"/>
        <v>1</v>
      </c>
      <c r="P82" s="567">
        <f t="shared" si="4"/>
        <v>1</v>
      </c>
      <c r="Q82" s="568">
        <f t="shared" si="5"/>
        <v>1</v>
      </c>
      <c r="R82" s="687" t="s">
        <v>1954</v>
      </c>
    </row>
    <row r="83" spans="1:18" x14ac:dyDescent="0.2">
      <c r="A83" s="580" t="s">
        <v>277</v>
      </c>
      <c r="B83" s="581" t="s">
        <v>1011</v>
      </c>
      <c r="C83" s="580" t="s">
        <v>967</v>
      </c>
      <c r="D83" s="581" t="s">
        <v>946</v>
      </c>
      <c r="E83" s="581" t="s">
        <v>954</v>
      </c>
      <c r="F83" s="582" t="s">
        <v>970</v>
      </c>
      <c r="G83" s="581" t="s">
        <v>1005</v>
      </c>
      <c r="H83" s="583" t="s">
        <v>77</v>
      </c>
      <c r="I83" s="513"/>
      <c r="J83" s="583" t="s">
        <v>1023</v>
      </c>
      <c r="K83" s="589">
        <v>33</v>
      </c>
      <c r="L83" s="587"/>
      <c r="M83" s="571">
        <v>19</v>
      </c>
      <c r="N83" s="571">
        <v>19</v>
      </c>
      <c r="O83" s="566">
        <f t="shared" si="3"/>
        <v>1</v>
      </c>
      <c r="P83" s="567">
        <f t="shared" si="4"/>
        <v>3.0303030303030303</v>
      </c>
      <c r="Q83" s="568">
        <f t="shared" si="5"/>
        <v>3.0303030303030307</v>
      </c>
      <c r="R83" s="687" t="s">
        <v>1954</v>
      </c>
    </row>
    <row r="84" spans="1:18" ht="25.5" x14ac:dyDescent="0.2">
      <c r="A84" s="580" t="s">
        <v>277</v>
      </c>
      <c r="B84" s="581" t="s">
        <v>1011</v>
      </c>
      <c r="C84" s="580" t="s">
        <v>967</v>
      </c>
      <c r="D84" s="581" t="s">
        <v>946</v>
      </c>
      <c r="E84" s="581" t="s">
        <v>1007</v>
      </c>
      <c r="F84" s="582" t="s">
        <v>974</v>
      </c>
      <c r="G84" s="581" t="s">
        <v>919</v>
      </c>
      <c r="H84" s="583" t="s">
        <v>77</v>
      </c>
      <c r="I84" s="513"/>
      <c r="J84" s="583" t="s">
        <v>1023</v>
      </c>
      <c r="K84" s="589">
        <v>100</v>
      </c>
      <c r="L84" s="587"/>
      <c r="M84" s="571">
        <v>19</v>
      </c>
      <c r="N84" s="571">
        <v>19</v>
      </c>
      <c r="O84" s="566">
        <f t="shared" si="3"/>
        <v>1</v>
      </c>
      <c r="P84" s="567">
        <f t="shared" si="4"/>
        <v>1</v>
      </c>
      <c r="Q84" s="568">
        <f t="shared" si="5"/>
        <v>1</v>
      </c>
      <c r="R84" s="687" t="s">
        <v>1954</v>
      </c>
    </row>
    <row r="85" spans="1:18" ht="25.5" x14ac:dyDescent="0.2">
      <c r="A85" s="580" t="s">
        <v>277</v>
      </c>
      <c r="B85" s="581" t="s">
        <v>1011</v>
      </c>
      <c r="C85" s="580" t="s">
        <v>967</v>
      </c>
      <c r="D85" s="581" t="s">
        <v>1008</v>
      </c>
      <c r="E85" s="581" t="s">
        <v>1007</v>
      </c>
      <c r="F85" s="582" t="s">
        <v>1009</v>
      </c>
      <c r="G85" s="581" t="s">
        <v>919</v>
      </c>
      <c r="H85" s="583" t="s">
        <v>77</v>
      </c>
      <c r="I85" s="513"/>
      <c r="J85" s="583" t="s">
        <v>1023</v>
      </c>
      <c r="K85" s="589">
        <v>100</v>
      </c>
      <c r="L85" s="587"/>
      <c r="M85" s="571">
        <v>19</v>
      </c>
      <c r="N85" s="571">
        <v>19</v>
      </c>
      <c r="O85" s="566">
        <f t="shared" si="3"/>
        <v>1</v>
      </c>
      <c r="P85" s="567">
        <f t="shared" si="4"/>
        <v>1</v>
      </c>
      <c r="Q85" s="568">
        <f t="shared" si="5"/>
        <v>1</v>
      </c>
      <c r="R85" s="687" t="s">
        <v>1954</v>
      </c>
    </row>
    <row r="86" spans="1:18" x14ac:dyDescent="0.2">
      <c r="A86" s="580" t="s">
        <v>277</v>
      </c>
      <c r="B86" s="581" t="s">
        <v>1011</v>
      </c>
      <c r="C86" s="580" t="s">
        <v>967</v>
      </c>
      <c r="D86" s="581" t="s">
        <v>1008</v>
      </c>
      <c r="E86" s="581" t="s">
        <v>1010</v>
      </c>
      <c r="F86" s="582" t="s">
        <v>974</v>
      </c>
      <c r="G86" s="581" t="s">
        <v>919</v>
      </c>
      <c r="H86" s="583" t="s">
        <v>77</v>
      </c>
      <c r="I86" s="513"/>
      <c r="J86" s="583" t="s">
        <v>1023</v>
      </c>
      <c r="K86" s="589">
        <v>100</v>
      </c>
      <c r="L86" s="587"/>
      <c r="M86" s="571">
        <v>19</v>
      </c>
      <c r="N86" s="571">
        <v>19</v>
      </c>
      <c r="O86" s="566">
        <f t="shared" si="3"/>
        <v>1</v>
      </c>
      <c r="P86" s="567">
        <f t="shared" si="4"/>
        <v>1</v>
      </c>
      <c r="Q86" s="568">
        <f t="shared" si="5"/>
        <v>1</v>
      </c>
      <c r="R86" s="687" t="s">
        <v>1954</v>
      </c>
    </row>
    <row r="87" spans="1:18" ht="25.5" x14ac:dyDescent="0.2">
      <c r="A87" s="580" t="s">
        <v>277</v>
      </c>
      <c r="B87" s="581" t="s">
        <v>1012</v>
      </c>
      <c r="C87" s="580" t="s">
        <v>1013</v>
      </c>
      <c r="D87" s="581" t="s">
        <v>109</v>
      </c>
      <c r="E87" s="581" t="s">
        <v>968</v>
      </c>
      <c r="F87" s="582" t="s">
        <v>969</v>
      </c>
      <c r="G87" s="581" t="s">
        <v>919</v>
      </c>
      <c r="H87" s="583" t="s">
        <v>77</v>
      </c>
      <c r="I87" s="513"/>
      <c r="J87" s="583" t="s">
        <v>1023</v>
      </c>
      <c r="K87" s="584">
        <v>100</v>
      </c>
      <c r="L87" s="585" t="s">
        <v>1024</v>
      </c>
      <c r="M87" s="571">
        <v>5</v>
      </c>
      <c r="N87" s="571">
        <v>3</v>
      </c>
      <c r="O87" s="566">
        <f t="shared" si="3"/>
        <v>0.6</v>
      </c>
      <c r="P87" s="567">
        <f t="shared" si="4"/>
        <v>0.6</v>
      </c>
      <c r="Q87" s="568">
        <f t="shared" si="5"/>
        <v>0.6</v>
      </c>
      <c r="R87" s="687" t="s">
        <v>1954</v>
      </c>
    </row>
    <row r="88" spans="1:18" x14ac:dyDescent="0.2">
      <c r="A88" s="580" t="s">
        <v>277</v>
      </c>
      <c r="B88" s="581" t="s">
        <v>1012</v>
      </c>
      <c r="C88" s="580" t="s">
        <v>1013</v>
      </c>
      <c r="D88" s="581" t="s">
        <v>109</v>
      </c>
      <c r="E88" s="581" t="s">
        <v>968</v>
      </c>
      <c r="F88" s="582" t="s">
        <v>970</v>
      </c>
      <c r="G88" s="581" t="s">
        <v>971</v>
      </c>
      <c r="H88" s="583" t="s">
        <v>77</v>
      </c>
      <c r="I88" s="513"/>
      <c r="J88" s="583" t="s">
        <v>1023</v>
      </c>
      <c r="K88" s="584">
        <v>33</v>
      </c>
      <c r="L88" s="587"/>
      <c r="M88" s="571">
        <v>5</v>
      </c>
      <c r="N88" s="571">
        <v>3</v>
      </c>
      <c r="O88" s="566">
        <f t="shared" si="3"/>
        <v>0.6</v>
      </c>
      <c r="P88" s="567">
        <f t="shared" si="4"/>
        <v>1.8181818181818181</v>
      </c>
      <c r="Q88" s="568">
        <f t="shared" si="5"/>
        <v>1.8181818181818183</v>
      </c>
      <c r="R88" s="687" t="s">
        <v>1954</v>
      </c>
    </row>
    <row r="89" spans="1:18" ht="25.5" x14ac:dyDescent="0.2">
      <c r="A89" s="580" t="s">
        <v>277</v>
      </c>
      <c r="B89" s="581" t="s">
        <v>1012</v>
      </c>
      <c r="C89" s="580" t="s">
        <v>1013</v>
      </c>
      <c r="D89" s="581" t="s">
        <v>109</v>
      </c>
      <c r="E89" s="581" t="s">
        <v>972</v>
      </c>
      <c r="F89" s="582" t="s">
        <v>969</v>
      </c>
      <c r="G89" s="581" t="s">
        <v>925</v>
      </c>
      <c r="H89" s="583" t="s">
        <v>77</v>
      </c>
      <c r="I89" s="513"/>
      <c r="J89" s="583" t="s">
        <v>1023</v>
      </c>
      <c r="K89" s="584">
        <v>25</v>
      </c>
      <c r="L89" s="587"/>
      <c r="M89" s="571">
        <v>5</v>
      </c>
      <c r="N89" s="571">
        <v>0</v>
      </c>
      <c r="O89" s="566">
        <f t="shared" si="3"/>
        <v>0</v>
      </c>
      <c r="P89" s="567">
        <f t="shared" si="4"/>
        <v>0</v>
      </c>
      <c r="Q89" s="568">
        <f t="shared" si="5"/>
        <v>0</v>
      </c>
      <c r="R89" s="687" t="s">
        <v>1954</v>
      </c>
    </row>
    <row r="90" spans="1:18" ht="25.5" x14ac:dyDescent="0.2">
      <c r="A90" s="580" t="s">
        <v>277</v>
      </c>
      <c r="B90" s="581" t="s">
        <v>1012</v>
      </c>
      <c r="C90" s="580" t="s">
        <v>1013</v>
      </c>
      <c r="D90" s="581" t="s">
        <v>109</v>
      </c>
      <c r="E90" s="581" t="s">
        <v>972</v>
      </c>
      <c r="F90" s="582" t="s">
        <v>970</v>
      </c>
      <c r="G90" s="581" t="s">
        <v>925</v>
      </c>
      <c r="H90" s="583" t="s">
        <v>77</v>
      </c>
      <c r="I90" s="513"/>
      <c r="J90" s="583" t="s">
        <v>1023</v>
      </c>
      <c r="K90" s="584">
        <v>25</v>
      </c>
      <c r="L90" s="587"/>
      <c r="M90" s="571">
        <v>5</v>
      </c>
      <c r="N90" s="571">
        <v>0</v>
      </c>
      <c r="O90" s="566">
        <f t="shared" si="3"/>
        <v>0</v>
      </c>
      <c r="P90" s="567">
        <f t="shared" si="4"/>
        <v>0</v>
      </c>
      <c r="Q90" s="568">
        <f t="shared" si="5"/>
        <v>0</v>
      </c>
      <c r="R90" s="687" t="s">
        <v>1954</v>
      </c>
    </row>
    <row r="91" spans="1:18" ht="38.25" x14ac:dyDescent="0.2">
      <c r="A91" s="580" t="s">
        <v>277</v>
      </c>
      <c r="B91" s="581" t="s">
        <v>1012</v>
      </c>
      <c r="C91" s="580" t="s">
        <v>1013</v>
      </c>
      <c r="D91" s="581" t="s">
        <v>109</v>
      </c>
      <c r="E91" s="581" t="s">
        <v>973</v>
      </c>
      <c r="F91" s="582" t="s">
        <v>974</v>
      </c>
      <c r="G91" s="581" t="s">
        <v>925</v>
      </c>
      <c r="H91" s="583" t="s">
        <v>77</v>
      </c>
      <c r="I91" s="513"/>
      <c r="J91" s="583" t="s">
        <v>1023</v>
      </c>
      <c r="K91" s="584">
        <v>25</v>
      </c>
      <c r="L91" s="585" t="s">
        <v>1025</v>
      </c>
      <c r="M91" s="571">
        <v>5</v>
      </c>
      <c r="N91" s="571">
        <v>3</v>
      </c>
      <c r="O91" s="566">
        <f t="shared" si="3"/>
        <v>0.6</v>
      </c>
      <c r="P91" s="567">
        <f t="shared" si="4"/>
        <v>2.4</v>
      </c>
      <c r="Q91" s="568">
        <f t="shared" si="5"/>
        <v>2.4</v>
      </c>
      <c r="R91" s="687" t="s">
        <v>1954</v>
      </c>
    </row>
    <row r="92" spans="1:18" ht="25.5" x14ac:dyDescent="0.2">
      <c r="A92" s="580" t="s">
        <v>277</v>
      </c>
      <c r="B92" s="581" t="s">
        <v>1012</v>
      </c>
      <c r="C92" s="580" t="s">
        <v>1013</v>
      </c>
      <c r="D92" s="581" t="s">
        <v>109</v>
      </c>
      <c r="E92" s="581" t="s">
        <v>973</v>
      </c>
      <c r="F92" s="582" t="s">
        <v>975</v>
      </c>
      <c r="G92" s="581" t="s">
        <v>925</v>
      </c>
      <c r="H92" s="583" t="s">
        <v>77</v>
      </c>
      <c r="I92" s="513"/>
      <c r="J92" s="583" t="s">
        <v>1023</v>
      </c>
      <c r="K92" s="584">
        <v>33</v>
      </c>
      <c r="L92" s="587"/>
      <c r="M92" s="571">
        <v>5</v>
      </c>
      <c r="N92" s="571">
        <v>3</v>
      </c>
      <c r="O92" s="566">
        <f t="shared" si="3"/>
        <v>0.6</v>
      </c>
      <c r="P92" s="567">
        <f t="shared" si="4"/>
        <v>1.8181818181818181</v>
      </c>
      <c r="Q92" s="568">
        <f t="shared" si="5"/>
        <v>1.8181818181818183</v>
      </c>
      <c r="R92" s="687" t="s">
        <v>1954</v>
      </c>
    </row>
    <row r="93" spans="1:18" ht="25.5" x14ac:dyDescent="0.2">
      <c r="A93" s="580" t="s">
        <v>277</v>
      </c>
      <c r="B93" s="581" t="s">
        <v>1012</v>
      </c>
      <c r="C93" s="580" t="s">
        <v>1013</v>
      </c>
      <c r="D93" s="581" t="s">
        <v>109</v>
      </c>
      <c r="E93" s="581" t="s">
        <v>976</v>
      </c>
      <c r="F93" s="582" t="s">
        <v>974</v>
      </c>
      <c r="G93" s="581" t="s">
        <v>925</v>
      </c>
      <c r="H93" s="583" t="s">
        <v>77</v>
      </c>
      <c r="I93" s="513"/>
      <c r="J93" s="583" t="s">
        <v>1023</v>
      </c>
      <c r="K93" s="584">
        <v>25</v>
      </c>
      <c r="L93" s="587"/>
      <c r="M93" s="571">
        <v>5</v>
      </c>
      <c r="N93" s="571">
        <v>3</v>
      </c>
      <c r="O93" s="566">
        <f t="shared" si="3"/>
        <v>0.6</v>
      </c>
      <c r="P93" s="567">
        <f t="shared" si="4"/>
        <v>2.4</v>
      </c>
      <c r="Q93" s="568">
        <f t="shared" si="5"/>
        <v>2.4</v>
      </c>
      <c r="R93" s="687" t="s">
        <v>1954</v>
      </c>
    </row>
    <row r="94" spans="1:18" ht="25.5" x14ac:dyDescent="0.2">
      <c r="A94" s="580" t="s">
        <v>277</v>
      </c>
      <c r="B94" s="581" t="s">
        <v>1012</v>
      </c>
      <c r="C94" s="580" t="s">
        <v>1013</v>
      </c>
      <c r="D94" s="581" t="s">
        <v>109</v>
      </c>
      <c r="E94" s="581" t="s">
        <v>977</v>
      </c>
      <c r="F94" s="582" t="s">
        <v>974</v>
      </c>
      <c r="G94" s="581" t="s">
        <v>925</v>
      </c>
      <c r="H94" s="583" t="s">
        <v>77</v>
      </c>
      <c r="I94" s="513"/>
      <c r="J94" s="583" t="s">
        <v>1023</v>
      </c>
      <c r="K94" s="584">
        <v>25</v>
      </c>
      <c r="L94" s="587"/>
      <c r="M94" s="571">
        <v>5</v>
      </c>
      <c r="N94" s="571">
        <v>1</v>
      </c>
      <c r="O94" s="566">
        <f t="shared" si="3"/>
        <v>0.2</v>
      </c>
      <c r="P94" s="567">
        <f t="shared" si="4"/>
        <v>0.8</v>
      </c>
      <c r="Q94" s="568">
        <f t="shared" si="5"/>
        <v>0.8</v>
      </c>
      <c r="R94" s="687" t="s">
        <v>1954</v>
      </c>
    </row>
    <row r="95" spans="1:18" x14ac:dyDescent="0.2">
      <c r="A95" s="580" t="s">
        <v>277</v>
      </c>
      <c r="B95" s="581" t="s">
        <v>1012</v>
      </c>
      <c r="C95" s="580" t="s">
        <v>1013</v>
      </c>
      <c r="D95" s="581" t="s">
        <v>109</v>
      </c>
      <c r="E95" s="581" t="s">
        <v>978</v>
      </c>
      <c r="F95" s="582" t="s">
        <v>974</v>
      </c>
      <c r="G95" s="581" t="s">
        <v>919</v>
      </c>
      <c r="H95" s="583" t="s">
        <v>77</v>
      </c>
      <c r="I95" s="513"/>
      <c r="J95" s="583" t="s">
        <v>1023</v>
      </c>
      <c r="K95" s="584">
        <v>100</v>
      </c>
      <c r="L95" s="587"/>
      <c r="M95" s="571">
        <v>5</v>
      </c>
      <c r="N95" s="571">
        <v>3</v>
      </c>
      <c r="O95" s="566">
        <f t="shared" si="3"/>
        <v>0.6</v>
      </c>
      <c r="P95" s="567">
        <f t="shared" si="4"/>
        <v>0.6</v>
      </c>
      <c r="Q95" s="568">
        <f t="shared" si="5"/>
        <v>0.6</v>
      </c>
      <c r="R95" s="687" t="s">
        <v>1954</v>
      </c>
    </row>
    <row r="96" spans="1:18" x14ac:dyDescent="0.2">
      <c r="A96" s="580" t="s">
        <v>277</v>
      </c>
      <c r="B96" s="581" t="s">
        <v>1012</v>
      </c>
      <c r="C96" s="580" t="s">
        <v>1013</v>
      </c>
      <c r="D96" s="581" t="s">
        <v>109</v>
      </c>
      <c r="E96" s="581" t="s">
        <v>979</v>
      </c>
      <c r="F96" s="582" t="s">
        <v>974</v>
      </c>
      <c r="G96" s="581" t="s">
        <v>919</v>
      </c>
      <c r="H96" s="583" t="s">
        <v>77</v>
      </c>
      <c r="I96" s="513"/>
      <c r="J96" s="583" t="s">
        <v>1023</v>
      </c>
      <c r="K96" s="589">
        <v>100</v>
      </c>
      <c r="L96" s="587"/>
      <c r="M96" s="571">
        <v>5</v>
      </c>
      <c r="N96" s="571">
        <v>3</v>
      </c>
      <c r="O96" s="566">
        <f t="shared" si="3"/>
        <v>0.6</v>
      </c>
      <c r="P96" s="567">
        <f t="shared" si="4"/>
        <v>0.6</v>
      </c>
      <c r="Q96" s="568">
        <f t="shared" si="5"/>
        <v>0.6</v>
      </c>
      <c r="R96" s="687" t="s">
        <v>1954</v>
      </c>
    </row>
    <row r="97" spans="1:18" ht="25.5" x14ac:dyDescent="0.2">
      <c r="A97" s="580" t="s">
        <v>277</v>
      </c>
      <c r="B97" s="581" t="s">
        <v>1012</v>
      </c>
      <c r="C97" s="580" t="s">
        <v>1013</v>
      </c>
      <c r="D97" s="581" t="s">
        <v>109</v>
      </c>
      <c r="E97" s="581" t="s">
        <v>980</v>
      </c>
      <c r="F97" s="582" t="s">
        <v>974</v>
      </c>
      <c r="G97" s="581" t="s">
        <v>925</v>
      </c>
      <c r="H97" s="583" t="s">
        <v>77</v>
      </c>
      <c r="I97" s="513"/>
      <c r="J97" s="583" t="s">
        <v>1023</v>
      </c>
      <c r="K97" s="589">
        <v>25</v>
      </c>
      <c r="L97" s="587"/>
      <c r="M97" s="571">
        <v>5</v>
      </c>
      <c r="N97" s="571">
        <v>1</v>
      </c>
      <c r="O97" s="566">
        <f t="shared" si="3"/>
        <v>0.2</v>
      </c>
      <c r="P97" s="567">
        <f t="shared" si="4"/>
        <v>0.8</v>
      </c>
      <c r="Q97" s="568">
        <f t="shared" si="5"/>
        <v>0.8</v>
      </c>
      <c r="R97" s="687" t="s">
        <v>1954</v>
      </c>
    </row>
    <row r="98" spans="1:18" ht="25.5" x14ac:dyDescent="0.2">
      <c r="A98" s="580" t="s">
        <v>277</v>
      </c>
      <c r="B98" s="581" t="s">
        <v>1012</v>
      </c>
      <c r="C98" s="580" t="s">
        <v>1013</v>
      </c>
      <c r="D98" s="581" t="s">
        <v>109</v>
      </c>
      <c r="E98" s="581" t="s">
        <v>981</v>
      </c>
      <c r="F98" s="582" t="s">
        <v>974</v>
      </c>
      <c r="G98" s="581" t="s">
        <v>925</v>
      </c>
      <c r="H98" s="583" t="s">
        <v>77</v>
      </c>
      <c r="I98" s="513"/>
      <c r="J98" s="583" t="s">
        <v>1023</v>
      </c>
      <c r="K98" s="589">
        <v>25</v>
      </c>
      <c r="L98" s="587"/>
      <c r="M98" s="571">
        <v>5</v>
      </c>
      <c r="N98" s="571">
        <v>1</v>
      </c>
      <c r="O98" s="566">
        <f t="shared" si="3"/>
        <v>0.2</v>
      </c>
      <c r="P98" s="567">
        <f t="shared" si="4"/>
        <v>0.8</v>
      </c>
      <c r="Q98" s="568">
        <f t="shared" si="5"/>
        <v>0.8</v>
      </c>
      <c r="R98" s="687" t="s">
        <v>1954</v>
      </c>
    </row>
    <row r="99" spans="1:18" x14ac:dyDescent="0.2">
      <c r="A99" s="580" t="s">
        <v>277</v>
      </c>
      <c r="B99" s="581" t="s">
        <v>1012</v>
      </c>
      <c r="C99" s="580" t="s">
        <v>1013</v>
      </c>
      <c r="D99" s="581" t="s">
        <v>109</v>
      </c>
      <c r="E99" s="581" t="s">
        <v>982</v>
      </c>
      <c r="F99" s="590" t="s">
        <v>983</v>
      </c>
      <c r="G99" s="581" t="s">
        <v>919</v>
      </c>
      <c r="H99" s="583" t="s">
        <v>77</v>
      </c>
      <c r="I99" s="513"/>
      <c r="J99" s="583" t="s">
        <v>1023</v>
      </c>
      <c r="K99" s="589">
        <v>100</v>
      </c>
      <c r="L99" s="587"/>
      <c r="M99" s="571">
        <v>5</v>
      </c>
      <c r="N99" s="571">
        <v>3</v>
      </c>
      <c r="O99" s="566">
        <f t="shared" si="3"/>
        <v>0.6</v>
      </c>
      <c r="P99" s="567">
        <f t="shared" si="4"/>
        <v>0.6</v>
      </c>
      <c r="Q99" s="568">
        <f t="shared" si="5"/>
        <v>0.6</v>
      </c>
      <c r="R99" s="687" t="s">
        <v>1954</v>
      </c>
    </row>
    <row r="100" spans="1:18" x14ac:dyDescent="0.2">
      <c r="A100" s="580" t="s">
        <v>277</v>
      </c>
      <c r="B100" s="581" t="s">
        <v>1012</v>
      </c>
      <c r="C100" s="580" t="s">
        <v>1013</v>
      </c>
      <c r="D100" s="581" t="s">
        <v>109</v>
      </c>
      <c r="E100" s="581" t="s">
        <v>984</v>
      </c>
      <c r="F100" s="590" t="s">
        <v>983</v>
      </c>
      <c r="G100" s="581" t="s">
        <v>919</v>
      </c>
      <c r="H100" s="583" t="s">
        <v>77</v>
      </c>
      <c r="I100" s="513"/>
      <c r="J100" s="583" t="s">
        <v>1023</v>
      </c>
      <c r="K100" s="589">
        <v>100</v>
      </c>
      <c r="L100" s="587"/>
      <c r="M100" s="571">
        <v>5</v>
      </c>
      <c r="N100" s="571">
        <v>3</v>
      </c>
      <c r="O100" s="566">
        <f t="shared" si="3"/>
        <v>0.6</v>
      </c>
      <c r="P100" s="567">
        <f t="shared" si="4"/>
        <v>0.6</v>
      </c>
      <c r="Q100" s="568">
        <f t="shared" si="5"/>
        <v>0.6</v>
      </c>
      <c r="R100" s="687" t="s">
        <v>1954</v>
      </c>
    </row>
    <row r="101" spans="1:18" ht="25.5" x14ac:dyDescent="0.2">
      <c r="A101" s="580" t="s">
        <v>277</v>
      </c>
      <c r="B101" s="581" t="s">
        <v>1012</v>
      </c>
      <c r="C101" s="580" t="s">
        <v>1013</v>
      </c>
      <c r="D101" s="581" t="s">
        <v>109</v>
      </c>
      <c r="E101" s="581" t="s">
        <v>985</v>
      </c>
      <c r="F101" s="590" t="s">
        <v>970</v>
      </c>
      <c r="G101" s="581" t="s">
        <v>925</v>
      </c>
      <c r="H101" s="583" t="s">
        <v>77</v>
      </c>
      <c r="I101" s="513"/>
      <c r="J101" s="583" t="s">
        <v>1023</v>
      </c>
      <c r="K101" s="589">
        <v>33</v>
      </c>
      <c r="L101" s="587"/>
      <c r="M101" s="571">
        <v>5</v>
      </c>
      <c r="N101" s="571">
        <v>2</v>
      </c>
      <c r="O101" s="566">
        <f t="shared" si="3"/>
        <v>0.4</v>
      </c>
      <c r="P101" s="567">
        <f t="shared" si="4"/>
        <v>1.2121212121212119</v>
      </c>
      <c r="Q101" s="568">
        <f t="shared" si="5"/>
        <v>1.2121212121212122</v>
      </c>
      <c r="R101" s="687" t="s">
        <v>1954</v>
      </c>
    </row>
    <row r="102" spans="1:18" ht="25.5" x14ac:dyDescent="0.2">
      <c r="A102" s="580" t="s">
        <v>277</v>
      </c>
      <c r="B102" s="581" t="s">
        <v>1012</v>
      </c>
      <c r="C102" s="580" t="s">
        <v>1013</v>
      </c>
      <c r="D102" s="581" t="s">
        <v>109</v>
      </c>
      <c r="E102" s="581" t="s">
        <v>986</v>
      </c>
      <c r="F102" s="590" t="s">
        <v>970</v>
      </c>
      <c r="G102" s="581" t="s">
        <v>925</v>
      </c>
      <c r="H102" s="583" t="s">
        <v>77</v>
      </c>
      <c r="I102" s="513"/>
      <c r="J102" s="583" t="s">
        <v>1023</v>
      </c>
      <c r="K102" s="589">
        <v>33</v>
      </c>
      <c r="L102" s="587"/>
      <c r="M102" s="571">
        <v>5</v>
      </c>
      <c r="N102" s="571">
        <v>2</v>
      </c>
      <c r="O102" s="566">
        <f t="shared" si="3"/>
        <v>0.4</v>
      </c>
      <c r="P102" s="567">
        <f t="shared" si="4"/>
        <v>1.2121212121212119</v>
      </c>
      <c r="Q102" s="568">
        <f t="shared" si="5"/>
        <v>1.2121212121212122</v>
      </c>
      <c r="R102" s="687" t="s">
        <v>1954</v>
      </c>
    </row>
    <row r="103" spans="1:18" ht="25.5" x14ac:dyDescent="0.2">
      <c r="A103" s="580" t="s">
        <v>277</v>
      </c>
      <c r="B103" s="581" t="s">
        <v>1012</v>
      </c>
      <c r="C103" s="580" t="s">
        <v>1013</v>
      </c>
      <c r="D103" s="581" t="s">
        <v>109</v>
      </c>
      <c r="E103" s="581" t="s">
        <v>987</v>
      </c>
      <c r="F103" s="590" t="s">
        <v>970</v>
      </c>
      <c r="G103" s="581" t="s">
        <v>925</v>
      </c>
      <c r="H103" s="583" t="s">
        <v>77</v>
      </c>
      <c r="I103" s="513"/>
      <c r="J103" s="583" t="s">
        <v>1023</v>
      </c>
      <c r="K103" s="589">
        <v>33</v>
      </c>
      <c r="L103" s="587"/>
      <c r="M103" s="571">
        <v>5</v>
      </c>
      <c r="N103" s="571">
        <v>2</v>
      </c>
      <c r="O103" s="566">
        <f t="shared" si="3"/>
        <v>0.4</v>
      </c>
      <c r="P103" s="567">
        <f t="shared" si="4"/>
        <v>1.2121212121212119</v>
      </c>
      <c r="Q103" s="568">
        <f t="shared" si="5"/>
        <v>1.2121212121212122</v>
      </c>
      <c r="R103" s="687" t="s">
        <v>1954</v>
      </c>
    </row>
    <row r="104" spans="1:18" ht="25.5" x14ac:dyDescent="0.2">
      <c r="A104" s="580" t="s">
        <v>277</v>
      </c>
      <c r="B104" s="581" t="s">
        <v>1012</v>
      </c>
      <c r="C104" s="580" t="s">
        <v>1013</v>
      </c>
      <c r="D104" s="581" t="s">
        <v>109</v>
      </c>
      <c r="E104" s="581" t="s">
        <v>988</v>
      </c>
      <c r="F104" s="590" t="s">
        <v>970</v>
      </c>
      <c r="G104" s="581" t="s">
        <v>925</v>
      </c>
      <c r="H104" s="583" t="s">
        <v>77</v>
      </c>
      <c r="I104" s="513"/>
      <c r="J104" s="583" t="s">
        <v>1023</v>
      </c>
      <c r="K104" s="589">
        <v>33</v>
      </c>
      <c r="L104" s="587"/>
      <c r="M104" s="571">
        <v>5</v>
      </c>
      <c r="N104" s="571">
        <v>2</v>
      </c>
      <c r="O104" s="566">
        <f t="shared" si="3"/>
        <v>0.4</v>
      </c>
      <c r="P104" s="567">
        <f t="shared" si="4"/>
        <v>1.2121212121212119</v>
      </c>
      <c r="Q104" s="568">
        <f t="shared" si="5"/>
        <v>1.2121212121212122</v>
      </c>
      <c r="R104" s="687" t="s">
        <v>1954</v>
      </c>
    </row>
    <row r="105" spans="1:18" ht="25.5" x14ac:dyDescent="0.2">
      <c r="A105" s="580" t="s">
        <v>277</v>
      </c>
      <c r="B105" s="581" t="s">
        <v>1012</v>
      </c>
      <c r="C105" s="580" t="s">
        <v>1013</v>
      </c>
      <c r="D105" s="581" t="s">
        <v>109</v>
      </c>
      <c r="E105" s="581" t="s">
        <v>989</v>
      </c>
      <c r="F105" s="590" t="s">
        <v>970</v>
      </c>
      <c r="G105" s="581" t="s">
        <v>925</v>
      </c>
      <c r="H105" s="583" t="s">
        <v>77</v>
      </c>
      <c r="I105" s="513"/>
      <c r="J105" s="583" t="s">
        <v>1023</v>
      </c>
      <c r="K105" s="589">
        <v>33</v>
      </c>
      <c r="L105" s="587"/>
      <c r="M105" s="571">
        <v>5</v>
      </c>
      <c r="N105" s="571">
        <v>2</v>
      </c>
      <c r="O105" s="566">
        <f t="shared" si="3"/>
        <v>0.4</v>
      </c>
      <c r="P105" s="567">
        <f t="shared" si="4"/>
        <v>1.2121212121212119</v>
      </c>
      <c r="Q105" s="568">
        <f t="shared" si="5"/>
        <v>1.2121212121212122</v>
      </c>
      <c r="R105" s="687" t="s">
        <v>1954</v>
      </c>
    </row>
    <row r="106" spans="1:18" ht="25.5" x14ac:dyDescent="0.2">
      <c r="A106" s="580" t="s">
        <v>277</v>
      </c>
      <c r="B106" s="581" t="s">
        <v>1012</v>
      </c>
      <c r="C106" s="580" t="s">
        <v>1013</v>
      </c>
      <c r="D106" s="581" t="s">
        <v>109</v>
      </c>
      <c r="E106" s="581" t="s">
        <v>990</v>
      </c>
      <c r="F106" s="590" t="s">
        <v>970</v>
      </c>
      <c r="G106" s="581" t="s">
        <v>925</v>
      </c>
      <c r="H106" s="583" t="s">
        <v>77</v>
      </c>
      <c r="I106" s="513"/>
      <c r="J106" s="583" t="s">
        <v>1023</v>
      </c>
      <c r="K106" s="589">
        <v>33</v>
      </c>
      <c r="L106" s="587"/>
      <c r="M106" s="571">
        <v>5</v>
      </c>
      <c r="N106" s="571">
        <v>2</v>
      </c>
      <c r="O106" s="566">
        <f t="shared" si="3"/>
        <v>0.4</v>
      </c>
      <c r="P106" s="567">
        <f t="shared" si="4"/>
        <v>1.2121212121212119</v>
      </c>
      <c r="Q106" s="568">
        <f t="shared" si="5"/>
        <v>1.2121212121212122</v>
      </c>
      <c r="R106" s="687" t="s">
        <v>1954</v>
      </c>
    </row>
    <row r="107" spans="1:18" x14ac:dyDescent="0.2">
      <c r="A107" s="580" t="s">
        <v>277</v>
      </c>
      <c r="B107" s="581" t="s">
        <v>1012</v>
      </c>
      <c r="C107" s="580" t="s">
        <v>1013</v>
      </c>
      <c r="D107" s="581" t="s">
        <v>109</v>
      </c>
      <c r="E107" s="581" t="s">
        <v>991</v>
      </c>
      <c r="F107" s="590" t="s">
        <v>974</v>
      </c>
      <c r="G107" s="581" t="s">
        <v>919</v>
      </c>
      <c r="H107" s="583" t="s">
        <v>77</v>
      </c>
      <c r="I107" s="513"/>
      <c r="J107" s="583" t="s">
        <v>1023</v>
      </c>
      <c r="K107" s="589">
        <v>100</v>
      </c>
      <c r="L107" s="587"/>
      <c r="M107" s="571">
        <v>5</v>
      </c>
      <c r="N107" s="571">
        <v>3</v>
      </c>
      <c r="O107" s="566">
        <f t="shared" si="3"/>
        <v>0.6</v>
      </c>
      <c r="P107" s="567">
        <f t="shared" si="4"/>
        <v>0.6</v>
      </c>
      <c r="Q107" s="568">
        <f t="shared" si="5"/>
        <v>0.6</v>
      </c>
      <c r="R107" s="687" t="s">
        <v>1954</v>
      </c>
    </row>
    <row r="108" spans="1:18" x14ac:dyDescent="0.2">
      <c r="A108" s="580" t="s">
        <v>277</v>
      </c>
      <c r="B108" s="581" t="s">
        <v>1012</v>
      </c>
      <c r="C108" s="580" t="s">
        <v>1013</v>
      </c>
      <c r="D108" s="581" t="s">
        <v>109</v>
      </c>
      <c r="E108" s="581" t="s">
        <v>992</v>
      </c>
      <c r="F108" s="590" t="s">
        <v>974</v>
      </c>
      <c r="G108" s="581" t="s">
        <v>919</v>
      </c>
      <c r="H108" s="583" t="s">
        <v>77</v>
      </c>
      <c r="I108" s="513"/>
      <c r="J108" s="583" t="s">
        <v>1023</v>
      </c>
      <c r="K108" s="589">
        <v>100</v>
      </c>
      <c r="L108" s="587"/>
      <c r="M108" s="571">
        <v>5</v>
      </c>
      <c r="N108" s="571">
        <v>3</v>
      </c>
      <c r="O108" s="566">
        <f t="shared" si="3"/>
        <v>0.6</v>
      </c>
      <c r="P108" s="567">
        <f t="shared" si="4"/>
        <v>0.6</v>
      </c>
      <c r="Q108" s="568">
        <f t="shared" si="5"/>
        <v>0.6</v>
      </c>
      <c r="R108" s="687" t="s">
        <v>1954</v>
      </c>
    </row>
    <row r="109" spans="1:18" ht="25.5" x14ac:dyDescent="0.2">
      <c r="A109" s="580" t="s">
        <v>277</v>
      </c>
      <c r="B109" s="581" t="s">
        <v>1012</v>
      </c>
      <c r="C109" s="580" t="s">
        <v>1013</v>
      </c>
      <c r="D109" s="581" t="s">
        <v>109</v>
      </c>
      <c r="E109" s="581" t="s">
        <v>993</v>
      </c>
      <c r="F109" s="590" t="s">
        <v>974</v>
      </c>
      <c r="G109" s="581" t="s">
        <v>919</v>
      </c>
      <c r="H109" s="583" t="s">
        <v>77</v>
      </c>
      <c r="I109" s="513"/>
      <c r="J109" s="583" t="s">
        <v>1023</v>
      </c>
      <c r="K109" s="589">
        <v>100</v>
      </c>
      <c r="L109" s="587"/>
      <c r="M109" s="571">
        <v>5</v>
      </c>
      <c r="N109" s="571">
        <v>3</v>
      </c>
      <c r="O109" s="566">
        <f t="shared" si="3"/>
        <v>0.6</v>
      </c>
      <c r="P109" s="567">
        <f t="shared" si="4"/>
        <v>0.6</v>
      </c>
      <c r="Q109" s="568">
        <f t="shared" si="5"/>
        <v>0.6</v>
      </c>
      <c r="R109" s="687" t="s">
        <v>1954</v>
      </c>
    </row>
    <row r="110" spans="1:18" ht="25.5" x14ac:dyDescent="0.2">
      <c r="A110" s="580" t="s">
        <v>277</v>
      </c>
      <c r="B110" s="581" t="s">
        <v>1012</v>
      </c>
      <c r="C110" s="580" t="s">
        <v>1013</v>
      </c>
      <c r="D110" s="581" t="s">
        <v>109</v>
      </c>
      <c r="E110" s="581" t="s">
        <v>994</v>
      </c>
      <c r="F110" s="582" t="s">
        <v>969</v>
      </c>
      <c r="G110" s="581" t="s">
        <v>919</v>
      </c>
      <c r="H110" s="583" t="s">
        <v>77</v>
      </c>
      <c r="I110" s="513"/>
      <c r="J110" s="583" t="s">
        <v>1023</v>
      </c>
      <c r="K110" s="589">
        <v>100</v>
      </c>
      <c r="L110" s="585" t="s">
        <v>1024</v>
      </c>
      <c r="M110" s="571">
        <v>5</v>
      </c>
      <c r="N110" s="571">
        <v>3</v>
      </c>
      <c r="O110" s="566">
        <f t="shared" si="3"/>
        <v>0.6</v>
      </c>
      <c r="P110" s="567">
        <f t="shared" si="4"/>
        <v>0.6</v>
      </c>
      <c r="Q110" s="568">
        <f t="shared" si="5"/>
        <v>0.6</v>
      </c>
      <c r="R110" s="687" t="s">
        <v>1954</v>
      </c>
    </row>
    <row r="111" spans="1:18" ht="25.5" x14ac:dyDescent="0.2">
      <c r="A111" s="580" t="s">
        <v>277</v>
      </c>
      <c r="B111" s="581" t="s">
        <v>1012</v>
      </c>
      <c r="C111" s="580" t="s">
        <v>1013</v>
      </c>
      <c r="D111" s="581" t="s">
        <v>109</v>
      </c>
      <c r="E111" s="581" t="s">
        <v>994</v>
      </c>
      <c r="F111" s="582" t="s">
        <v>970</v>
      </c>
      <c r="G111" s="581" t="s">
        <v>925</v>
      </c>
      <c r="H111" s="583" t="s">
        <v>77</v>
      </c>
      <c r="I111" s="513"/>
      <c r="J111" s="583" t="s">
        <v>1023</v>
      </c>
      <c r="K111" s="589">
        <v>33</v>
      </c>
      <c r="L111" s="587"/>
      <c r="M111" s="571">
        <v>5</v>
      </c>
      <c r="N111" s="571">
        <v>3</v>
      </c>
      <c r="O111" s="566">
        <f t="shared" si="3"/>
        <v>0.6</v>
      </c>
      <c r="P111" s="567">
        <f t="shared" si="4"/>
        <v>1.8181818181818181</v>
      </c>
      <c r="Q111" s="568">
        <f t="shared" si="5"/>
        <v>1.8181818181818183</v>
      </c>
      <c r="R111" s="687" t="s">
        <v>1954</v>
      </c>
    </row>
    <row r="112" spans="1:18" ht="25.5" x14ac:dyDescent="0.2">
      <c r="A112" s="580" t="s">
        <v>277</v>
      </c>
      <c r="B112" s="581" t="s">
        <v>1012</v>
      </c>
      <c r="C112" s="580" t="s">
        <v>1013</v>
      </c>
      <c r="D112" s="581" t="s">
        <v>109</v>
      </c>
      <c r="E112" s="581" t="s">
        <v>995</v>
      </c>
      <c r="F112" s="590" t="s">
        <v>974</v>
      </c>
      <c r="G112" s="581" t="s">
        <v>925</v>
      </c>
      <c r="H112" s="583" t="s">
        <v>77</v>
      </c>
      <c r="I112" s="513"/>
      <c r="J112" s="583" t="s">
        <v>1023</v>
      </c>
      <c r="K112" s="589">
        <v>25</v>
      </c>
      <c r="L112" s="587"/>
      <c r="M112" s="571">
        <v>5</v>
      </c>
      <c r="N112" s="571">
        <v>0</v>
      </c>
      <c r="O112" s="566">
        <f t="shared" si="3"/>
        <v>0</v>
      </c>
      <c r="P112" s="567">
        <f t="shared" si="4"/>
        <v>0</v>
      </c>
      <c r="Q112" s="568">
        <f t="shared" si="5"/>
        <v>0</v>
      </c>
      <c r="R112" s="687" t="s">
        <v>1954</v>
      </c>
    </row>
    <row r="113" spans="1:18" ht="38.25" x14ac:dyDescent="0.2">
      <c r="A113" s="580" t="s">
        <v>277</v>
      </c>
      <c r="B113" s="581" t="s">
        <v>1012</v>
      </c>
      <c r="C113" s="580" t="s">
        <v>1013</v>
      </c>
      <c r="D113" s="581" t="s">
        <v>109</v>
      </c>
      <c r="E113" s="581" t="s">
        <v>996</v>
      </c>
      <c r="F113" s="590" t="s">
        <v>974</v>
      </c>
      <c r="G113" s="581" t="s">
        <v>925</v>
      </c>
      <c r="H113" s="583" t="s">
        <v>77</v>
      </c>
      <c r="I113" s="513"/>
      <c r="J113" s="583" t="s">
        <v>1023</v>
      </c>
      <c r="K113" s="589">
        <v>25</v>
      </c>
      <c r="L113" s="587"/>
      <c r="M113" s="571">
        <v>5</v>
      </c>
      <c r="N113" s="571">
        <v>0</v>
      </c>
      <c r="O113" s="566">
        <f t="shared" si="3"/>
        <v>0</v>
      </c>
      <c r="P113" s="567">
        <f t="shared" si="4"/>
        <v>0</v>
      </c>
      <c r="Q113" s="568">
        <f t="shared" si="5"/>
        <v>0</v>
      </c>
      <c r="R113" s="687" t="s">
        <v>1954</v>
      </c>
    </row>
    <row r="114" spans="1:18" ht="38.25" x14ac:dyDescent="0.2">
      <c r="A114" s="580" t="s">
        <v>277</v>
      </c>
      <c r="B114" s="581" t="s">
        <v>1012</v>
      </c>
      <c r="C114" s="580" t="s">
        <v>1013</v>
      </c>
      <c r="D114" s="581" t="s">
        <v>109</v>
      </c>
      <c r="E114" s="581" t="s">
        <v>997</v>
      </c>
      <c r="F114" s="590" t="s">
        <v>974</v>
      </c>
      <c r="G114" s="581" t="s">
        <v>919</v>
      </c>
      <c r="H114" s="583" t="s">
        <v>77</v>
      </c>
      <c r="I114" s="513"/>
      <c r="J114" s="583" t="s">
        <v>1023</v>
      </c>
      <c r="K114" s="589">
        <v>100</v>
      </c>
      <c r="L114" s="587"/>
      <c r="M114" s="571">
        <v>5</v>
      </c>
      <c r="N114" s="571">
        <v>3</v>
      </c>
      <c r="O114" s="566">
        <f t="shared" si="3"/>
        <v>0.6</v>
      </c>
      <c r="P114" s="567">
        <f t="shared" si="4"/>
        <v>0.6</v>
      </c>
      <c r="Q114" s="568">
        <f t="shared" si="5"/>
        <v>0.6</v>
      </c>
      <c r="R114" s="687" t="s">
        <v>1954</v>
      </c>
    </row>
    <row r="115" spans="1:18" x14ac:dyDescent="0.2">
      <c r="A115" s="580" t="s">
        <v>277</v>
      </c>
      <c r="B115" s="581" t="s">
        <v>1012</v>
      </c>
      <c r="C115" s="580" t="s">
        <v>1013</v>
      </c>
      <c r="D115" s="581" t="s">
        <v>946</v>
      </c>
      <c r="E115" s="581" t="s">
        <v>998</v>
      </c>
      <c r="F115" s="590" t="s">
        <v>974</v>
      </c>
      <c r="G115" s="581" t="s">
        <v>919</v>
      </c>
      <c r="H115" s="583" t="s">
        <v>77</v>
      </c>
      <c r="I115" s="513"/>
      <c r="J115" s="583" t="s">
        <v>1023</v>
      </c>
      <c r="K115" s="589">
        <v>100</v>
      </c>
      <c r="L115" s="587"/>
      <c r="M115" s="571">
        <v>5</v>
      </c>
      <c r="N115" s="571">
        <v>3</v>
      </c>
      <c r="O115" s="566">
        <f t="shared" si="3"/>
        <v>0.6</v>
      </c>
      <c r="P115" s="567">
        <f t="shared" si="4"/>
        <v>0.6</v>
      </c>
      <c r="Q115" s="568">
        <f t="shared" si="5"/>
        <v>0.6</v>
      </c>
      <c r="R115" s="687" t="s">
        <v>1954</v>
      </c>
    </row>
    <row r="116" spans="1:18" x14ac:dyDescent="0.2">
      <c r="A116" s="580" t="s">
        <v>277</v>
      </c>
      <c r="B116" s="581" t="s">
        <v>1012</v>
      </c>
      <c r="C116" s="580" t="s">
        <v>1013</v>
      </c>
      <c r="D116" s="581" t="s">
        <v>946</v>
      </c>
      <c r="E116" s="581" t="s">
        <v>999</v>
      </c>
      <c r="F116" s="590" t="s">
        <v>974</v>
      </c>
      <c r="G116" s="581" t="s">
        <v>919</v>
      </c>
      <c r="H116" s="583" t="s">
        <v>77</v>
      </c>
      <c r="I116" s="513"/>
      <c r="J116" s="583" t="s">
        <v>1023</v>
      </c>
      <c r="K116" s="589">
        <v>100</v>
      </c>
      <c r="L116" s="587"/>
      <c r="M116" s="571">
        <v>5</v>
      </c>
      <c r="N116" s="571">
        <v>3</v>
      </c>
      <c r="O116" s="566">
        <f t="shared" si="3"/>
        <v>0.6</v>
      </c>
      <c r="P116" s="567">
        <f t="shared" si="4"/>
        <v>0.6</v>
      </c>
      <c r="Q116" s="568">
        <f t="shared" si="5"/>
        <v>0.6</v>
      </c>
      <c r="R116" s="687" t="s">
        <v>1954</v>
      </c>
    </row>
    <row r="117" spans="1:18" ht="25.5" x14ac:dyDescent="0.2">
      <c r="A117" s="580" t="s">
        <v>277</v>
      </c>
      <c r="B117" s="581" t="s">
        <v>1012</v>
      </c>
      <c r="C117" s="580" t="s">
        <v>1013</v>
      </c>
      <c r="D117" s="581" t="s">
        <v>946</v>
      </c>
      <c r="E117" s="581" t="s">
        <v>1000</v>
      </c>
      <c r="F117" s="590" t="s">
        <v>974</v>
      </c>
      <c r="G117" s="581" t="s">
        <v>925</v>
      </c>
      <c r="H117" s="583" t="s">
        <v>77</v>
      </c>
      <c r="I117" s="513"/>
      <c r="J117" s="583" t="s">
        <v>1023</v>
      </c>
      <c r="K117" s="589">
        <v>25</v>
      </c>
      <c r="L117" s="587"/>
      <c r="M117" s="571">
        <v>5</v>
      </c>
      <c r="N117" s="571">
        <v>0</v>
      </c>
      <c r="O117" s="566">
        <f t="shared" si="3"/>
        <v>0</v>
      </c>
      <c r="P117" s="567">
        <f t="shared" si="4"/>
        <v>0</v>
      </c>
      <c r="Q117" s="568">
        <f t="shared" si="5"/>
        <v>0</v>
      </c>
      <c r="R117" s="687" t="s">
        <v>1954</v>
      </c>
    </row>
    <row r="118" spans="1:18" ht="25.5" x14ac:dyDescent="0.2">
      <c r="A118" s="580" t="s">
        <v>277</v>
      </c>
      <c r="B118" s="581" t="s">
        <v>1012</v>
      </c>
      <c r="C118" s="580" t="s">
        <v>1013</v>
      </c>
      <c r="D118" s="581" t="s">
        <v>946</v>
      </c>
      <c r="E118" s="581" t="s">
        <v>1001</v>
      </c>
      <c r="F118" s="590" t="s">
        <v>974</v>
      </c>
      <c r="G118" s="581" t="s">
        <v>925</v>
      </c>
      <c r="H118" s="583" t="s">
        <v>77</v>
      </c>
      <c r="I118" s="513"/>
      <c r="J118" s="583" t="s">
        <v>1023</v>
      </c>
      <c r="K118" s="589">
        <v>25</v>
      </c>
      <c r="L118" s="587"/>
      <c r="M118" s="571">
        <v>5</v>
      </c>
      <c r="N118" s="571">
        <v>0</v>
      </c>
      <c r="O118" s="566">
        <f t="shared" si="3"/>
        <v>0</v>
      </c>
      <c r="P118" s="567">
        <f t="shared" si="4"/>
        <v>0</v>
      </c>
      <c r="Q118" s="568">
        <f t="shared" si="5"/>
        <v>0</v>
      </c>
      <c r="R118" s="687" t="s">
        <v>1954</v>
      </c>
    </row>
    <row r="119" spans="1:18" ht="25.5" x14ac:dyDescent="0.2">
      <c r="A119" s="580" t="s">
        <v>277</v>
      </c>
      <c r="B119" s="581" t="s">
        <v>1012</v>
      </c>
      <c r="C119" s="580" t="s">
        <v>1013</v>
      </c>
      <c r="D119" s="581" t="s">
        <v>946</v>
      </c>
      <c r="E119" s="581" t="s">
        <v>1002</v>
      </c>
      <c r="F119" s="590" t="s">
        <v>974</v>
      </c>
      <c r="G119" s="581" t="s">
        <v>925</v>
      </c>
      <c r="H119" s="583" t="s">
        <v>77</v>
      </c>
      <c r="I119" s="513"/>
      <c r="J119" s="583" t="s">
        <v>1023</v>
      </c>
      <c r="K119" s="589">
        <v>25</v>
      </c>
      <c r="L119" s="587"/>
      <c r="M119" s="571">
        <v>5</v>
      </c>
      <c r="N119" s="571">
        <v>0</v>
      </c>
      <c r="O119" s="566">
        <f t="shared" si="3"/>
        <v>0</v>
      </c>
      <c r="P119" s="567">
        <f t="shared" si="4"/>
        <v>0</v>
      </c>
      <c r="Q119" s="568">
        <f t="shared" si="5"/>
        <v>0</v>
      </c>
      <c r="R119" s="687" t="s">
        <v>1954</v>
      </c>
    </row>
    <row r="120" spans="1:18" ht="25.5" x14ac:dyDescent="0.2">
      <c r="A120" s="580" t="s">
        <v>277</v>
      </c>
      <c r="B120" s="581" t="s">
        <v>1012</v>
      </c>
      <c r="C120" s="580" t="s">
        <v>1013</v>
      </c>
      <c r="D120" s="581" t="s">
        <v>946</v>
      </c>
      <c r="E120" s="581" t="s">
        <v>1003</v>
      </c>
      <c r="F120" s="590" t="s">
        <v>974</v>
      </c>
      <c r="G120" s="581" t="s">
        <v>925</v>
      </c>
      <c r="H120" s="583" t="s">
        <v>77</v>
      </c>
      <c r="I120" s="513"/>
      <c r="J120" s="583" t="s">
        <v>1023</v>
      </c>
      <c r="K120" s="589">
        <v>25</v>
      </c>
      <c r="L120" s="587"/>
      <c r="M120" s="571">
        <v>5</v>
      </c>
      <c r="N120" s="571">
        <v>0</v>
      </c>
      <c r="O120" s="566">
        <f t="shared" si="3"/>
        <v>0</v>
      </c>
      <c r="P120" s="567">
        <f t="shared" si="4"/>
        <v>0</v>
      </c>
      <c r="Q120" s="568">
        <f t="shared" si="5"/>
        <v>0</v>
      </c>
      <c r="R120" s="687" t="s">
        <v>1954</v>
      </c>
    </row>
    <row r="121" spans="1:18" ht="25.5" x14ac:dyDescent="0.2">
      <c r="A121" s="580" t="s">
        <v>277</v>
      </c>
      <c r="B121" s="581" t="s">
        <v>1012</v>
      </c>
      <c r="C121" s="580" t="s">
        <v>1013</v>
      </c>
      <c r="D121" s="581" t="s">
        <v>946</v>
      </c>
      <c r="E121" s="581" t="s">
        <v>1004</v>
      </c>
      <c r="F121" s="582" t="s">
        <v>974</v>
      </c>
      <c r="G121" s="581" t="s">
        <v>919</v>
      </c>
      <c r="H121" s="583" t="s">
        <v>77</v>
      </c>
      <c r="I121" s="513"/>
      <c r="J121" s="583" t="s">
        <v>1023</v>
      </c>
      <c r="K121" s="589">
        <v>100</v>
      </c>
      <c r="L121" s="587"/>
      <c r="M121" s="571">
        <v>5</v>
      </c>
      <c r="N121" s="571">
        <v>3</v>
      </c>
      <c r="O121" s="566">
        <f t="shared" si="3"/>
        <v>0.6</v>
      </c>
      <c r="P121" s="567">
        <f t="shared" si="4"/>
        <v>0.6</v>
      </c>
      <c r="Q121" s="568">
        <f t="shared" si="5"/>
        <v>0.6</v>
      </c>
      <c r="R121" s="687" t="s">
        <v>1954</v>
      </c>
    </row>
    <row r="122" spans="1:18" ht="25.5" x14ac:dyDescent="0.2">
      <c r="A122" s="580" t="s">
        <v>277</v>
      </c>
      <c r="B122" s="581" t="s">
        <v>1012</v>
      </c>
      <c r="C122" s="580" t="s">
        <v>1013</v>
      </c>
      <c r="D122" s="581" t="s">
        <v>946</v>
      </c>
      <c r="E122" s="581" t="s">
        <v>1004</v>
      </c>
      <c r="F122" s="582" t="s">
        <v>970</v>
      </c>
      <c r="G122" s="581" t="s">
        <v>1005</v>
      </c>
      <c r="H122" s="583" t="s">
        <v>77</v>
      </c>
      <c r="I122" s="513"/>
      <c r="J122" s="583" t="s">
        <v>1023</v>
      </c>
      <c r="K122" s="589">
        <v>33</v>
      </c>
      <c r="L122" s="587"/>
      <c r="M122" s="571">
        <v>5</v>
      </c>
      <c r="N122" s="571">
        <v>3</v>
      </c>
      <c r="O122" s="566">
        <f t="shared" si="3"/>
        <v>0.6</v>
      </c>
      <c r="P122" s="567">
        <f t="shared" si="4"/>
        <v>1.8181818181818181</v>
      </c>
      <c r="Q122" s="568">
        <f t="shared" si="5"/>
        <v>1.8181818181818183</v>
      </c>
      <c r="R122" s="687" t="s">
        <v>1954</v>
      </c>
    </row>
    <row r="123" spans="1:18" ht="25.5" x14ac:dyDescent="0.2">
      <c r="A123" s="580" t="s">
        <v>277</v>
      </c>
      <c r="B123" s="581" t="s">
        <v>1012</v>
      </c>
      <c r="C123" s="580" t="s">
        <v>1013</v>
      </c>
      <c r="D123" s="581" t="s">
        <v>946</v>
      </c>
      <c r="E123" s="581" t="s">
        <v>954</v>
      </c>
      <c r="F123" s="582" t="s">
        <v>974</v>
      </c>
      <c r="G123" s="581" t="s">
        <v>1006</v>
      </c>
      <c r="H123" s="583" t="s">
        <v>77</v>
      </c>
      <c r="I123" s="513"/>
      <c r="J123" s="583" t="s">
        <v>1023</v>
      </c>
      <c r="K123" s="589">
        <v>100</v>
      </c>
      <c r="L123" s="585" t="s">
        <v>1024</v>
      </c>
      <c r="M123" s="571">
        <v>5</v>
      </c>
      <c r="N123" s="571">
        <v>3</v>
      </c>
      <c r="O123" s="566">
        <f t="shared" si="3"/>
        <v>0.6</v>
      </c>
      <c r="P123" s="567">
        <f t="shared" si="4"/>
        <v>0.6</v>
      </c>
      <c r="Q123" s="568">
        <f t="shared" si="5"/>
        <v>0.6</v>
      </c>
      <c r="R123" s="687" t="s">
        <v>1954</v>
      </c>
    </row>
    <row r="124" spans="1:18" x14ac:dyDescent="0.2">
      <c r="A124" s="580" t="s">
        <v>277</v>
      </c>
      <c r="B124" s="581" t="s">
        <v>1012</v>
      </c>
      <c r="C124" s="580" t="s">
        <v>1013</v>
      </c>
      <c r="D124" s="581" t="s">
        <v>946</v>
      </c>
      <c r="E124" s="581" t="s">
        <v>954</v>
      </c>
      <c r="F124" s="582" t="s">
        <v>970</v>
      </c>
      <c r="G124" s="581" t="s">
        <v>1005</v>
      </c>
      <c r="H124" s="583" t="s">
        <v>77</v>
      </c>
      <c r="I124" s="513"/>
      <c r="J124" s="583" t="s">
        <v>1023</v>
      </c>
      <c r="K124" s="589">
        <v>33</v>
      </c>
      <c r="L124" s="587"/>
      <c r="M124" s="571">
        <v>5</v>
      </c>
      <c r="N124" s="571">
        <v>3</v>
      </c>
      <c r="O124" s="566">
        <f t="shared" si="3"/>
        <v>0.6</v>
      </c>
      <c r="P124" s="567">
        <f t="shared" si="4"/>
        <v>1.8181818181818181</v>
      </c>
      <c r="Q124" s="568">
        <f t="shared" si="5"/>
        <v>1.8181818181818183</v>
      </c>
      <c r="R124" s="687" t="s">
        <v>1954</v>
      </c>
    </row>
    <row r="125" spans="1:18" ht="25.5" x14ac:dyDescent="0.2">
      <c r="A125" s="580" t="s">
        <v>277</v>
      </c>
      <c r="B125" s="581" t="s">
        <v>1012</v>
      </c>
      <c r="C125" s="580" t="s">
        <v>1013</v>
      </c>
      <c r="D125" s="581" t="s">
        <v>946</v>
      </c>
      <c r="E125" s="581" t="s">
        <v>1007</v>
      </c>
      <c r="F125" s="582" t="s">
        <v>974</v>
      </c>
      <c r="G125" s="581" t="s">
        <v>919</v>
      </c>
      <c r="H125" s="583" t="s">
        <v>77</v>
      </c>
      <c r="I125" s="513"/>
      <c r="J125" s="583" t="s">
        <v>1023</v>
      </c>
      <c r="K125" s="589">
        <v>100</v>
      </c>
      <c r="L125" s="587"/>
      <c r="M125" s="571">
        <v>5</v>
      </c>
      <c r="N125" s="571">
        <v>3</v>
      </c>
      <c r="O125" s="566">
        <f t="shared" si="3"/>
        <v>0.6</v>
      </c>
      <c r="P125" s="567">
        <f t="shared" si="4"/>
        <v>0.6</v>
      </c>
      <c r="Q125" s="568">
        <f t="shared" si="5"/>
        <v>0.6</v>
      </c>
      <c r="R125" s="687" t="s">
        <v>1954</v>
      </c>
    </row>
    <row r="126" spans="1:18" ht="25.5" x14ac:dyDescent="0.2">
      <c r="A126" s="580" t="s">
        <v>277</v>
      </c>
      <c r="B126" s="581" t="s">
        <v>1012</v>
      </c>
      <c r="C126" s="580" t="s">
        <v>1013</v>
      </c>
      <c r="D126" s="581" t="s">
        <v>1008</v>
      </c>
      <c r="E126" s="581" t="s">
        <v>1007</v>
      </c>
      <c r="F126" s="582" t="s">
        <v>1009</v>
      </c>
      <c r="G126" s="581" t="s">
        <v>919</v>
      </c>
      <c r="H126" s="583" t="s">
        <v>77</v>
      </c>
      <c r="I126" s="513"/>
      <c r="J126" s="583" t="s">
        <v>1023</v>
      </c>
      <c r="K126" s="589">
        <v>100</v>
      </c>
      <c r="L126" s="587"/>
      <c r="M126" s="571">
        <v>5</v>
      </c>
      <c r="N126" s="571">
        <v>3</v>
      </c>
      <c r="O126" s="566">
        <f t="shared" si="3"/>
        <v>0.6</v>
      </c>
      <c r="P126" s="567">
        <f t="shared" si="4"/>
        <v>0.6</v>
      </c>
      <c r="Q126" s="568">
        <f t="shared" si="5"/>
        <v>0.6</v>
      </c>
      <c r="R126" s="687" t="s">
        <v>1954</v>
      </c>
    </row>
    <row r="127" spans="1:18" x14ac:dyDescent="0.2">
      <c r="A127" s="580" t="s">
        <v>277</v>
      </c>
      <c r="B127" s="581" t="s">
        <v>1012</v>
      </c>
      <c r="C127" s="580" t="s">
        <v>1013</v>
      </c>
      <c r="D127" s="581" t="s">
        <v>1008</v>
      </c>
      <c r="E127" s="581" t="s">
        <v>1010</v>
      </c>
      <c r="F127" s="582" t="s">
        <v>974</v>
      </c>
      <c r="G127" s="581" t="s">
        <v>919</v>
      </c>
      <c r="H127" s="583" t="s">
        <v>77</v>
      </c>
      <c r="I127" s="513"/>
      <c r="J127" s="583" t="s">
        <v>1023</v>
      </c>
      <c r="K127" s="589">
        <v>100</v>
      </c>
      <c r="L127" s="587"/>
      <c r="M127" s="571">
        <v>5</v>
      </c>
      <c r="N127" s="571">
        <v>3</v>
      </c>
      <c r="O127" s="566">
        <f t="shared" si="3"/>
        <v>0.6</v>
      </c>
      <c r="P127" s="567">
        <f t="shared" si="4"/>
        <v>0.6</v>
      </c>
      <c r="Q127" s="568">
        <f t="shared" si="5"/>
        <v>0.6</v>
      </c>
      <c r="R127" s="687" t="s">
        <v>1954</v>
      </c>
    </row>
    <row r="128" spans="1:18" ht="25.5" x14ac:dyDescent="0.2">
      <c r="A128" s="580" t="s">
        <v>277</v>
      </c>
      <c r="B128" s="581" t="s">
        <v>1012</v>
      </c>
      <c r="C128" s="580" t="s">
        <v>1014</v>
      </c>
      <c r="D128" s="581" t="s">
        <v>109</v>
      </c>
      <c r="E128" s="581" t="s">
        <v>968</v>
      </c>
      <c r="F128" s="582" t="s">
        <v>969</v>
      </c>
      <c r="G128" s="581" t="s">
        <v>919</v>
      </c>
      <c r="H128" s="583" t="s">
        <v>77</v>
      </c>
      <c r="I128" s="513"/>
      <c r="J128" s="583" t="s">
        <v>1023</v>
      </c>
      <c r="K128" s="584">
        <v>100</v>
      </c>
      <c r="L128" s="585" t="s">
        <v>1024</v>
      </c>
      <c r="M128" s="571">
        <v>0</v>
      </c>
      <c r="N128" s="571">
        <v>0</v>
      </c>
      <c r="O128" s="566">
        <f t="shared" si="3"/>
        <v>0</v>
      </c>
      <c r="P128" s="567">
        <f t="shared" si="4"/>
        <v>0</v>
      </c>
      <c r="Q128" s="568" t="e">
        <f t="shared" si="5"/>
        <v>#DIV/0!</v>
      </c>
      <c r="R128" s="588" t="s">
        <v>1856</v>
      </c>
    </row>
    <row r="129" spans="1:18" x14ac:dyDescent="0.2">
      <c r="A129" s="580" t="s">
        <v>277</v>
      </c>
      <c r="B129" s="581" t="s">
        <v>1012</v>
      </c>
      <c r="C129" s="580" t="s">
        <v>1014</v>
      </c>
      <c r="D129" s="581" t="s">
        <v>109</v>
      </c>
      <c r="E129" s="581" t="s">
        <v>968</v>
      </c>
      <c r="F129" s="582" t="s">
        <v>970</v>
      </c>
      <c r="G129" s="581" t="s">
        <v>971</v>
      </c>
      <c r="H129" s="583" t="s">
        <v>77</v>
      </c>
      <c r="I129" s="513"/>
      <c r="J129" s="583" t="s">
        <v>1023</v>
      </c>
      <c r="K129" s="584">
        <v>33</v>
      </c>
      <c r="L129" s="587"/>
      <c r="M129" s="571">
        <v>0</v>
      </c>
      <c r="N129" s="571">
        <v>0</v>
      </c>
      <c r="O129" s="566">
        <f t="shared" si="3"/>
        <v>0</v>
      </c>
      <c r="P129" s="567">
        <f t="shared" si="4"/>
        <v>0</v>
      </c>
      <c r="Q129" s="568" t="e">
        <f t="shared" si="5"/>
        <v>#DIV/0!</v>
      </c>
      <c r="R129" s="588" t="s">
        <v>1856</v>
      </c>
    </row>
    <row r="130" spans="1:18" ht="25.5" x14ac:dyDescent="0.2">
      <c r="A130" s="580" t="s">
        <v>277</v>
      </c>
      <c r="B130" s="581" t="s">
        <v>1012</v>
      </c>
      <c r="C130" s="580" t="s">
        <v>1014</v>
      </c>
      <c r="D130" s="581" t="s">
        <v>109</v>
      </c>
      <c r="E130" s="581" t="s">
        <v>972</v>
      </c>
      <c r="F130" s="582" t="s">
        <v>969</v>
      </c>
      <c r="G130" s="581" t="s">
        <v>925</v>
      </c>
      <c r="H130" s="583" t="s">
        <v>77</v>
      </c>
      <c r="I130" s="513"/>
      <c r="J130" s="583" t="s">
        <v>1023</v>
      </c>
      <c r="K130" s="584">
        <v>25</v>
      </c>
      <c r="L130" s="587"/>
      <c r="M130" s="571">
        <v>0</v>
      </c>
      <c r="N130" s="571">
        <v>0</v>
      </c>
      <c r="O130" s="566">
        <f t="shared" si="3"/>
        <v>0</v>
      </c>
      <c r="P130" s="567">
        <f t="shared" si="4"/>
        <v>0</v>
      </c>
      <c r="Q130" s="568" t="e">
        <f t="shared" si="5"/>
        <v>#DIV/0!</v>
      </c>
      <c r="R130" s="588" t="s">
        <v>1856</v>
      </c>
    </row>
    <row r="131" spans="1:18" ht="25.5" x14ac:dyDescent="0.2">
      <c r="A131" s="580" t="s">
        <v>277</v>
      </c>
      <c r="B131" s="581" t="s">
        <v>1012</v>
      </c>
      <c r="C131" s="580" t="s">
        <v>1014</v>
      </c>
      <c r="D131" s="581" t="s">
        <v>109</v>
      </c>
      <c r="E131" s="581" t="s">
        <v>972</v>
      </c>
      <c r="F131" s="582" t="s">
        <v>970</v>
      </c>
      <c r="G131" s="581" t="s">
        <v>925</v>
      </c>
      <c r="H131" s="583" t="s">
        <v>77</v>
      </c>
      <c r="I131" s="513"/>
      <c r="J131" s="583" t="s">
        <v>1023</v>
      </c>
      <c r="K131" s="584">
        <v>25</v>
      </c>
      <c r="L131" s="587"/>
      <c r="M131" s="571">
        <v>0</v>
      </c>
      <c r="N131" s="571">
        <v>0</v>
      </c>
      <c r="O131" s="566">
        <f t="shared" si="3"/>
        <v>0</v>
      </c>
      <c r="P131" s="567">
        <f t="shared" si="4"/>
        <v>0</v>
      </c>
      <c r="Q131" s="568" t="e">
        <f t="shared" si="5"/>
        <v>#DIV/0!</v>
      </c>
      <c r="R131" s="588" t="s">
        <v>1856</v>
      </c>
    </row>
    <row r="132" spans="1:18" ht="38.25" x14ac:dyDescent="0.2">
      <c r="A132" s="580" t="s">
        <v>277</v>
      </c>
      <c r="B132" s="581" t="s">
        <v>1012</v>
      </c>
      <c r="C132" s="580" t="s">
        <v>1014</v>
      </c>
      <c r="D132" s="581" t="s">
        <v>109</v>
      </c>
      <c r="E132" s="581" t="s">
        <v>973</v>
      </c>
      <c r="F132" s="582" t="s">
        <v>974</v>
      </c>
      <c r="G132" s="581" t="s">
        <v>925</v>
      </c>
      <c r="H132" s="583" t="s">
        <v>77</v>
      </c>
      <c r="I132" s="513"/>
      <c r="J132" s="583" t="s">
        <v>1023</v>
      </c>
      <c r="K132" s="584">
        <v>25</v>
      </c>
      <c r="L132" s="585" t="s">
        <v>1025</v>
      </c>
      <c r="M132" s="571">
        <v>0</v>
      </c>
      <c r="N132" s="571">
        <v>0</v>
      </c>
      <c r="O132" s="566">
        <f t="shared" si="3"/>
        <v>0</v>
      </c>
      <c r="P132" s="567">
        <f t="shared" si="4"/>
        <v>0</v>
      </c>
      <c r="Q132" s="568" t="e">
        <f t="shared" si="5"/>
        <v>#DIV/0!</v>
      </c>
      <c r="R132" s="588" t="s">
        <v>1856</v>
      </c>
    </row>
    <row r="133" spans="1:18" ht="25.5" x14ac:dyDescent="0.2">
      <c r="A133" s="580" t="s">
        <v>277</v>
      </c>
      <c r="B133" s="581" t="s">
        <v>1012</v>
      </c>
      <c r="C133" s="580" t="s">
        <v>1014</v>
      </c>
      <c r="D133" s="581" t="s">
        <v>109</v>
      </c>
      <c r="E133" s="581" t="s">
        <v>973</v>
      </c>
      <c r="F133" s="582" t="s">
        <v>975</v>
      </c>
      <c r="G133" s="581" t="s">
        <v>925</v>
      </c>
      <c r="H133" s="583" t="s">
        <v>77</v>
      </c>
      <c r="I133" s="513"/>
      <c r="J133" s="583" t="s">
        <v>1023</v>
      </c>
      <c r="K133" s="584">
        <v>33</v>
      </c>
      <c r="L133" s="587"/>
      <c r="M133" s="571">
        <v>0</v>
      </c>
      <c r="N133" s="571">
        <v>0</v>
      </c>
      <c r="O133" s="566">
        <f t="shared" si="3"/>
        <v>0</v>
      </c>
      <c r="P133" s="567">
        <f t="shared" si="4"/>
        <v>0</v>
      </c>
      <c r="Q133" s="568" t="e">
        <f t="shared" si="5"/>
        <v>#DIV/0!</v>
      </c>
      <c r="R133" s="588" t="s">
        <v>1856</v>
      </c>
    </row>
    <row r="134" spans="1:18" ht="25.5" x14ac:dyDescent="0.2">
      <c r="A134" s="580" t="s">
        <v>277</v>
      </c>
      <c r="B134" s="581" t="s">
        <v>1012</v>
      </c>
      <c r="C134" s="580" t="s">
        <v>1014</v>
      </c>
      <c r="D134" s="581" t="s">
        <v>109</v>
      </c>
      <c r="E134" s="581" t="s">
        <v>976</v>
      </c>
      <c r="F134" s="582" t="s">
        <v>974</v>
      </c>
      <c r="G134" s="581" t="s">
        <v>925</v>
      </c>
      <c r="H134" s="583" t="s">
        <v>77</v>
      </c>
      <c r="I134" s="513"/>
      <c r="J134" s="583" t="s">
        <v>1023</v>
      </c>
      <c r="K134" s="584">
        <v>25</v>
      </c>
      <c r="L134" s="587"/>
      <c r="M134" s="571">
        <v>0</v>
      </c>
      <c r="N134" s="571">
        <v>0</v>
      </c>
      <c r="O134" s="566">
        <f t="shared" ref="O134:O197" si="6">IFERROR(N134/M134,0)</f>
        <v>0</v>
      </c>
      <c r="P134" s="567">
        <f t="shared" ref="P134:P197" si="7">IFERROR(N134/(M134*(K134/100)),0)</f>
        <v>0</v>
      </c>
      <c r="Q134" s="568" t="e">
        <f t="shared" ref="Q134:Q197" si="8">N134/(M134*K134/100)</f>
        <v>#DIV/0!</v>
      </c>
      <c r="R134" s="588" t="s">
        <v>1856</v>
      </c>
    </row>
    <row r="135" spans="1:18" ht="25.5" x14ac:dyDescent="0.2">
      <c r="A135" s="580" t="s">
        <v>277</v>
      </c>
      <c r="B135" s="581" t="s">
        <v>1012</v>
      </c>
      <c r="C135" s="580" t="s">
        <v>1014</v>
      </c>
      <c r="D135" s="581" t="s">
        <v>109</v>
      </c>
      <c r="E135" s="581" t="s">
        <v>977</v>
      </c>
      <c r="F135" s="582" t="s">
        <v>974</v>
      </c>
      <c r="G135" s="581" t="s">
        <v>925</v>
      </c>
      <c r="H135" s="583" t="s">
        <v>77</v>
      </c>
      <c r="I135" s="513"/>
      <c r="J135" s="583" t="s">
        <v>1023</v>
      </c>
      <c r="K135" s="584">
        <v>25</v>
      </c>
      <c r="L135" s="587"/>
      <c r="M135" s="571">
        <v>0</v>
      </c>
      <c r="N135" s="571">
        <v>0</v>
      </c>
      <c r="O135" s="566">
        <f t="shared" si="6"/>
        <v>0</v>
      </c>
      <c r="P135" s="567">
        <f t="shared" si="7"/>
        <v>0</v>
      </c>
      <c r="Q135" s="568" t="e">
        <f t="shared" si="8"/>
        <v>#DIV/0!</v>
      </c>
      <c r="R135" s="588" t="s">
        <v>1856</v>
      </c>
    </row>
    <row r="136" spans="1:18" x14ac:dyDescent="0.2">
      <c r="A136" s="580" t="s">
        <v>277</v>
      </c>
      <c r="B136" s="581" t="s">
        <v>1012</v>
      </c>
      <c r="C136" s="580" t="s">
        <v>1014</v>
      </c>
      <c r="D136" s="581" t="s">
        <v>109</v>
      </c>
      <c r="E136" s="581" t="s">
        <v>978</v>
      </c>
      <c r="F136" s="582" t="s">
        <v>974</v>
      </c>
      <c r="G136" s="581" t="s">
        <v>919</v>
      </c>
      <c r="H136" s="583" t="s">
        <v>77</v>
      </c>
      <c r="I136" s="513"/>
      <c r="J136" s="583" t="s">
        <v>1023</v>
      </c>
      <c r="K136" s="584">
        <v>100</v>
      </c>
      <c r="L136" s="587"/>
      <c r="M136" s="571">
        <v>0</v>
      </c>
      <c r="N136" s="571">
        <v>0</v>
      </c>
      <c r="O136" s="566">
        <f t="shared" si="6"/>
        <v>0</v>
      </c>
      <c r="P136" s="567">
        <f t="shared" si="7"/>
        <v>0</v>
      </c>
      <c r="Q136" s="568" t="e">
        <f t="shared" si="8"/>
        <v>#DIV/0!</v>
      </c>
      <c r="R136" s="588" t="s">
        <v>1856</v>
      </c>
    </row>
    <row r="137" spans="1:18" x14ac:dyDescent="0.2">
      <c r="A137" s="580" t="s">
        <v>277</v>
      </c>
      <c r="B137" s="581" t="s">
        <v>1012</v>
      </c>
      <c r="C137" s="580" t="s">
        <v>1014</v>
      </c>
      <c r="D137" s="581" t="s">
        <v>109</v>
      </c>
      <c r="E137" s="581" t="s">
        <v>979</v>
      </c>
      <c r="F137" s="582" t="s">
        <v>974</v>
      </c>
      <c r="G137" s="581" t="s">
        <v>919</v>
      </c>
      <c r="H137" s="583" t="s">
        <v>77</v>
      </c>
      <c r="I137" s="513"/>
      <c r="J137" s="583" t="s">
        <v>1023</v>
      </c>
      <c r="K137" s="589">
        <v>100</v>
      </c>
      <c r="L137" s="587"/>
      <c r="M137" s="571">
        <v>0</v>
      </c>
      <c r="N137" s="571">
        <v>0</v>
      </c>
      <c r="O137" s="566">
        <f t="shared" si="6"/>
        <v>0</v>
      </c>
      <c r="P137" s="567">
        <f t="shared" si="7"/>
        <v>0</v>
      </c>
      <c r="Q137" s="568" t="e">
        <f t="shared" si="8"/>
        <v>#DIV/0!</v>
      </c>
      <c r="R137" s="588" t="s">
        <v>1856</v>
      </c>
    </row>
    <row r="138" spans="1:18" ht="25.5" x14ac:dyDescent="0.2">
      <c r="A138" s="580" t="s">
        <v>277</v>
      </c>
      <c r="B138" s="581" t="s">
        <v>1012</v>
      </c>
      <c r="C138" s="580" t="s">
        <v>1014</v>
      </c>
      <c r="D138" s="581" t="s">
        <v>109</v>
      </c>
      <c r="E138" s="581" t="s">
        <v>980</v>
      </c>
      <c r="F138" s="582" t="s">
        <v>974</v>
      </c>
      <c r="G138" s="581" t="s">
        <v>925</v>
      </c>
      <c r="H138" s="583" t="s">
        <v>77</v>
      </c>
      <c r="I138" s="513"/>
      <c r="J138" s="583" t="s">
        <v>1023</v>
      </c>
      <c r="K138" s="589">
        <v>25</v>
      </c>
      <c r="L138" s="587"/>
      <c r="M138" s="571">
        <v>0</v>
      </c>
      <c r="N138" s="571">
        <v>0</v>
      </c>
      <c r="O138" s="566">
        <f t="shared" si="6"/>
        <v>0</v>
      </c>
      <c r="P138" s="567">
        <f t="shared" si="7"/>
        <v>0</v>
      </c>
      <c r="Q138" s="568" t="e">
        <f t="shared" si="8"/>
        <v>#DIV/0!</v>
      </c>
      <c r="R138" s="588" t="s">
        <v>1856</v>
      </c>
    </row>
    <row r="139" spans="1:18" ht="25.5" x14ac:dyDescent="0.2">
      <c r="A139" s="580" t="s">
        <v>277</v>
      </c>
      <c r="B139" s="581" t="s">
        <v>1012</v>
      </c>
      <c r="C139" s="580" t="s">
        <v>1014</v>
      </c>
      <c r="D139" s="581" t="s">
        <v>109</v>
      </c>
      <c r="E139" s="581" t="s">
        <v>981</v>
      </c>
      <c r="F139" s="582" t="s">
        <v>974</v>
      </c>
      <c r="G139" s="581" t="s">
        <v>925</v>
      </c>
      <c r="H139" s="583" t="s">
        <v>77</v>
      </c>
      <c r="I139" s="513"/>
      <c r="J139" s="583" t="s">
        <v>1023</v>
      </c>
      <c r="K139" s="589">
        <v>25</v>
      </c>
      <c r="L139" s="587"/>
      <c r="M139" s="571">
        <v>0</v>
      </c>
      <c r="N139" s="571">
        <v>0</v>
      </c>
      <c r="O139" s="566">
        <f t="shared" si="6"/>
        <v>0</v>
      </c>
      <c r="P139" s="567">
        <f t="shared" si="7"/>
        <v>0</v>
      </c>
      <c r="Q139" s="568" t="e">
        <f t="shared" si="8"/>
        <v>#DIV/0!</v>
      </c>
      <c r="R139" s="588" t="s">
        <v>1856</v>
      </c>
    </row>
    <row r="140" spans="1:18" x14ac:dyDescent="0.2">
      <c r="A140" s="580" t="s">
        <v>277</v>
      </c>
      <c r="B140" s="581" t="s">
        <v>1012</v>
      </c>
      <c r="C140" s="580" t="s">
        <v>1014</v>
      </c>
      <c r="D140" s="581" t="s">
        <v>109</v>
      </c>
      <c r="E140" s="581" t="s">
        <v>982</v>
      </c>
      <c r="F140" s="590" t="s">
        <v>983</v>
      </c>
      <c r="G140" s="581" t="s">
        <v>919</v>
      </c>
      <c r="H140" s="583" t="s">
        <v>77</v>
      </c>
      <c r="I140" s="513"/>
      <c r="J140" s="583" t="s">
        <v>1023</v>
      </c>
      <c r="K140" s="589">
        <v>100</v>
      </c>
      <c r="L140" s="587"/>
      <c r="M140" s="571">
        <v>0</v>
      </c>
      <c r="N140" s="571">
        <v>0</v>
      </c>
      <c r="O140" s="566">
        <f t="shared" si="6"/>
        <v>0</v>
      </c>
      <c r="P140" s="567">
        <f t="shared" si="7"/>
        <v>0</v>
      </c>
      <c r="Q140" s="568" t="e">
        <f t="shared" si="8"/>
        <v>#DIV/0!</v>
      </c>
      <c r="R140" s="588" t="s">
        <v>1856</v>
      </c>
    </row>
    <row r="141" spans="1:18" x14ac:dyDescent="0.2">
      <c r="A141" s="580" t="s">
        <v>277</v>
      </c>
      <c r="B141" s="581" t="s">
        <v>1012</v>
      </c>
      <c r="C141" s="580" t="s">
        <v>1014</v>
      </c>
      <c r="D141" s="581" t="s">
        <v>109</v>
      </c>
      <c r="E141" s="581" t="s">
        <v>984</v>
      </c>
      <c r="F141" s="590" t="s">
        <v>983</v>
      </c>
      <c r="G141" s="581" t="s">
        <v>919</v>
      </c>
      <c r="H141" s="583" t="s">
        <v>77</v>
      </c>
      <c r="I141" s="513"/>
      <c r="J141" s="583" t="s">
        <v>1023</v>
      </c>
      <c r="K141" s="589">
        <v>100</v>
      </c>
      <c r="L141" s="587"/>
      <c r="M141" s="571">
        <v>0</v>
      </c>
      <c r="N141" s="571">
        <v>0</v>
      </c>
      <c r="O141" s="566">
        <f t="shared" si="6"/>
        <v>0</v>
      </c>
      <c r="P141" s="567">
        <f t="shared" si="7"/>
        <v>0</v>
      </c>
      <c r="Q141" s="568" t="e">
        <f t="shared" si="8"/>
        <v>#DIV/0!</v>
      </c>
      <c r="R141" s="588" t="s">
        <v>1856</v>
      </c>
    </row>
    <row r="142" spans="1:18" ht="25.5" x14ac:dyDescent="0.2">
      <c r="A142" s="580" t="s">
        <v>277</v>
      </c>
      <c r="B142" s="581" t="s">
        <v>1012</v>
      </c>
      <c r="C142" s="580" t="s">
        <v>1014</v>
      </c>
      <c r="D142" s="581" t="s">
        <v>109</v>
      </c>
      <c r="E142" s="581" t="s">
        <v>985</v>
      </c>
      <c r="F142" s="590" t="s">
        <v>970</v>
      </c>
      <c r="G142" s="581" t="s">
        <v>925</v>
      </c>
      <c r="H142" s="583" t="s">
        <v>77</v>
      </c>
      <c r="I142" s="513"/>
      <c r="J142" s="583" t="s">
        <v>1023</v>
      </c>
      <c r="K142" s="589">
        <v>33</v>
      </c>
      <c r="L142" s="587"/>
      <c r="M142" s="571">
        <v>0</v>
      </c>
      <c r="N142" s="571">
        <v>0</v>
      </c>
      <c r="O142" s="566">
        <f t="shared" si="6"/>
        <v>0</v>
      </c>
      <c r="P142" s="567">
        <f t="shared" si="7"/>
        <v>0</v>
      </c>
      <c r="Q142" s="568" t="e">
        <f t="shared" si="8"/>
        <v>#DIV/0!</v>
      </c>
      <c r="R142" s="588" t="s">
        <v>1856</v>
      </c>
    </row>
    <row r="143" spans="1:18" ht="25.5" x14ac:dyDescent="0.2">
      <c r="A143" s="580" t="s">
        <v>277</v>
      </c>
      <c r="B143" s="581" t="s">
        <v>1012</v>
      </c>
      <c r="C143" s="580" t="s">
        <v>1014</v>
      </c>
      <c r="D143" s="581" t="s">
        <v>109</v>
      </c>
      <c r="E143" s="581" t="s">
        <v>986</v>
      </c>
      <c r="F143" s="590" t="s">
        <v>970</v>
      </c>
      <c r="G143" s="581" t="s">
        <v>925</v>
      </c>
      <c r="H143" s="583" t="s">
        <v>77</v>
      </c>
      <c r="I143" s="513"/>
      <c r="J143" s="583" t="s">
        <v>1023</v>
      </c>
      <c r="K143" s="589">
        <v>33</v>
      </c>
      <c r="L143" s="587"/>
      <c r="M143" s="571">
        <v>0</v>
      </c>
      <c r="N143" s="571">
        <v>0</v>
      </c>
      <c r="O143" s="566">
        <f t="shared" si="6"/>
        <v>0</v>
      </c>
      <c r="P143" s="567">
        <f t="shared" si="7"/>
        <v>0</v>
      </c>
      <c r="Q143" s="568" t="e">
        <f t="shared" si="8"/>
        <v>#DIV/0!</v>
      </c>
      <c r="R143" s="588" t="s">
        <v>1856</v>
      </c>
    </row>
    <row r="144" spans="1:18" ht="25.5" x14ac:dyDescent="0.2">
      <c r="A144" s="580" t="s">
        <v>277</v>
      </c>
      <c r="B144" s="581" t="s">
        <v>1012</v>
      </c>
      <c r="C144" s="580" t="s">
        <v>1014</v>
      </c>
      <c r="D144" s="581" t="s">
        <v>109</v>
      </c>
      <c r="E144" s="581" t="s">
        <v>987</v>
      </c>
      <c r="F144" s="590" t="s">
        <v>970</v>
      </c>
      <c r="G144" s="581" t="s">
        <v>925</v>
      </c>
      <c r="H144" s="583" t="s">
        <v>77</v>
      </c>
      <c r="I144" s="513"/>
      <c r="J144" s="583" t="s">
        <v>1023</v>
      </c>
      <c r="K144" s="589">
        <v>33</v>
      </c>
      <c r="L144" s="587"/>
      <c r="M144" s="571">
        <v>0</v>
      </c>
      <c r="N144" s="571">
        <v>0</v>
      </c>
      <c r="O144" s="566">
        <f t="shared" si="6"/>
        <v>0</v>
      </c>
      <c r="P144" s="567">
        <f t="shared" si="7"/>
        <v>0</v>
      </c>
      <c r="Q144" s="568" t="e">
        <f t="shared" si="8"/>
        <v>#DIV/0!</v>
      </c>
      <c r="R144" s="588" t="s">
        <v>1856</v>
      </c>
    </row>
    <row r="145" spans="1:18" ht="25.5" x14ac:dyDescent="0.2">
      <c r="A145" s="580" t="s">
        <v>277</v>
      </c>
      <c r="B145" s="581" t="s">
        <v>1012</v>
      </c>
      <c r="C145" s="580" t="s">
        <v>1014</v>
      </c>
      <c r="D145" s="581" t="s">
        <v>109</v>
      </c>
      <c r="E145" s="581" t="s">
        <v>988</v>
      </c>
      <c r="F145" s="590" t="s">
        <v>970</v>
      </c>
      <c r="G145" s="581" t="s">
        <v>925</v>
      </c>
      <c r="H145" s="583" t="s">
        <v>77</v>
      </c>
      <c r="I145" s="513"/>
      <c r="J145" s="583" t="s">
        <v>1023</v>
      </c>
      <c r="K145" s="589">
        <v>33</v>
      </c>
      <c r="L145" s="587"/>
      <c r="M145" s="571">
        <v>0</v>
      </c>
      <c r="N145" s="571">
        <v>0</v>
      </c>
      <c r="O145" s="566">
        <f t="shared" si="6"/>
        <v>0</v>
      </c>
      <c r="P145" s="567">
        <f t="shared" si="7"/>
        <v>0</v>
      </c>
      <c r="Q145" s="568" t="e">
        <f t="shared" si="8"/>
        <v>#DIV/0!</v>
      </c>
      <c r="R145" s="588" t="s">
        <v>1856</v>
      </c>
    </row>
    <row r="146" spans="1:18" ht="25.5" x14ac:dyDescent="0.2">
      <c r="A146" s="580" t="s">
        <v>277</v>
      </c>
      <c r="B146" s="581" t="s">
        <v>1012</v>
      </c>
      <c r="C146" s="580" t="s">
        <v>1014</v>
      </c>
      <c r="D146" s="581" t="s">
        <v>109</v>
      </c>
      <c r="E146" s="581" t="s">
        <v>989</v>
      </c>
      <c r="F146" s="590" t="s">
        <v>970</v>
      </c>
      <c r="G146" s="581" t="s">
        <v>925</v>
      </c>
      <c r="H146" s="583" t="s">
        <v>77</v>
      </c>
      <c r="I146" s="513"/>
      <c r="J146" s="583" t="s">
        <v>1023</v>
      </c>
      <c r="K146" s="589">
        <v>33</v>
      </c>
      <c r="L146" s="587"/>
      <c r="M146" s="571">
        <v>0</v>
      </c>
      <c r="N146" s="571">
        <v>0</v>
      </c>
      <c r="O146" s="566">
        <f t="shared" si="6"/>
        <v>0</v>
      </c>
      <c r="P146" s="567">
        <f t="shared" si="7"/>
        <v>0</v>
      </c>
      <c r="Q146" s="568" t="e">
        <f t="shared" si="8"/>
        <v>#DIV/0!</v>
      </c>
      <c r="R146" s="588" t="s">
        <v>1856</v>
      </c>
    </row>
    <row r="147" spans="1:18" ht="25.5" x14ac:dyDescent="0.2">
      <c r="A147" s="580" t="s">
        <v>277</v>
      </c>
      <c r="B147" s="581" t="s">
        <v>1012</v>
      </c>
      <c r="C147" s="580" t="s">
        <v>1014</v>
      </c>
      <c r="D147" s="581" t="s">
        <v>109</v>
      </c>
      <c r="E147" s="581" t="s">
        <v>990</v>
      </c>
      <c r="F147" s="590" t="s">
        <v>970</v>
      </c>
      <c r="G147" s="581" t="s">
        <v>925</v>
      </c>
      <c r="H147" s="583" t="s">
        <v>77</v>
      </c>
      <c r="I147" s="513"/>
      <c r="J147" s="583" t="s">
        <v>1023</v>
      </c>
      <c r="K147" s="589">
        <v>33</v>
      </c>
      <c r="L147" s="587"/>
      <c r="M147" s="571">
        <v>0</v>
      </c>
      <c r="N147" s="571">
        <v>0</v>
      </c>
      <c r="O147" s="566">
        <f t="shared" si="6"/>
        <v>0</v>
      </c>
      <c r="P147" s="567">
        <f t="shared" si="7"/>
        <v>0</v>
      </c>
      <c r="Q147" s="568" t="e">
        <f t="shared" si="8"/>
        <v>#DIV/0!</v>
      </c>
      <c r="R147" s="588" t="s">
        <v>1856</v>
      </c>
    </row>
    <row r="148" spans="1:18" x14ac:dyDescent="0.2">
      <c r="A148" s="580" t="s">
        <v>277</v>
      </c>
      <c r="B148" s="581" t="s">
        <v>1012</v>
      </c>
      <c r="C148" s="580" t="s">
        <v>1014</v>
      </c>
      <c r="D148" s="581" t="s">
        <v>109</v>
      </c>
      <c r="E148" s="581" t="s">
        <v>991</v>
      </c>
      <c r="F148" s="590" t="s">
        <v>974</v>
      </c>
      <c r="G148" s="581" t="s">
        <v>919</v>
      </c>
      <c r="H148" s="583" t="s">
        <v>77</v>
      </c>
      <c r="I148" s="513"/>
      <c r="J148" s="583" t="s">
        <v>1023</v>
      </c>
      <c r="K148" s="589">
        <v>100</v>
      </c>
      <c r="L148" s="587"/>
      <c r="M148" s="571">
        <v>0</v>
      </c>
      <c r="N148" s="571">
        <v>0</v>
      </c>
      <c r="O148" s="566">
        <f t="shared" si="6"/>
        <v>0</v>
      </c>
      <c r="P148" s="567">
        <f t="shared" si="7"/>
        <v>0</v>
      </c>
      <c r="Q148" s="568" t="e">
        <f t="shared" si="8"/>
        <v>#DIV/0!</v>
      </c>
      <c r="R148" s="588" t="s">
        <v>1856</v>
      </c>
    </row>
    <row r="149" spans="1:18" x14ac:dyDescent="0.2">
      <c r="A149" s="580" t="s">
        <v>277</v>
      </c>
      <c r="B149" s="581" t="s">
        <v>1012</v>
      </c>
      <c r="C149" s="580" t="s">
        <v>1014</v>
      </c>
      <c r="D149" s="581" t="s">
        <v>109</v>
      </c>
      <c r="E149" s="581" t="s">
        <v>992</v>
      </c>
      <c r="F149" s="590" t="s">
        <v>974</v>
      </c>
      <c r="G149" s="581" t="s">
        <v>919</v>
      </c>
      <c r="H149" s="583" t="s">
        <v>77</v>
      </c>
      <c r="I149" s="513"/>
      <c r="J149" s="583" t="s">
        <v>1023</v>
      </c>
      <c r="K149" s="589">
        <v>100</v>
      </c>
      <c r="L149" s="587"/>
      <c r="M149" s="571">
        <v>0</v>
      </c>
      <c r="N149" s="571">
        <v>0</v>
      </c>
      <c r="O149" s="566">
        <f t="shared" si="6"/>
        <v>0</v>
      </c>
      <c r="P149" s="567">
        <f t="shared" si="7"/>
        <v>0</v>
      </c>
      <c r="Q149" s="568" t="e">
        <f t="shared" si="8"/>
        <v>#DIV/0!</v>
      </c>
      <c r="R149" s="588" t="s">
        <v>1856</v>
      </c>
    </row>
    <row r="150" spans="1:18" ht="25.5" x14ac:dyDescent="0.2">
      <c r="A150" s="580" t="s">
        <v>277</v>
      </c>
      <c r="B150" s="581" t="s">
        <v>1012</v>
      </c>
      <c r="C150" s="580" t="s">
        <v>1014</v>
      </c>
      <c r="D150" s="581" t="s">
        <v>109</v>
      </c>
      <c r="E150" s="581" t="s">
        <v>993</v>
      </c>
      <c r="F150" s="590" t="s">
        <v>974</v>
      </c>
      <c r="G150" s="581" t="s">
        <v>919</v>
      </c>
      <c r="H150" s="583" t="s">
        <v>77</v>
      </c>
      <c r="I150" s="513"/>
      <c r="J150" s="583" t="s">
        <v>1023</v>
      </c>
      <c r="K150" s="589">
        <v>100</v>
      </c>
      <c r="L150" s="587"/>
      <c r="M150" s="571">
        <v>0</v>
      </c>
      <c r="N150" s="571">
        <v>0</v>
      </c>
      <c r="O150" s="566">
        <f t="shared" si="6"/>
        <v>0</v>
      </c>
      <c r="P150" s="567">
        <f t="shared" si="7"/>
        <v>0</v>
      </c>
      <c r="Q150" s="568" t="e">
        <f t="shared" si="8"/>
        <v>#DIV/0!</v>
      </c>
      <c r="R150" s="588" t="s">
        <v>1856</v>
      </c>
    </row>
    <row r="151" spans="1:18" ht="25.5" x14ac:dyDescent="0.2">
      <c r="A151" s="580" t="s">
        <v>277</v>
      </c>
      <c r="B151" s="581" t="s">
        <v>1012</v>
      </c>
      <c r="C151" s="580" t="s">
        <v>1014</v>
      </c>
      <c r="D151" s="581" t="s">
        <v>109</v>
      </c>
      <c r="E151" s="581" t="s">
        <v>994</v>
      </c>
      <c r="F151" s="582" t="s">
        <v>969</v>
      </c>
      <c r="G151" s="581" t="s">
        <v>919</v>
      </c>
      <c r="H151" s="583" t="s">
        <v>77</v>
      </c>
      <c r="I151" s="513"/>
      <c r="J151" s="583" t="s">
        <v>1023</v>
      </c>
      <c r="K151" s="589">
        <v>100</v>
      </c>
      <c r="L151" s="585" t="s">
        <v>1024</v>
      </c>
      <c r="M151" s="571">
        <v>0</v>
      </c>
      <c r="N151" s="571">
        <v>0</v>
      </c>
      <c r="O151" s="566">
        <f t="shared" si="6"/>
        <v>0</v>
      </c>
      <c r="P151" s="567">
        <f t="shared" si="7"/>
        <v>0</v>
      </c>
      <c r="Q151" s="568" t="e">
        <f t="shared" si="8"/>
        <v>#DIV/0!</v>
      </c>
      <c r="R151" s="588" t="s">
        <v>1856</v>
      </c>
    </row>
    <row r="152" spans="1:18" ht="25.5" x14ac:dyDescent="0.2">
      <c r="A152" s="580" t="s">
        <v>277</v>
      </c>
      <c r="B152" s="581" t="s">
        <v>1012</v>
      </c>
      <c r="C152" s="580" t="s">
        <v>1014</v>
      </c>
      <c r="D152" s="581" t="s">
        <v>109</v>
      </c>
      <c r="E152" s="581" t="s">
        <v>994</v>
      </c>
      <c r="F152" s="582" t="s">
        <v>970</v>
      </c>
      <c r="G152" s="581" t="s">
        <v>925</v>
      </c>
      <c r="H152" s="583" t="s">
        <v>77</v>
      </c>
      <c r="I152" s="513"/>
      <c r="J152" s="583" t="s">
        <v>1023</v>
      </c>
      <c r="K152" s="589">
        <v>33</v>
      </c>
      <c r="L152" s="587"/>
      <c r="M152" s="571">
        <v>0</v>
      </c>
      <c r="N152" s="571">
        <v>0</v>
      </c>
      <c r="O152" s="566">
        <f t="shared" si="6"/>
        <v>0</v>
      </c>
      <c r="P152" s="567">
        <f t="shared" si="7"/>
        <v>0</v>
      </c>
      <c r="Q152" s="568" t="e">
        <f t="shared" si="8"/>
        <v>#DIV/0!</v>
      </c>
      <c r="R152" s="588" t="s">
        <v>1856</v>
      </c>
    </row>
    <row r="153" spans="1:18" ht="25.5" x14ac:dyDescent="0.2">
      <c r="A153" s="580" t="s">
        <v>277</v>
      </c>
      <c r="B153" s="581" t="s">
        <v>1012</v>
      </c>
      <c r="C153" s="580" t="s">
        <v>1014</v>
      </c>
      <c r="D153" s="581" t="s">
        <v>109</v>
      </c>
      <c r="E153" s="581" t="s">
        <v>995</v>
      </c>
      <c r="F153" s="590" t="s">
        <v>974</v>
      </c>
      <c r="G153" s="581" t="s">
        <v>925</v>
      </c>
      <c r="H153" s="583" t="s">
        <v>77</v>
      </c>
      <c r="I153" s="513"/>
      <c r="J153" s="583" t="s">
        <v>1023</v>
      </c>
      <c r="K153" s="589">
        <v>25</v>
      </c>
      <c r="L153" s="587"/>
      <c r="M153" s="571">
        <v>0</v>
      </c>
      <c r="N153" s="571">
        <v>0</v>
      </c>
      <c r="O153" s="566">
        <f t="shared" si="6"/>
        <v>0</v>
      </c>
      <c r="P153" s="567">
        <f t="shared" si="7"/>
        <v>0</v>
      </c>
      <c r="Q153" s="568" t="e">
        <f t="shared" si="8"/>
        <v>#DIV/0!</v>
      </c>
      <c r="R153" s="588" t="s">
        <v>1856</v>
      </c>
    </row>
    <row r="154" spans="1:18" ht="38.25" x14ac:dyDescent="0.2">
      <c r="A154" s="580" t="s">
        <v>277</v>
      </c>
      <c r="B154" s="581" t="s">
        <v>1012</v>
      </c>
      <c r="C154" s="580" t="s">
        <v>1014</v>
      </c>
      <c r="D154" s="581" t="s">
        <v>109</v>
      </c>
      <c r="E154" s="581" t="s">
        <v>996</v>
      </c>
      <c r="F154" s="590" t="s">
        <v>974</v>
      </c>
      <c r="G154" s="581" t="s">
        <v>925</v>
      </c>
      <c r="H154" s="583" t="s">
        <v>77</v>
      </c>
      <c r="I154" s="513"/>
      <c r="J154" s="583" t="s">
        <v>1023</v>
      </c>
      <c r="K154" s="589">
        <v>25</v>
      </c>
      <c r="L154" s="587"/>
      <c r="M154" s="571">
        <v>0</v>
      </c>
      <c r="N154" s="571">
        <v>0</v>
      </c>
      <c r="O154" s="566">
        <f t="shared" si="6"/>
        <v>0</v>
      </c>
      <c r="P154" s="567">
        <f t="shared" si="7"/>
        <v>0</v>
      </c>
      <c r="Q154" s="568" t="e">
        <f t="shared" si="8"/>
        <v>#DIV/0!</v>
      </c>
      <c r="R154" s="588" t="s">
        <v>1856</v>
      </c>
    </row>
    <row r="155" spans="1:18" ht="38.25" x14ac:dyDescent="0.2">
      <c r="A155" s="580" t="s">
        <v>277</v>
      </c>
      <c r="B155" s="581" t="s">
        <v>1012</v>
      </c>
      <c r="C155" s="580" t="s">
        <v>1014</v>
      </c>
      <c r="D155" s="581" t="s">
        <v>109</v>
      </c>
      <c r="E155" s="581" t="s">
        <v>997</v>
      </c>
      <c r="F155" s="590" t="s">
        <v>974</v>
      </c>
      <c r="G155" s="581" t="s">
        <v>919</v>
      </c>
      <c r="H155" s="583" t="s">
        <v>77</v>
      </c>
      <c r="I155" s="513"/>
      <c r="J155" s="583" t="s">
        <v>1023</v>
      </c>
      <c r="K155" s="589">
        <v>100</v>
      </c>
      <c r="L155" s="587"/>
      <c r="M155" s="571">
        <v>0</v>
      </c>
      <c r="N155" s="571">
        <v>0</v>
      </c>
      <c r="O155" s="566">
        <f t="shared" si="6"/>
        <v>0</v>
      </c>
      <c r="P155" s="567">
        <f t="shared" si="7"/>
        <v>0</v>
      </c>
      <c r="Q155" s="568" t="e">
        <f t="shared" si="8"/>
        <v>#DIV/0!</v>
      </c>
      <c r="R155" s="588" t="s">
        <v>1856</v>
      </c>
    </row>
    <row r="156" spans="1:18" x14ac:dyDescent="0.2">
      <c r="A156" s="580" t="s">
        <v>277</v>
      </c>
      <c r="B156" s="581" t="s">
        <v>1012</v>
      </c>
      <c r="C156" s="580" t="s">
        <v>1014</v>
      </c>
      <c r="D156" s="581" t="s">
        <v>946</v>
      </c>
      <c r="E156" s="581" t="s">
        <v>998</v>
      </c>
      <c r="F156" s="590" t="s">
        <v>974</v>
      </c>
      <c r="G156" s="581" t="s">
        <v>919</v>
      </c>
      <c r="H156" s="583" t="s">
        <v>77</v>
      </c>
      <c r="I156" s="513"/>
      <c r="J156" s="583" t="s">
        <v>1023</v>
      </c>
      <c r="K156" s="589">
        <v>100</v>
      </c>
      <c r="L156" s="587"/>
      <c r="M156" s="571">
        <v>0</v>
      </c>
      <c r="N156" s="571">
        <v>0</v>
      </c>
      <c r="O156" s="566">
        <f t="shared" si="6"/>
        <v>0</v>
      </c>
      <c r="P156" s="567">
        <f t="shared" si="7"/>
        <v>0</v>
      </c>
      <c r="Q156" s="568" t="e">
        <f t="shared" si="8"/>
        <v>#DIV/0!</v>
      </c>
      <c r="R156" s="588" t="s">
        <v>1856</v>
      </c>
    </row>
    <row r="157" spans="1:18" x14ac:dyDescent="0.2">
      <c r="A157" s="580" t="s">
        <v>277</v>
      </c>
      <c r="B157" s="581" t="s">
        <v>1012</v>
      </c>
      <c r="C157" s="580" t="s">
        <v>1014</v>
      </c>
      <c r="D157" s="581" t="s">
        <v>946</v>
      </c>
      <c r="E157" s="581" t="s">
        <v>999</v>
      </c>
      <c r="F157" s="590" t="s">
        <v>974</v>
      </c>
      <c r="G157" s="581" t="s">
        <v>919</v>
      </c>
      <c r="H157" s="583" t="s">
        <v>77</v>
      </c>
      <c r="I157" s="513"/>
      <c r="J157" s="583" t="s">
        <v>1023</v>
      </c>
      <c r="K157" s="589">
        <v>100</v>
      </c>
      <c r="L157" s="587"/>
      <c r="M157" s="571">
        <v>0</v>
      </c>
      <c r="N157" s="571">
        <v>0</v>
      </c>
      <c r="O157" s="566">
        <f t="shared" si="6"/>
        <v>0</v>
      </c>
      <c r="P157" s="567">
        <f t="shared" si="7"/>
        <v>0</v>
      </c>
      <c r="Q157" s="568" t="e">
        <f t="shared" si="8"/>
        <v>#DIV/0!</v>
      </c>
      <c r="R157" s="588" t="s">
        <v>1856</v>
      </c>
    </row>
    <row r="158" spans="1:18" ht="25.5" x14ac:dyDescent="0.2">
      <c r="A158" s="580" t="s">
        <v>277</v>
      </c>
      <c r="B158" s="581" t="s">
        <v>1012</v>
      </c>
      <c r="C158" s="580" t="s">
        <v>1014</v>
      </c>
      <c r="D158" s="581" t="s">
        <v>946</v>
      </c>
      <c r="E158" s="581" t="s">
        <v>1000</v>
      </c>
      <c r="F158" s="590" t="s">
        <v>974</v>
      </c>
      <c r="G158" s="581" t="s">
        <v>925</v>
      </c>
      <c r="H158" s="583" t="s">
        <v>77</v>
      </c>
      <c r="I158" s="513"/>
      <c r="J158" s="583" t="s">
        <v>1023</v>
      </c>
      <c r="K158" s="589">
        <v>25</v>
      </c>
      <c r="L158" s="587"/>
      <c r="M158" s="571">
        <v>0</v>
      </c>
      <c r="N158" s="571">
        <v>0</v>
      </c>
      <c r="O158" s="566">
        <f t="shared" si="6"/>
        <v>0</v>
      </c>
      <c r="P158" s="567">
        <f t="shared" si="7"/>
        <v>0</v>
      </c>
      <c r="Q158" s="568" t="e">
        <f t="shared" si="8"/>
        <v>#DIV/0!</v>
      </c>
      <c r="R158" s="588" t="s">
        <v>1856</v>
      </c>
    </row>
    <row r="159" spans="1:18" ht="25.5" x14ac:dyDescent="0.2">
      <c r="A159" s="580" t="s">
        <v>277</v>
      </c>
      <c r="B159" s="581" t="s">
        <v>1012</v>
      </c>
      <c r="C159" s="580" t="s">
        <v>1014</v>
      </c>
      <c r="D159" s="581" t="s">
        <v>946</v>
      </c>
      <c r="E159" s="581" t="s">
        <v>1001</v>
      </c>
      <c r="F159" s="590" t="s">
        <v>974</v>
      </c>
      <c r="G159" s="581" t="s">
        <v>925</v>
      </c>
      <c r="H159" s="583" t="s">
        <v>77</v>
      </c>
      <c r="I159" s="513"/>
      <c r="J159" s="583" t="s">
        <v>1023</v>
      </c>
      <c r="K159" s="589">
        <v>25</v>
      </c>
      <c r="L159" s="587"/>
      <c r="M159" s="571">
        <v>0</v>
      </c>
      <c r="N159" s="571">
        <v>0</v>
      </c>
      <c r="O159" s="566">
        <f t="shared" si="6"/>
        <v>0</v>
      </c>
      <c r="P159" s="567">
        <f t="shared" si="7"/>
        <v>0</v>
      </c>
      <c r="Q159" s="568" t="e">
        <f t="shared" si="8"/>
        <v>#DIV/0!</v>
      </c>
      <c r="R159" s="588" t="s">
        <v>1856</v>
      </c>
    </row>
    <row r="160" spans="1:18" ht="25.5" x14ac:dyDescent="0.2">
      <c r="A160" s="580" t="s">
        <v>277</v>
      </c>
      <c r="B160" s="581" t="s">
        <v>1012</v>
      </c>
      <c r="C160" s="580" t="s">
        <v>1014</v>
      </c>
      <c r="D160" s="581" t="s">
        <v>946</v>
      </c>
      <c r="E160" s="581" t="s">
        <v>1002</v>
      </c>
      <c r="F160" s="590" t="s">
        <v>974</v>
      </c>
      <c r="G160" s="581" t="s">
        <v>925</v>
      </c>
      <c r="H160" s="583" t="s">
        <v>77</v>
      </c>
      <c r="I160" s="513"/>
      <c r="J160" s="583" t="s">
        <v>1023</v>
      </c>
      <c r="K160" s="589">
        <v>25</v>
      </c>
      <c r="L160" s="587"/>
      <c r="M160" s="571">
        <v>0</v>
      </c>
      <c r="N160" s="571">
        <v>0</v>
      </c>
      <c r="O160" s="566">
        <f t="shared" si="6"/>
        <v>0</v>
      </c>
      <c r="P160" s="567">
        <f t="shared" si="7"/>
        <v>0</v>
      </c>
      <c r="Q160" s="568" t="e">
        <f t="shared" si="8"/>
        <v>#DIV/0!</v>
      </c>
      <c r="R160" s="588" t="s">
        <v>1856</v>
      </c>
    </row>
    <row r="161" spans="1:18" ht="25.5" x14ac:dyDescent="0.2">
      <c r="A161" s="580" t="s">
        <v>277</v>
      </c>
      <c r="B161" s="581" t="s">
        <v>1012</v>
      </c>
      <c r="C161" s="580" t="s">
        <v>1014</v>
      </c>
      <c r="D161" s="581" t="s">
        <v>946</v>
      </c>
      <c r="E161" s="581" t="s">
        <v>1003</v>
      </c>
      <c r="F161" s="590" t="s">
        <v>974</v>
      </c>
      <c r="G161" s="581" t="s">
        <v>925</v>
      </c>
      <c r="H161" s="583" t="s">
        <v>77</v>
      </c>
      <c r="I161" s="513"/>
      <c r="J161" s="583" t="s">
        <v>1023</v>
      </c>
      <c r="K161" s="589">
        <v>25</v>
      </c>
      <c r="L161" s="587"/>
      <c r="M161" s="571">
        <v>0</v>
      </c>
      <c r="N161" s="571">
        <v>0</v>
      </c>
      <c r="O161" s="566">
        <f t="shared" si="6"/>
        <v>0</v>
      </c>
      <c r="P161" s="567">
        <f t="shared" si="7"/>
        <v>0</v>
      </c>
      <c r="Q161" s="568" t="e">
        <f t="shared" si="8"/>
        <v>#DIV/0!</v>
      </c>
      <c r="R161" s="588" t="s">
        <v>1856</v>
      </c>
    </row>
    <row r="162" spans="1:18" ht="25.5" x14ac:dyDescent="0.2">
      <c r="A162" s="580" t="s">
        <v>277</v>
      </c>
      <c r="B162" s="581" t="s">
        <v>1012</v>
      </c>
      <c r="C162" s="580" t="s">
        <v>1014</v>
      </c>
      <c r="D162" s="581" t="s">
        <v>946</v>
      </c>
      <c r="E162" s="581" t="s">
        <v>1004</v>
      </c>
      <c r="F162" s="582" t="s">
        <v>974</v>
      </c>
      <c r="G162" s="581" t="s">
        <v>919</v>
      </c>
      <c r="H162" s="583" t="s">
        <v>77</v>
      </c>
      <c r="I162" s="513"/>
      <c r="J162" s="583" t="s">
        <v>1023</v>
      </c>
      <c r="K162" s="589">
        <v>100</v>
      </c>
      <c r="L162" s="587"/>
      <c r="M162" s="571">
        <v>0</v>
      </c>
      <c r="N162" s="571">
        <v>0</v>
      </c>
      <c r="O162" s="566">
        <f t="shared" si="6"/>
        <v>0</v>
      </c>
      <c r="P162" s="567">
        <f t="shared" si="7"/>
        <v>0</v>
      </c>
      <c r="Q162" s="568" t="e">
        <f t="shared" si="8"/>
        <v>#DIV/0!</v>
      </c>
      <c r="R162" s="588" t="s">
        <v>1856</v>
      </c>
    </row>
    <row r="163" spans="1:18" ht="25.5" x14ac:dyDescent="0.2">
      <c r="A163" s="580" t="s">
        <v>277</v>
      </c>
      <c r="B163" s="581" t="s">
        <v>1012</v>
      </c>
      <c r="C163" s="580" t="s">
        <v>1014</v>
      </c>
      <c r="D163" s="581" t="s">
        <v>946</v>
      </c>
      <c r="E163" s="581" t="s">
        <v>1004</v>
      </c>
      <c r="F163" s="582" t="s">
        <v>970</v>
      </c>
      <c r="G163" s="581" t="s">
        <v>1005</v>
      </c>
      <c r="H163" s="583" t="s">
        <v>77</v>
      </c>
      <c r="I163" s="513"/>
      <c r="J163" s="583" t="s">
        <v>1023</v>
      </c>
      <c r="K163" s="589">
        <v>33</v>
      </c>
      <c r="L163" s="587"/>
      <c r="M163" s="571">
        <v>0</v>
      </c>
      <c r="N163" s="571">
        <v>0</v>
      </c>
      <c r="O163" s="566">
        <f t="shared" si="6"/>
        <v>0</v>
      </c>
      <c r="P163" s="567">
        <f t="shared" si="7"/>
        <v>0</v>
      </c>
      <c r="Q163" s="568" t="e">
        <f t="shared" si="8"/>
        <v>#DIV/0!</v>
      </c>
      <c r="R163" s="588" t="s">
        <v>1856</v>
      </c>
    </row>
    <row r="164" spans="1:18" ht="25.5" x14ac:dyDescent="0.2">
      <c r="A164" s="580" t="s">
        <v>277</v>
      </c>
      <c r="B164" s="581" t="s">
        <v>1012</v>
      </c>
      <c r="C164" s="580" t="s">
        <v>1014</v>
      </c>
      <c r="D164" s="581" t="s">
        <v>946</v>
      </c>
      <c r="E164" s="581" t="s">
        <v>954</v>
      </c>
      <c r="F164" s="582" t="s">
        <v>974</v>
      </c>
      <c r="G164" s="581" t="s">
        <v>1006</v>
      </c>
      <c r="H164" s="583" t="s">
        <v>77</v>
      </c>
      <c r="I164" s="513"/>
      <c r="J164" s="583" t="s">
        <v>1023</v>
      </c>
      <c r="K164" s="589">
        <v>100</v>
      </c>
      <c r="L164" s="585" t="s">
        <v>1024</v>
      </c>
      <c r="M164" s="571">
        <v>0</v>
      </c>
      <c r="N164" s="571">
        <v>0</v>
      </c>
      <c r="O164" s="566">
        <f t="shared" si="6"/>
        <v>0</v>
      </c>
      <c r="P164" s="567">
        <f t="shared" si="7"/>
        <v>0</v>
      </c>
      <c r="Q164" s="568" t="e">
        <f t="shared" si="8"/>
        <v>#DIV/0!</v>
      </c>
      <c r="R164" s="588" t="s">
        <v>1856</v>
      </c>
    </row>
    <row r="165" spans="1:18" x14ac:dyDescent="0.2">
      <c r="A165" s="580" t="s">
        <v>277</v>
      </c>
      <c r="B165" s="581" t="s">
        <v>1012</v>
      </c>
      <c r="C165" s="580" t="s">
        <v>1014</v>
      </c>
      <c r="D165" s="581" t="s">
        <v>946</v>
      </c>
      <c r="E165" s="581" t="s">
        <v>954</v>
      </c>
      <c r="F165" s="582" t="s">
        <v>970</v>
      </c>
      <c r="G165" s="581" t="s">
        <v>1005</v>
      </c>
      <c r="H165" s="583" t="s">
        <v>77</v>
      </c>
      <c r="I165" s="513"/>
      <c r="J165" s="583" t="s">
        <v>1023</v>
      </c>
      <c r="K165" s="589">
        <v>33</v>
      </c>
      <c r="L165" s="587"/>
      <c r="M165" s="571">
        <v>0</v>
      </c>
      <c r="N165" s="571">
        <v>0</v>
      </c>
      <c r="O165" s="566">
        <f t="shared" si="6"/>
        <v>0</v>
      </c>
      <c r="P165" s="567">
        <f t="shared" si="7"/>
        <v>0</v>
      </c>
      <c r="Q165" s="568" t="e">
        <f t="shared" si="8"/>
        <v>#DIV/0!</v>
      </c>
      <c r="R165" s="588" t="s">
        <v>1856</v>
      </c>
    </row>
    <row r="166" spans="1:18" ht="25.5" x14ac:dyDescent="0.2">
      <c r="A166" s="580" t="s">
        <v>277</v>
      </c>
      <c r="B166" s="581" t="s">
        <v>1012</v>
      </c>
      <c r="C166" s="580" t="s">
        <v>1014</v>
      </c>
      <c r="D166" s="581" t="s">
        <v>946</v>
      </c>
      <c r="E166" s="581" t="s">
        <v>1007</v>
      </c>
      <c r="F166" s="582" t="s">
        <v>974</v>
      </c>
      <c r="G166" s="581" t="s">
        <v>919</v>
      </c>
      <c r="H166" s="583" t="s">
        <v>77</v>
      </c>
      <c r="I166" s="513"/>
      <c r="J166" s="583" t="s">
        <v>1023</v>
      </c>
      <c r="K166" s="589">
        <v>100</v>
      </c>
      <c r="L166" s="587"/>
      <c r="M166" s="571">
        <v>0</v>
      </c>
      <c r="N166" s="571">
        <v>0</v>
      </c>
      <c r="O166" s="566">
        <f t="shared" si="6"/>
        <v>0</v>
      </c>
      <c r="P166" s="567">
        <f t="shared" si="7"/>
        <v>0</v>
      </c>
      <c r="Q166" s="568" t="e">
        <f t="shared" si="8"/>
        <v>#DIV/0!</v>
      </c>
      <c r="R166" s="588" t="s">
        <v>1856</v>
      </c>
    </row>
    <row r="167" spans="1:18" ht="25.5" x14ac:dyDescent="0.2">
      <c r="A167" s="580" t="s">
        <v>277</v>
      </c>
      <c r="B167" s="581" t="s">
        <v>1012</v>
      </c>
      <c r="C167" s="580" t="s">
        <v>1014</v>
      </c>
      <c r="D167" s="581" t="s">
        <v>1008</v>
      </c>
      <c r="E167" s="581" t="s">
        <v>1007</v>
      </c>
      <c r="F167" s="582" t="s">
        <v>1009</v>
      </c>
      <c r="G167" s="581" t="s">
        <v>919</v>
      </c>
      <c r="H167" s="583" t="s">
        <v>77</v>
      </c>
      <c r="I167" s="513"/>
      <c r="J167" s="583" t="s">
        <v>1023</v>
      </c>
      <c r="K167" s="589">
        <v>100</v>
      </c>
      <c r="L167" s="587"/>
      <c r="M167" s="571">
        <v>0</v>
      </c>
      <c r="N167" s="571">
        <v>0</v>
      </c>
      <c r="O167" s="566">
        <f t="shared" si="6"/>
        <v>0</v>
      </c>
      <c r="P167" s="567">
        <f t="shared" si="7"/>
        <v>0</v>
      </c>
      <c r="Q167" s="568" t="e">
        <f t="shared" si="8"/>
        <v>#DIV/0!</v>
      </c>
      <c r="R167" s="588" t="s">
        <v>1856</v>
      </c>
    </row>
    <row r="168" spans="1:18" x14ac:dyDescent="0.2">
      <c r="A168" s="580" t="s">
        <v>277</v>
      </c>
      <c r="B168" s="581" t="s">
        <v>1012</v>
      </c>
      <c r="C168" s="580" t="s">
        <v>1014</v>
      </c>
      <c r="D168" s="581" t="s">
        <v>1008</v>
      </c>
      <c r="E168" s="581" t="s">
        <v>1010</v>
      </c>
      <c r="F168" s="582" t="s">
        <v>974</v>
      </c>
      <c r="G168" s="581" t="s">
        <v>919</v>
      </c>
      <c r="H168" s="583" t="s">
        <v>77</v>
      </c>
      <c r="I168" s="513"/>
      <c r="J168" s="583" t="s">
        <v>1023</v>
      </c>
      <c r="K168" s="589">
        <v>100</v>
      </c>
      <c r="L168" s="587"/>
      <c r="M168" s="571">
        <v>0</v>
      </c>
      <c r="N168" s="571">
        <v>0</v>
      </c>
      <c r="O168" s="566">
        <f t="shared" si="6"/>
        <v>0</v>
      </c>
      <c r="P168" s="567">
        <f t="shared" si="7"/>
        <v>0</v>
      </c>
      <c r="Q168" s="568" t="e">
        <f t="shared" si="8"/>
        <v>#DIV/0!</v>
      </c>
      <c r="R168" s="588" t="s">
        <v>1856</v>
      </c>
    </row>
    <row r="169" spans="1:18" ht="25.5" x14ac:dyDescent="0.2">
      <c r="A169" s="580" t="s">
        <v>277</v>
      </c>
      <c r="B169" s="581" t="s">
        <v>1015</v>
      </c>
      <c r="C169" s="580" t="s">
        <v>1016</v>
      </c>
      <c r="D169" s="581" t="s">
        <v>109</v>
      </c>
      <c r="E169" s="581" t="s">
        <v>968</v>
      </c>
      <c r="F169" s="582" t="s">
        <v>969</v>
      </c>
      <c r="G169" s="581" t="s">
        <v>919</v>
      </c>
      <c r="H169" s="583" t="s">
        <v>77</v>
      </c>
      <c r="I169" s="513"/>
      <c r="J169" s="583" t="s">
        <v>1023</v>
      </c>
      <c r="K169" s="584">
        <v>100</v>
      </c>
      <c r="L169" s="585" t="s">
        <v>1024</v>
      </c>
      <c r="M169" s="571">
        <v>56</v>
      </c>
      <c r="N169" s="571">
        <v>37</v>
      </c>
      <c r="O169" s="566">
        <f t="shared" si="6"/>
        <v>0.6607142857142857</v>
      </c>
      <c r="P169" s="567">
        <f t="shared" si="7"/>
        <v>0.6607142857142857</v>
      </c>
      <c r="Q169" s="568">
        <f t="shared" si="8"/>
        <v>0.6607142857142857</v>
      </c>
      <c r="R169" s="688" t="s">
        <v>1954</v>
      </c>
    </row>
    <row r="170" spans="1:18" x14ac:dyDescent="0.2">
      <c r="A170" s="580" t="s">
        <v>277</v>
      </c>
      <c r="B170" s="581" t="s">
        <v>1015</v>
      </c>
      <c r="C170" s="580" t="s">
        <v>1016</v>
      </c>
      <c r="D170" s="581" t="s">
        <v>109</v>
      </c>
      <c r="E170" s="581" t="s">
        <v>968</v>
      </c>
      <c r="F170" s="582" t="s">
        <v>970</v>
      </c>
      <c r="G170" s="581" t="s">
        <v>971</v>
      </c>
      <c r="H170" s="583" t="s">
        <v>77</v>
      </c>
      <c r="I170" s="513"/>
      <c r="J170" s="583" t="s">
        <v>1023</v>
      </c>
      <c r="K170" s="584">
        <v>33</v>
      </c>
      <c r="L170" s="587"/>
      <c r="M170" s="571">
        <v>56</v>
      </c>
      <c r="N170" s="571">
        <v>37</v>
      </c>
      <c r="O170" s="566">
        <f t="shared" si="6"/>
        <v>0.6607142857142857</v>
      </c>
      <c r="P170" s="567">
        <f t="shared" si="7"/>
        <v>2.002164502164502</v>
      </c>
      <c r="Q170" s="568">
        <f t="shared" si="8"/>
        <v>2.002164502164502</v>
      </c>
      <c r="R170" s="688" t="s">
        <v>1954</v>
      </c>
    </row>
    <row r="171" spans="1:18" ht="25.5" x14ac:dyDescent="0.2">
      <c r="A171" s="580" t="s">
        <v>277</v>
      </c>
      <c r="B171" s="581" t="s">
        <v>1015</v>
      </c>
      <c r="C171" s="580" t="s">
        <v>1016</v>
      </c>
      <c r="D171" s="581" t="s">
        <v>109</v>
      </c>
      <c r="E171" s="581" t="s">
        <v>972</v>
      </c>
      <c r="F171" s="582" t="s">
        <v>969</v>
      </c>
      <c r="G171" s="581" t="s">
        <v>925</v>
      </c>
      <c r="H171" s="583" t="s">
        <v>77</v>
      </c>
      <c r="I171" s="513"/>
      <c r="J171" s="583" t="s">
        <v>1023</v>
      </c>
      <c r="K171" s="584">
        <v>25</v>
      </c>
      <c r="L171" s="587"/>
      <c r="M171" s="571">
        <v>56</v>
      </c>
      <c r="N171" s="571">
        <v>5</v>
      </c>
      <c r="O171" s="566">
        <f t="shared" si="6"/>
        <v>8.9285714285714288E-2</v>
      </c>
      <c r="P171" s="567">
        <f t="shared" si="7"/>
        <v>0.35714285714285715</v>
      </c>
      <c r="Q171" s="568">
        <f t="shared" si="8"/>
        <v>0.35714285714285715</v>
      </c>
      <c r="R171" s="688" t="s">
        <v>1954</v>
      </c>
    </row>
    <row r="172" spans="1:18" ht="25.5" x14ac:dyDescent="0.2">
      <c r="A172" s="580" t="s">
        <v>277</v>
      </c>
      <c r="B172" s="581" t="s">
        <v>1015</v>
      </c>
      <c r="C172" s="580" t="s">
        <v>1016</v>
      </c>
      <c r="D172" s="581" t="s">
        <v>109</v>
      </c>
      <c r="E172" s="581" t="s">
        <v>972</v>
      </c>
      <c r="F172" s="582" t="s">
        <v>970</v>
      </c>
      <c r="G172" s="581" t="s">
        <v>925</v>
      </c>
      <c r="H172" s="583" t="s">
        <v>77</v>
      </c>
      <c r="I172" s="513"/>
      <c r="J172" s="583" t="s">
        <v>1023</v>
      </c>
      <c r="K172" s="584">
        <v>25</v>
      </c>
      <c r="L172" s="587"/>
      <c r="M172" s="571">
        <v>56</v>
      </c>
      <c r="N172" s="571">
        <v>5</v>
      </c>
      <c r="O172" s="566">
        <f t="shared" si="6"/>
        <v>8.9285714285714288E-2</v>
      </c>
      <c r="P172" s="567">
        <f t="shared" si="7"/>
        <v>0.35714285714285715</v>
      </c>
      <c r="Q172" s="568">
        <f t="shared" si="8"/>
        <v>0.35714285714285715</v>
      </c>
      <c r="R172" s="688" t="s">
        <v>1954</v>
      </c>
    </row>
    <row r="173" spans="1:18" ht="38.25" x14ac:dyDescent="0.2">
      <c r="A173" s="580" t="s">
        <v>277</v>
      </c>
      <c r="B173" s="581" t="s">
        <v>1015</v>
      </c>
      <c r="C173" s="580" t="s">
        <v>1016</v>
      </c>
      <c r="D173" s="581" t="s">
        <v>109</v>
      </c>
      <c r="E173" s="581" t="s">
        <v>973</v>
      </c>
      <c r="F173" s="582" t="s">
        <v>974</v>
      </c>
      <c r="G173" s="581" t="s">
        <v>925</v>
      </c>
      <c r="H173" s="583" t="s">
        <v>77</v>
      </c>
      <c r="I173" s="513"/>
      <c r="J173" s="583" t="s">
        <v>1023</v>
      </c>
      <c r="K173" s="584">
        <v>25</v>
      </c>
      <c r="L173" s="585" t="s">
        <v>1025</v>
      </c>
      <c r="M173" s="571">
        <v>56</v>
      </c>
      <c r="N173" s="571">
        <v>10</v>
      </c>
      <c r="O173" s="566">
        <f t="shared" si="6"/>
        <v>0.17857142857142858</v>
      </c>
      <c r="P173" s="567">
        <f t="shared" si="7"/>
        <v>0.7142857142857143</v>
      </c>
      <c r="Q173" s="568">
        <f t="shared" si="8"/>
        <v>0.7142857142857143</v>
      </c>
      <c r="R173" s="688" t="s">
        <v>1954</v>
      </c>
    </row>
    <row r="174" spans="1:18" ht="25.5" x14ac:dyDescent="0.2">
      <c r="A174" s="580" t="s">
        <v>277</v>
      </c>
      <c r="B174" s="581" t="s">
        <v>1015</v>
      </c>
      <c r="C174" s="580" t="s">
        <v>1016</v>
      </c>
      <c r="D174" s="581" t="s">
        <v>109</v>
      </c>
      <c r="E174" s="581" t="s">
        <v>973</v>
      </c>
      <c r="F174" s="582" t="s">
        <v>975</v>
      </c>
      <c r="G174" s="581" t="s">
        <v>925</v>
      </c>
      <c r="H174" s="583" t="s">
        <v>77</v>
      </c>
      <c r="I174" s="513"/>
      <c r="J174" s="583" t="s">
        <v>1023</v>
      </c>
      <c r="K174" s="584">
        <v>33</v>
      </c>
      <c r="L174" s="587"/>
      <c r="M174" s="571">
        <v>56</v>
      </c>
      <c r="N174" s="571">
        <v>10</v>
      </c>
      <c r="O174" s="566">
        <f t="shared" si="6"/>
        <v>0.17857142857142858</v>
      </c>
      <c r="P174" s="567">
        <f t="shared" si="7"/>
        <v>0.54112554112554112</v>
      </c>
      <c r="Q174" s="568">
        <f t="shared" si="8"/>
        <v>0.54112554112554112</v>
      </c>
      <c r="R174" s="688" t="s">
        <v>1954</v>
      </c>
    </row>
    <row r="175" spans="1:18" ht="25.5" x14ac:dyDescent="0.2">
      <c r="A175" s="580" t="s">
        <v>277</v>
      </c>
      <c r="B175" s="581" t="s">
        <v>1015</v>
      </c>
      <c r="C175" s="580" t="s">
        <v>1016</v>
      </c>
      <c r="D175" s="581" t="s">
        <v>109</v>
      </c>
      <c r="E175" s="581" t="s">
        <v>976</v>
      </c>
      <c r="F175" s="582" t="s">
        <v>974</v>
      </c>
      <c r="G175" s="581" t="s">
        <v>925</v>
      </c>
      <c r="H175" s="583" t="s">
        <v>77</v>
      </c>
      <c r="I175" s="513"/>
      <c r="J175" s="583" t="s">
        <v>1023</v>
      </c>
      <c r="K175" s="584">
        <v>25</v>
      </c>
      <c r="L175" s="587"/>
      <c r="M175" s="571">
        <v>56</v>
      </c>
      <c r="N175" s="571">
        <v>10</v>
      </c>
      <c r="O175" s="566">
        <f t="shared" si="6"/>
        <v>0.17857142857142858</v>
      </c>
      <c r="P175" s="567">
        <f t="shared" si="7"/>
        <v>0.7142857142857143</v>
      </c>
      <c r="Q175" s="568">
        <f t="shared" si="8"/>
        <v>0.7142857142857143</v>
      </c>
      <c r="R175" s="688" t="s">
        <v>1954</v>
      </c>
    </row>
    <row r="176" spans="1:18" ht="25.5" x14ac:dyDescent="0.2">
      <c r="A176" s="580" t="s">
        <v>277</v>
      </c>
      <c r="B176" s="581" t="s">
        <v>1015</v>
      </c>
      <c r="C176" s="580" t="s">
        <v>1016</v>
      </c>
      <c r="D176" s="581" t="s">
        <v>109</v>
      </c>
      <c r="E176" s="581" t="s">
        <v>977</v>
      </c>
      <c r="F176" s="582" t="s">
        <v>974</v>
      </c>
      <c r="G176" s="581" t="s">
        <v>925</v>
      </c>
      <c r="H176" s="583" t="s">
        <v>77</v>
      </c>
      <c r="I176" s="513"/>
      <c r="J176" s="583" t="s">
        <v>1023</v>
      </c>
      <c r="K176" s="584">
        <v>25</v>
      </c>
      <c r="L176" s="587"/>
      <c r="M176" s="571">
        <v>56</v>
      </c>
      <c r="N176" s="571">
        <v>7</v>
      </c>
      <c r="O176" s="566">
        <f t="shared" si="6"/>
        <v>0.125</v>
      </c>
      <c r="P176" s="567">
        <f t="shared" si="7"/>
        <v>0.5</v>
      </c>
      <c r="Q176" s="568">
        <f t="shared" si="8"/>
        <v>0.5</v>
      </c>
      <c r="R176" s="688" t="s">
        <v>1954</v>
      </c>
    </row>
    <row r="177" spans="1:18" x14ac:dyDescent="0.2">
      <c r="A177" s="580" t="s">
        <v>277</v>
      </c>
      <c r="B177" s="581" t="s">
        <v>1015</v>
      </c>
      <c r="C177" s="580" t="s">
        <v>1016</v>
      </c>
      <c r="D177" s="581" t="s">
        <v>109</v>
      </c>
      <c r="E177" s="581" t="s">
        <v>978</v>
      </c>
      <c r="F177" s="582" t="s">
        <v>974</v>
      </c>
      <c r="G177" s="581" t="s">
        <v>919</v>
      </c>
      <c r="H177" s="583" t="s">
        <v>77</v>
      </c>
      <c r="I177" s="513"/>
      <c r="J177" s="583" t="s">
        <v>1023</v>
      </c>
      <c r="K177" s="584">
        <v>100</v>
      </c>
      <c r="L177" s="587"/>
      <c r="M177" s="571">
        <v>56</v>
      </c>
      <c r="N177" s="571">
        <v>37</v>
      </c>
      <c r="O177" s="566">
        <f t="shared" si="6"/>
        <v>0.6607142857142857</v>
      </c>
      <c r="P177" s="567">
        <f t="shared" si="7"/>
        <v>0.6607142857142857</v>
      </c>
      <c r="Q177" s="568">
        <f t="shared" si="8"/>
        <v>0.6607142857142857</v>
      </c>
      <c r="R177" s="688" t="s">
        <v>1954</v>
      </c>
    </row>
    <row r="178" spans="1:18" x14ac:dyDescent="0.2">
      <c r="A178" s="580" t="s">
        <v>277</v>
      </c>
      <c r="B178" s="581" t="s">
        <v>1015</v>
      </c>
      <c r="C178" s="580" t="s">
        <v>1016</v>
      </c>
      <c r="D178" s="581" t="s">
        <v>109</v>
      </c>
      <c r="E178" s="581" t="s">
        <v>979</v>
      </c>
      <c r="F178" s="582" t="s">
        <v>974</v>
      </c>
      <c r="G178" s="581" t="s">
        <v>919</v>
      </c>
      <c r="H178" s="583" t="s">
        <v>77</v>
      </c>
      <c r="I178" s="513"/>
      <c r="J178" s="583" t="s">
        <v>1023</v>
      </c>
      <c r="K178" s="589">
        <v>100</v>
      </c>
      <c r="L178" s="587"/>
      <c r="M178" s="571">
        <v>56</v>
      </c>
      <c r="N178" s="571">
        <v>37</v>
      </c>
      <c r="O178" s="566">
        <f t="shared" si="6"/>
        <v>0.6607142857142857</v>
      </c>
      <c r="P178" s="567">
        <f t="shared" si="7"/>
        <v>0.6607142857142857</v>
      </c>
      <c r="Q178" s="568">
        <f t="shared" si="8"/>
        <v>0.6607142857142857</v>
      </c>
      <c r="R178" s="688" t="s">
        <v>1954</v>
      </c>
    </row>
    <row r="179" spans="1:18" ht="25.5" x14ac:dyDescent="0.2">
      <c r="A179" s="580" t="s">
        <v>277</v>
      </c>
      <c r="B179" s="581" t="s">
        <v>1015</v>
      </c>
      <c r="C179" s="580" t="s">
        <v>1016</v>
      </c>
      <c r="D179" s="581" t="s">
        <v>109</v>
      </c>
      <c r="E179" s="581" t="s">
        <v>980</v>
      </c>
      <c r="F179" s="582" t="s">
        <v>974</v>
      </c>
      <c r="G179" s="581" t="s">
        <v>925</v>
      </c>
      <c r="H179" s="583" t="s">
        <v>77</v>
      </c>
      <c r="I179" s="513"/>
      <c r="J179" s="583" t="s">
        <v>1023</v>
      </c>
      <c r="K179" s="589">
        <v>25</v>
      </c>
      <c r="L179" s="587"/>
      <c r="M179" s="571">
        <v>56</v>
      </c>
      <c r="N179" s="571">
        <v>7</v>
      </c>
      <c r="O179" s="566">
        <f t="shared" si="6"/>
        <v>0.125</v>
      </c>
      <c r="P179" s="567">
        <f t="shared" si="7"/>
        <v>0.5</v>
      </c>
      <c r="Q179" s="568">
        <f t="shared" si="8"/>
        <v>0.5</v>
      </c>
      <c r="R179" s="688" t="s">
        <v>1954</v>
      </c>
    </row>
    <row r="180" spans="1:18" ht="25.5" x14ac:dyDescent="0.2">
      <c r="A180" s="580" t="s">
        <v>277</v>
      </c>
      <c r="B180" s="581" t="s">
        <v>1015</v>
      </c>
      <c r="C180" s="580" t="s">
        <v>1016</v>
      </c>
      <c r="D180" s="581" t="s">
        <v>109</v>
      </c>
      <c r="E180" s="581" t="s">
        <v>981</v>
      </c>
      <c r="F180" s="582" t="s">
        <v>974</v>
      </c>
      <c r="G180" s="581" t="s">
        <v>925</v>
      </c>
      <c r="H180" s="583" t="s">
        <v>77</v>
      </c>
      <c r="I180" s="513"/>
      <c r="J180" s="583" t="s">
        <v>1023</v>
      </c>
      <c r="K180" s="589">
        <v>25</v>
      </c>
      <c r="L180" s="587"/>
      <c r="M180" s="571">
        <v>56</v>
      </c>
      <c r="N180" s="571">
        <v>7</v>
      </c>
      <c r="O180" s="566">
        <f t="shared" si="6"/>
        <v>0.125</v>
      </c>
      <c r="P180" s="567">
        <f t="shared" si="7"/>
        <v>0.5</v>
      </c>
      <c r="Q180" s="568">
        <f t="shared" si="8"/>
        <v>0.5</v>
      </c>
      <c r="R180" s="688" t="s">
        <v>1954</v>
      </c>
    </row>
    <row r="181" spans="1:18" x14ac:dyDescent="0.2">
      <c r="A181" s="580" t="s">
        <v>277</v>
      </c>
      <c r="B181" s="581" t="s">
        <v>1015</v>
      </c>
      <c r="C181" s="580" t="s">
        <v>1016</v>
      </c>
      <c r="D181" s="581" t="s">
        <v>109</v>
      </c>
      <c r="E181" s="581" t="s">
        <v>982</v>
      </c>
      <c r="F181" s="590" t="s">
        <v>983</v>
      </c>
      <c r="G181" s="581" t="s">
        <v>919</v>
      </c>
      <c r="H181" s="583" t="s">
        <v>77</v>
      </c>
      <c r="I181" s="513"/>
      <c r="J181" s="583" t="s">
        <v>1023</v>
      </c>
      <c r="K181" s="589">
        <v>100</v>
      </c>
      <c r="L181" s="587"/>
      <c r="M181" s="571">
        <v>56</v>
      </c>
      <c r="N181" s="571">
        <v>37</v>
      </c>
      <c r="O181" s="566">
        <f t="shared" si="6"/>
        <v>0.6607142857142857</v>
      </c>
      <c r="P181" s="567">
        <f t="shared" si="7"/>
        <v>0.6607142857142857</v>
      </c>
      <c r="Q181" s="568">
        <f t="shared" si="8"/>
        <v>0.6607142857142857</v>
      </c>
      <c r="R181" s="688" t="s">
        <v>1954</v>
      </c>
    </row>
    <row r="182" spans="1:18" x14ac:dyDescent="0.2">
      <c r="A182" s="580" t="s">
        <v>277</v>
      </c>
      <c r="B182" s="581" t="s">
        <v>1015</v>
      </c>
      <c r="C182" s="580" t="s">
        <v>1016</v>
      </c>
      <c r="D182" s="581" t="s">
        <v>109</v>
      </c>
      <c r="E182" s="581" t="s">
        <v>984</v>
      </c>
      <c r="F182" s="590" t="s">
        <v>983</v>
      </c>
      <c r="G182" s="581" t="s">
        <v>919</v>
      </c>
      <c r="H182" s="583" t="s">
        <v>77</v>
      </c>
      <c r="I182" s="513"/>
      <c r="J182" s="583" t="s">
        <v>1023</v>
      </c>
      <c r="K182" s="589">
        <v>100</v>
      </c>
      <c r="L182" s="587"/>
      <c r="M182" s="571">
        <v>56</v>
      </c>
      <c r="N182" s="571">
        <v>37</v>
      </c>
      <c r="O182" s="566">
        <f t="shared" si="6"/>
        <v>0.6607142857142857</v>
      </c>
      <c r="P182" s="567">
        <f t="shared" si="7"/>
        <v>0.6607142857142857</v>
      </c>
      <c r="Q182" s="568">
        <f t="shared" si="8"/>
        <v>0.6607142857142857</v>
      </c>
      <c r="R182" s="688" t="s">
        <v>1954</v>
      </c>
    </row>
    <row r="183" spans="1:18" ht="25.5" x14ac:dyDescent="0.2">
      <c r="A183" s="580" t="s">
        <v>277</v>
      </c>
      <c r="B183" s="581" t="s">
        <v>1015</v>
      </c>
      <c r="C183" s="580" t="s">
        <v>1016</v>
      </c>
      <c r="D183" s="581" t="s">
        <v>109</v>
      </c>
      <c r="E183" s="581" t="s">
        <v>985</v>
      </c>
      <c r="F183" s="590" t="s">
        <v>970</v>
      </c>
      <c r="G183" s="581" t="s">
        <v>925</v>
      </c>
      <c r="H183" s="583" t="s">
        <v>77</v>
      </c>
      <c r="I183" s="513"/>
      <c r="J183" s="583" t="s">
        <v>1023</v>
      </c>
      <c r="K183" s="589">
        <v>33</v>
      </c>
      <c r="L183" s="587"/>
      <c r="M183" s="571">
        <v>56</v>
      </c>
      <c r="N183" s="571">
        <v>10</v>
      </c>
      <c r="O183" s="566">
        <f t="shared" si="6"/>
        <v>0.17857142857142858</v>
      </c>
      <c r="P183" s="567">
        <f t="shared" si="7"/>
        <v>0.54112554112554112</v>
      </c>
      <c r="Q183" s="568">
        <f t="shared" si="8"/>
        <v>0.54112554112554112</v>
      </c>
      <c r="R183" s="688" t="s">
        <v>1954</v>
      </c>
    </row>
    <row r="184" spans="1:18" ht="25.5" x14ac:dyDescent="0.2">
      <c r="A184" s="580" t="s">
        <v>277</v>
      </c>
      <c r="B184" s="581" t="s">
        <v>1015</v>
      </c>
      <c r="C184" s="580" t="s">
        <v>1016</v>
      </c>
      <c r="D184" s="581" t="s">
        <v>109</v>
      </c>
      <c r="E184" s="581" t="s">
        <v>986</v>
      </c>
      <c r="F184" s="590" t="s">
        <v>970</v>
      </c>
      <c r="G184" s="581" t="s">
        <v>925</v>
      </c>
      <c r="H184" s="583" t="s">
        <v>77</v>
      </c>
      <c r="I184" s="513"/>
      <c r="J184" s="583" t="s">
        <v>1023</v>
      </c>
      <c r="K184" s="589">
        <v>33</v>
      </c>
      <c r="L184" s="587"/>
      <c r="M184" s="571">
        <v>56</v>
      </c>
      <c r="N184" s="571">
        <v>15</v>
      </c>
      <c r="O184" s="566">
        <f t="shared" si="6"/>
        <v>0.26785714285714285</v>
      </c>
      <c r="P184" s="567">
        <f t="shared" si="7"/>
        <v>0.81168831168831168</v>
      </c>
      <c r="Q184" s="568">
        <f t="shared" si="8"/>
        <v>0.81168831168831168</v>
      </c>
      <c r="R184" s="688" t="s">
        <v>1954</v>
      </c>
    </row>
    <row r="185" spans="1:18" ht="25.5" x14ac:dyDescent="0.2">
      <c r="A185" s="580" t="s">
        <v>277</v>
      </c>
      <c r="B185" s="581" t="s">
        <v>1015</v>
      </c>
      <c r="C185" s="580" t="s">
        <v>1016</v>
      </c>
      <c r="D185" s="581" t="s">
        <v>109</v>
      </c>
      <c r="E185" s="581" t="s">
        <v>987</v>
      </c>
      <c r="F185" s="590" t="s">
        <v>970</v>
      </c>
      <c r="G185" s="581" t="s">
        <v>925</v>
      </c>
      <c r="H185" s="583" t="s">
        <v>77</v>
      </c>
      <c r="I185" s="513"/>
      <c r="J185" s="583" t="s">
        <v>1023</v>
      </c>
      <c r="K185" s="589">
        <v>33</v>
      </c>
      <c r="L185" s="587"/>
      <c r="M185" s="571">
        <v>56</v>
      </c>
      <c r="N185" s="571">
        <v>15</v>
      </c>
      <c r="O185" s="566">
        <f t="shared" si="6"/>
        <v>0.26785714285714285</v>
      </c>
      <c r="P185" s="567">
        <f t="shared" si="7"/>
        <v>0.81168831168831168</v>
      </c>
      <c r="Q185" s="568">
        <f t="shared" si="8"/>
        <v>0.81168831168831168</v>
      </c>
      <c r="R185" s="688" t="s">
        <v>1954</v>
      </c>
    </row>
    <row r="186" spans="1:18" ht="25.5" x14ac:dyDescent="0.2">
      <c r="A186" s="580" t="s">
        <v>277</v>
      </c>
      <c r="B186" s="581" t="s">
        <v>1015</v>
      </c>
      <c r="C186" s="580" t="s">
        <v>1016</v>
      </c>
      <c r="D186" s="581" t="s">
        <v>109</v>
      </c>
      <c r="E186" s="581" t="s">
        <v>988</v>
      </c>
      <c r="F186" s="590" t="s">
        <v>970</v>
      </c>
      <c r="G186" s="581" t="s">
        <v>925</v>
      </c>
      <c r="H186" s="583" t="s">
        <v>77</v>
      </c>
      <c r="I186" s="513"/>
      <c r="J186" s="583" t="s">
        <v>1023</v>
      </c>
      <c r="K186" s="589">
        <v>33</v>
      </c>
      <c r="L186" s="587"/>
      <c r="M186" s="571">
        <v>56</v>
      </c>
      <c r="N186" s="571">
        <v>15</v>
      </c>
      <c r="O186" s="566">
        <f t="shared" si="6"/>
        <v>0.26785714285714285</v>
      </c>
      <c r="P186" s="567">
        <f t="shared" si="7"/>
        <v>0.81168831168831168</v>
      </c>
      <c r="Q186" s="568">
        <f t="shared" si="8"/>
        <v>0.81168831168831168</v>
      </c>
      <c r="R186" s="688" t="s">
        <v>1954</v>
      </c>
    </row>
    <row r="187" spans="1:18" ht="25.5" x14ac:dyDescent="0.2">
      <c r="A187" s="580" t="s">
        <v>277</v>
      </c>
      <c r="B187" s="581" t="s">
        <v>1015</v>
      </c>
      <c r="C187" s="580" t="s">
        <v>1016</v>
      </c>
      <c r="D187" s="581" t="s">
        <v>109</v>
      </c>
      <c r="E187" s="581" t="s">
        <v>989</v>
      </c>
      <c r="F187" s="590" t="s">
        <v>970</v>
      </c>
      <c r="G187" s="581" t="s">
        <v>925</v>
      </c>
      <c r="H187" s="583" t="s">
        <v>77</v>
      </c>
      <c r="I187" s="513"/>
      <c r="J187" s="583" t="s">
        <v>1023</v>
      </c>
      <c r="K187" s="589">
        <v>33</v>
      </c>
      <c r="L187" s="587"/>
      <c r="M187" s="571">
        <v>56</v>
      </c>
      <c r="N187" s="571">
        <v>15</v>
      </c>
      <c r="O187" s="566">
        <f t="shared" si="6"/>
        <v>0.26785714285714285</v>
      </c>
      <c r="P187" s="567">
        <f t="shared" si="7"/>
        <v>0.81168831168831168</v>
      </c>
      <c r="Q187" s="568">
        <f t="shared" si="8"/>
        <v>0.81168831168831168</v>
      </c>
      <c r="R187" s="688" t="s">
        <v>1954</v>
      </c>
    </row>
    <row r="188" spans="1:18" ht="25.5" x14ac:dyDescent="0.2">
      <c r="A188" s="580" t="s">
        <v>277</v>
      </c>
      <c r="B188" s="581" t="s">
        <v>1015</v>
      </c>
      <c r="C188" s="580" t="s">
        <v>1016</v>
      </c>
      <c r="D188" s="581" t="s">
        <v>109</v>
      </c>
      <c r="E188" s="581" t="s">
        <v>990</v>
      </c>
      <c r="F188" s="590" t="s">
        <v>970</v>
      </c>
      <c r="G188" s="581" t="s">
        <v>925</v>
      </c>
      <c r="H188" s="583" t="s">
        <v>77</v>
      </c>
      <c r="I188" s="513"/>
      <c r="J188" s="583" t="s">
        <v>1023</v>
      </c>
      <c r="K188" s="589">
        <v>33</v>
      </c>
      <c r="L188" s="587"/>
      <c r="M188" s="571">
        <v>56</v>
      </c>
      <c r="N188" s="571">
        <v>15</v>
      </c>
      <c r="O188" s="566">
        <f t="shared" si="6"/>
        <v>0.26785714285714285</v>
      </c>
      <c r="P188" s="567">
        <f t="shared" si="7"/>
        <v>0.81168831168831168</v>
      </c>
      <c r="Q188" s="568">
        <f t="shared" si="8"/>
        <v>0.81168831168831168</v>
      </c>
      <c r="R188" s="688" t="s">
        <v>1954</v>
      </c>
    </row>
    <row r="189" spans="1:18" x14ac:dyDescent="0.2">
      <c r="A189" s="580" t="s">
        <v>277</v>
      </c>
      <c r="B189" s="581" t="s">
        <v>1015</v>
      </c>
      <c r="C189" s="580" t="s">
        <v>1016</v>
      </c>
      <c r="D189" s="581" t="s">
        <v>109</v>
      </c>
      <c r="E189" s="581" t="s">
        <v>991</v>
      </c>
      <c r="F189" s="590" t="s">
        <v>974</v>
      </c>
      <c r="G189" s="581" t="s">
        <v>919</v>
      </c>
      <c r="H189" s="583" t="s">
        <v>77</v>
      </c>
      <c r="I189" s="513"/>
      <c r="J189" s="583" t="s">
        <v>1023</v>
      </c>
      <c r="K189" s="589">
        <v>100</v>
      </c>
      <c r="L189" s="587"/>
      <c r="M189" s="571">
        <v>56</v>
      </c>
      <c r="N189" s="571">
        <v>37</v>
      </c>
      <c r="O189" s="566">
        <f t="shared" si="6"/>
        <v>0.6607142857142857</v>
      </c>
      <c r="P189" s="567">
        <f t="shared" si="7"/>
        <v>0.6607142857142857</v>
      </c>
      <c r="Q189" s="568">
        <f t="shared" si="8"/>
        <v>0.6607142857142857</v>
      </c>
      <c r="R189" s="688" t="s">
        <v>1954</v>
      </c>
    </row>
    <row r="190" spans="1:18" x14ac:dyDescent="0.2">
      <c r="A190" s="580" t="s">
        <v>277</v>
      </c>
      <c r="B190" s="581" t="s">
        <v>1015</v>
      </c>
      <c r="C190" s="580" t="s">
        <v>1016</v>
      </c>
      <c r="D190" s="581" t="s">
        <v>109</v>
      </c>
      <c r="E190" s="581" t="s">
        <v>992</v>
      </c>
      <c r="F190" s="590" t="s">
        <v>974</v>
      </c>
      <c r="G190" s="581" t="s">
        <v>919</v>
      </c>
      <c r="H190" s="583" t="s">
        <v>77</v>
      </c>
      <c r="I190" s="513"/>
      <c r="J190" s="583" t="s">
        <v>1023</v>
      </c>
      <c r="K190" s="589">
        <v>100</v>
      </c>
      <c r="L190" s="587"/>
      <c r="M190" s="571">
        <v>56</v>
      </c>
      <c r="N190" s="571">
        <v>37</v>
      </c>
      <c r="O190" s="566">
        <f t="shared" si="6"/>
        <v>0.6607142857142857</v>
      </c>
      <c r="P190" s="567">
        <f t="shared" si="7"/>
        <v>0.6607142857142857</v>
      </c>
      <c r="Q190" s="568">
        <f t="shared" si="8"/>
        <v>0.6607142857142857</v>
      </c>
      <c r="R190" s="688" t="s">
        <v>1954</v>
      </c>
    </row>
    <row r="191" spans="1:18" ht="25.5" x14ac:dyDescent="0.2">
      <c r="A191" s="580" t="s">
        <v>277</v>
      </c>
      <c r="B191" s="581" t="s">
        <v>1015</v>
      </c>
      <c r="C191" s="580" t="s">
        <v>1016</v>
      </c>
      <c r="D191" s="581" t="s">
        <v>109</v>
      </c>
      <c r="E191" s="581" t="s">
        <v>993</v>
      </c>
      <c r="F191" s="590" t="s">
        <v>974</v>
      </c>
      <c r="G191" s="581" t="s">
        <v>919</v>
      </c>
      <c r="H191" s="583" t="s">
        <v>77</v>
      </c>
      <c r="I191" s="513"/>
      <c r="J191" s="583" t="s">
        <v>1023</v>
      </c>
      <c r="K191" s="589">
        <v>100</v>
      </c>
      <c r="L191" s="587"/>
      <c r="M191" s="571">
        <v>56</v>
      </c>
      <c r="N191" s="571">
        <v>37</v>
      </c>
      <c r="O191" s="566">
        <f t="shared" si="6"/>
        <v>0.6607142857142857</v>
      </c>
      <c r="P191" s="567">
        <f t="shared" si="7"/>
        <v>0.6607142857142857</v>
      </c>
      <c r="Q191" s="568">
        <f t="shared" si="8"/>
        <v>0.6607142857142857</v>
      </c>
      <c r="R191" s="688" t="s">
        <v>1954</v>
      </c>
    </row>
    <row r="192" spans="1:18" ht="25.5" x14ac:dyDescent="0.2">
      <c r="A192" s="580" t="s">
        <v>277</v>
      </c>
      <c r="B192" s="581" t="s">
        <v>1015</v>
      </c>
      <c r="C192" s="580" t="s">
        <v>1016</v>
      </c>
      <c r="D192" s="581" t="s">
        <v>109</v>
      </c>
      <c r="E192" s="581" t="s">
        <v>994</v>
      </c>
      <c r="F192" s="582" t="s">
        <v>969</v>
      </c>
      <c r="G192" s="581" t="s">
        <v>919</v>
      </c>
      <c r="H192" s="583" t="s">
        <v>77</v>
      </c>
      <c r="I192" s="513"/>
      <c r="J192" s="583" t="s">
        <v>1023</v>
      </c>
      <c r="K192" s="589">
        <v>100</v>
      </c>
      <c r="L192" s="585" t="s">
        <v>1024</v>
      </c>
      <c r="M192" s="571">
        <v>56</v>
      </c>
      <c r="N192" s="571">
        <v>37</v>
      </c>
      <c r="O192" s="566">
        <f t="shared" si="6"/>
        <v>0.6607142857142857</v>
      </c>
      <c r="P192" s="567">
        <f t="shared" si="7"/>
        <v>0.6607142857142857</v>
      </c>
      <c r="Q192" s="568">
        <f t="shared" si="8"/>
        <v>0.6607142857142857</v>
      </c>
      <c r="R192" s="688" t="s">
        <v>1954</v>
      </c>
    </row>
    <row r="193" spans="1:18" ht="25.5" x14ac:dyDescent="0.2">
      <c r="A193" s="580" t="s">
        <v>277</v>
      </c>
      <c r="B193" s="581" t="s">
        <v>1015</v>
      </c>
      <c r="C193" s="580" t="s">
        <v>1016</v>
      </c>
      <c r="D193" s="581" t="s">
        <v>109</v>
      </c>
      <c r="E193" s="581" t="s">
        <v>994</v>
      </c>
      <c r="F193" s="582" t="s">
        <v>970</v>
      </c>
      <c r="G193" s="581" t="s">
        <v>925</v>
      </c>
      <c r="H193" s="583" t="s">
        <v>77</v>
      </c>
      <c r="I193" s="513"/>
      <c r="J193" s="583" t="s">
        <v>1023</v>
      </c>
      <c r="K193" s="589">
        <v>33</v>
      </c>
      <c r="L193" s="587"/>
      <c r="M193" s="571">
        <v>56</v>
      </c>
      <c r="N193" s="571">
        <v>37</v>
      </c>
      <c r="O193" s="566">
        <f t="shared" si="6"/>
        <v>0.6607142857142857</v>
      </c>
      <c r="P193" s="567">
        <f t="shared" si="7"/>
        <v>2.002164502164502</v>
      </c>
      <c r="Q193" s="568">
        <f t="shared" si="8"/>
        <v>2.002164502164502</v>
      </c>
      <c r="R193" s="688" t="s">
        <v>1954</v>
      </c>
    </row>
    <row r="194" spans="1:18" ht="25.5" x14ac:dyDescent="0.2">
      <c r="A194" s="580" t="s">
        <v>277</v>
      </c>
      <c r="B194" s="581" t="s">
        <v>1015</v>
      </c>
      <c r="C194" s="580" t="s">
        <v>1016</v>
      </c>
      <c r="D194" s="581" t="s">
        <v>109</v>
      </c>
      <c r="E194" s="581" t="s">
        <v>995</v>
      </c>
      <c r="F194" s="590" t="s">
        <v>974</v>
      </c>
      <c r="G194" s="581" t="s">
        <v>925</v>
      </c>
      <c r="H194" s="583" t="s">
        <v>77</v>
      </c>
      <c r="I194" s="513"/>
      <c r="J194" s="583" t="s">
        <v>1023</v>
      </c>
      <c r="K194" s="589">
        <v>25</v>
      </c>
      <c r="L194" s="587"/>
      <c r="M194" s="571">
        <v>56</v>
      </c>
      <c r="N194" s="571">
        <v>4</v>
      </c>
      <c r="O194" s="566">
        <f t="shared" si="6"/>
        <v>7.1428571428571425E-2</v>
      </c>
      <c r="P194" s="567">
        <f t="shared" si="7"/>
        <v>0.2857142857142857</v>
      </c>
      <c r="Q194" s="568">
        <f t="shared" si="8"/>
        <v>0.2857142857142857</v>
      </c>
      <c r="R194" s="688" t="s">
        <v>1954</v>
      </c>
    </row>
    <row r="195" spans="1:18" ht="38.25" x14ac:dyDescent="0.2">
      <c r="A195" s="580" t="s">
        <v>277</v>
      </c>
      <c r="B195" s="581" t="s">
        <v>1015</v>
      </c>
      <c r="C195" s="580" t="s">
        <v>1016</v>
      </c>
      <c r="D195" s="581" t="s">
        <v>109</v>
      </c>
      <c r="E195" s="581" t="s">
        <v>996</v>
      </c>
      <c r="F195" s="590" t="s">
        <v>974</v>
      </c>
      <c r="G195" s="581" t="s">
        <v>925</v>
      </c>
      <c r="H195" s="583" t="s">
        <v>77</v>
      </c>
      <c r="I195" s="513"/>
      <c r="J195" s="583" t="s">
        <v>1023</v>
      </c>
      <c r="K195" s="589">
        <v>25</v>
      </c>
      <c r="L195" s="587"/>
      <c r="M195" s="571">
        <v>56</v>
      </c>
      <c r="N195" s="571">
        <v>4</v>
      </c>
      <c r="O195" s="566">
        <f t="shared" si="6"/>
        <v>7.1428571428571425E-2</v>
      </c>
      <c r="P195" s="567">
        <f t="shared" si="7"/>
        <v>0.2857142857142857</v>
      </c>
      <c r="Q195" s="568">
        <f t="shared" si="8"/>
        <v>0.2857142857142857</v>
      </c>
      <c r="R195" s="688" t="s">
        <v>1954</v>
      </c>
    </row>
    <row r="196" spans="1:18" ht="38.25" x14ac:dyDescent="0.2">
      <c r="A196" s="580" t="s">
        <v>277</v>
      </c>
      <c r="B196" s="581" t="s">
        <v>1015</v>
      </c>
      <c r="C196" s="580" t="s">
        <v>1016</v>
      </c>
      <c r="D196" s="581" t="s">
        <v>109</v>
      </c>
      <c r="E196" s="581" t="s">
        <v>997</v>
      </c>
      <c r="F196" s="590" t="s">
        <v>974</v>
      </c>
      <c r="G196" s="581" t="s">
        <v>919</v>
      </c>
      <c r="H196" s="583" t="s">
        <v>77</v>
      </c>
      <c r="I196" s="513"/>
      <c r="J196" s="583" t="s">
        <v>1023</v>
      </c>
      <c r="K196" s="589">
        <v>100</v>
      </c>
      <c r="L196" s="587"/>
      <c r="M196" s="571">
        <v>56</v>
      </c>
      <c r="N196" s="571">
        <v>37</v>
      </c>
      <c r="O196" s="566">
        <f t="shared" si="6"/>
        <v>0.6607142857142857</v>
      </c>
      <c r="P196" s="567">
        <f t="shared" si="7"/>
        <v>0.6607142857142857</v>
      </c>
      <c r="Q196" s="568">
        <f t="shared" si="8"/>
        <v>0.6607142857142857</v>
      </c>
      <c r="R196" s="688" t="s">
        <v>1954</v>
      </c>
    </row>
    <row r="197" spans="1:18" x14ac:dyDescent="0.2">
      <c r="A197" s="580" t="s">
        <v>277</v>
      </c>
      <c r="B197" s="581" t="s">
        <v>1015</v>
      </c>
      <c r="C197" s="580" t="s">
        <v>1016</v>
      </c>
      <c r="D197" s="581" t="s">
        <v>946</v>
      </c>
      <c r="E197" s="581" t="s">
        <v>998</v>
      </c>
      <c r="F197" s="590" t="s">
        <v>974</v>
      </c>
      <c r="G197" s="581" t="s">
        <v>919</v>
      </c>
      <c r="H197" s="583" t="s">
        <v>77</v>
      </c>
      <c r="I197" s="513"/>
      <c r="J197" s="583" t="s">
        <v>1023</v>
      </c>
      <c r="K197" s="589">
        <v>100</v>
      </c>
      <c r="L197" s="587"/>
      <c r="M197" s="571">
        <v>56</v>
      </c>
      <c r="N197" s="571">
        <v>37</v>
      </c>
      <c r="O197" s="566">
        <f t="shared" si="6"/>
        <v>0.6607142857142857</v>
      </c>
      <c r="P197" s="567">
        <f t="shared" si="7"/>
        <v>0.6607142857142857</v>
      </c>
      <c r="Q197" s="568">
        <f t="shared" si="8"/>
        <v>0.6607142857142857</v>
      </c>
      <c r="R197" s="688" t="s">
        <v>1954</v>
      </c>
    </row>
    <row r="198" spans="1:18" x14ac:dyDescent="0.2">
      <c r="A198" s="580" t="s">
        <v>277</v>
      </c>
      <c r="B198" s="581" t="s">
        <v>1015</v>
      </c>
      <c r="C198" s="580" t="s">
        <v>1016</v>
      </c>
      <c r="D198" s="581" t="s">
        <v>946</v>
      </c>
      <c r="E198" s="581" t="s">
        <v>999</v>
      </c>
      <c r="F198" s="590" t="s">
        <v>974</v>
      </c>
      <c r="G198" s="581" t="s">
        <v>919</v>
      </c>
      <c r="H198" s="583" t="s">
        <v>77</v>
      </c>
      <c r="I198" s="513"/>
      <c r="J198" s="583" t="s">
        <v>1023</v>
      </c>
      <c r="K198" s="589">
        <v>100</v>
      </c>
      <c r="L198" s="587"/>
      <c r="M198" s="571">
        <v>56</v>
      </c>
      <c r="N198" s="571">
        <v>37</v>
      </c>
      <c r="O198" s="566">
        <f t="shared" ref="O198:O261" si="9">IFERROR(N198/M198,0)</f>
        <v>0.6607142857142857</v>
      </c>
      <c r="P198" s="567">
        <f t="shared" ref="P198:P261" si="10">IFERROR(N198/(M198*(K198/100)),0)</f>
        <v>0.6607142857142857</v>
      </c>
      <c r="Q198" s="568">
        <f t="shared" ref="Q198:Q260" si="11">N198/(M198*K198/100)</f>
        <v>0.6607142857142857</v>
      </c>
      <c r="R198" s="688" t="s">
        <v>1954</v>
      </c>
    </row>
    <row r="199" spans="1:18" ht="25.5" x14ac:dyDescent="0.2">
      <c r="A199" s="580" t="s">
        <v>277</v>
      </c>
      <c r="B199" s="581" t="s">
        <v>1015</v>
      </c>
      <c r="C199" s="580" t="s">
        <v>1016</v>
      </c>
      <c r="D199" s="581" t="s">
        <v>946</v>
      </c>
      <c r="E199" s="581" t="s">
        <v>1000</v>
      </c>
      <c r="F199" s="590" t="s">
        <v>974</v>
      </c>
      <c r="G199" s="581" t="s">
        <v>925</v>
      </c>
      <c r="H199" s="583" t="s">
        <v>77</v>
      </c>
      <c r="I199" s="513"/>
      <c r="J199" s="583" t="s">
        <v>1023</v>
      </c>
      <c r="K199" s="589">
        <v>25</v>
      </c>
      <c r="L199" s="587"/>
      <c r="M199" s="571">
        <v>56</v>
      </c>
      <c r="N199" s="571">
        <v>4</v>
      </c>
      <c r="O199" s="566">
        <f t="shared" si="9"/>
        <v>7.1428571428571425E-2</v>
      </c>
      <c r="P199" s="567">
        <f t="shared" si="10"/>
        <v>0.2857142857142857</v>
      </c>
      <c r="Q199" s="568">
        <f t="shared" si="11"/>
        <v>0.2857142857142857</v>
      </c>
      <c r="R199" s="688" t="s">
        <v>1954</v>
      </c>
    </row>
    <row r="200" spans="1:18" ht="25.5" x14ac:dyDescent="0.2">
      <c r="A200" s="580" t="s">
        <v>277</v>
      </c>
      <c r="B200" s="581" t="s">
        <v>1015</v>
      </c>
      <c r="C200" s="580" t="s">
        <v>1016</v>
      </c>
      <c r="D200" s="581" t="s">
        <v>946</v>
      </c>
      <c r="E200" s="581" t="s">
        <v>1001</v>
      </c>
      <c r="F200" s="590" t="s">
        <v>974</v>
      </c>
      <c r="G200" s="581" t="s">
        <v>925</v>
      </c>
      <c r="H200" s="583" t="s">
        <v>77</v>
      </c>
      <c r="I200" s="513"/>
      <c r="J200" s="583" t="s">
        <v>1023</v>
      </c>
      <c r="K200" s="589">
        <v>25</v>
      </c>
      <c r="L200" s="587"/>
      <c r="M200" s="571">
        <v>56</v>
      </c>
      <c r="N200" s="571">
        <v>4</v>
      </c>
      <c r="O200" s="566">
        <f t="shared" si="9"/>
        <v>7.1428571428571425E-2</v>
      </c>
      <c r="P200" s="567">
        <f t="shared" si="10"/>
        <v>0.2857142857142857</v>
      </c>
      <c r="Q200" s="568">
        <f t="shared" si="11"/>
        <v>0.2857142857142857</v>
      </c>
      <c r="R200" s="688" t="s">
        <v>1954</v>
      </c>
    </row>
    <row r="201" spans="1:18" ht="25.5" x14ac:dyDescent="0.2">
      <c r="A201" s="580" t="s">
        <v>277</v>
      </c>
      <c r="B201" s="581" t="s">
        <v>1015</v>
      </c>
      <c r="C201" s="580" t="s">
        <v>1016</v>
      </c>
      <c r="D201" s="581" t="s">
        <v>946</v>
      </c>
      <c r="E201" s="581" t="s">
        <v>1002</v>
      </c>
      <c r="F201" s="590" t="s">
        <v>974</v>
      </c>
      <c r="G201" s="581" t="s">
        <v>925</v>
      </c>
      <c r="H201" s="583" t="s">
        <v>77</v>
      </c>
      <c r="I201" s="513"/>
      <c r="J201" s="583" t="s">
        <v>1023</v>
      </c>
      <c r="K201" s="589">
        <v>25</v>
      </c>
      <c r="L201" s="587"/>
      <c r="M201" s="571">
        <v>56</v>
      </c>
      <c r="N201" s="571">
        <v>4</v>
      </c>
      <c r="O201" s="566">
        <f t="shared" si="9"/>
        <v>7.1428571428571425E-2</v>
      </c>
      <c r="P201" s="567">
        <f t="shared" si="10"/>
        <v>0.2857142857142857</v>
      </c>
      <c r="Q201" s="568">
        <f t="shared" si="11"/>
        <v>0.2857142857142857</v>
      </c>
      <c r="R201" s="688" t="s">
        <v>1954</v>
      </c>
    </row>
    <row r="202" spans="1:18" ht="25.5" x14ac:dyDescent="0.2">
      <c r="A202" s="580" t="s">
        <v>277</v>
      </c>
      <c r="B202" s="581" t="s">
        <v>1015</v>
      </c>
      <c r="C202" s="580" t="s">
        <v>1016</v>
      </c>
      <c r="D202" s="581" t="s">
        <v>946</v>
      </c>
      <c r="E202" s="581" t="s">
        <v>1003</v>
      </c>
      <c r="F202" s="590" t="s">
        <v>974</v>
      </c>
      <c r="G202" s="581" t="s">
        <v>925</v>
      </c>
      <c r="H202" s="583" t="s">
        <v>77</v>
      </c>
      <c r="I202" s="513"/>
      <c r="J202" s="583" t="s">
        <v>1023</v>
      </c>
      <c r="K202" s="589">
        <v>25</v>
      </c>
      <c r="L202" s="587"/>
      <c r="M202" s="571">
        <v>56</v>
      </c>
      <c r="N202" s="571">
        <v>4</v>
      </c>
      <c r="O202" s="566">
        <f t="shared" si="9"/>
        <v>7.1428571428571425E-2</v>
      </c>
      <c r="P202" s="567">
        <f t="shared" si="10"/>
        <v>0.2857142857142857</v>
      </c>
      <c r="Q202" s="568">
        <f t="shared" si="11"/>
        <v>0.2857142857142857</v>
      </c>
      <c r="R202" s="688" t="s">
        <v>1954</v>
      </c>
    </row>
    <row r="203" spans="1:18" ht="25.5" x14ac:dyDescent="0.2">
      <c r="A203" s="580" t="s">
        <v>277</v>
      </c>
      <c r="B203" s="581" t="s">
        <v>1015</v>
      </c>
      <c r="C203" s="580" t="s">
        <v>1016</v>
      </c>
      <c r="D203" s="581" t="s">
        <v>946</v>
      </c>
      <c r="E203" s="581" t="s">
        <v>1004</v>
      </c>
      <c r="F203" s="582" t="s">
        <v>974</v>
      </c>
      <c r="G203" s="581" t="s">
        <v>919</v>
      </c>
      <c r="H203" s="583" t="s">
        <v>77</v>
      </c>
      <c r="I203" s="513"/>
      <c r="J203" s="583" t="s">
        <v>1023</v>
      </c>
      <c r="K203" s="589">
        <v>100</v>
      </c>
      <c r="L203" s="587"/>
      <c r="M203" s="571">
        <v>56</v>
      </c>
      <c r="N203" s="571">
        <v>37</v>
      </c>
      <c r="O203" s="566">
        <f t="shared" si="9"/>
        <v>0.6607142857142857</v>
      </c>
      <c r="P203" s="567">
        <f t="shared" si="10"/>
        <v>0.6607142857142857</v>
      </c>
      <c r="Q203" s="568">
        <f t="shared" si="11"/>
        <v>0.6607142857142857</v>
      </c>
      <c r="R203" s="688" t="s">
        <v>1954</v>
      </c>
    </row>
    <row r="204" spans="1:18" ht="25.5" x14ac:dyDescent="0.2">
      <c r="A204" s="580" t="s">
        <v>277</v>
      </c>
      <c r="B204" s="581" t="s">
        <v>1015</v>
      </c>
      <c r="C204" s="580" t="s">
        <v>1016</v>
      </c>
      <c r="D204" s="581" t="s">
        <v>946</v>
      </c>
      <c r="E204" s="581" t="s">
        <v>1004</v>
      </c>
      <c r="F204" s="582" t="s">
        <v>970</v>
      </c>
      <c r="G204" s="581" t="s">
        <v>1005</v>
      </c>
      <c r="H204" s="583" t="s">
        <v>77</v>
      </c>
      <c r="I204" s="513"/>
      <c r="J204" s="583" t="s">
        <v>1023</v>
      </c>
      <c r="K204" s="589">
        <v>33</v>
      </c>
      <c r="L204" s="587"/>
      <c r="M204" s="571">
        <v>56</v>
      </c>
      <c r="N204" s="571">
        <v>37</v>
      </c>
      <c r="O204" s="566">
        <f t="shared" si="9"/>
        <v>0.6607142857142857</v>
      </c>
      <c r="P204" s="567">
        <f t="shared" si="10"/>
        <v>2.002164502164502</v>
      </c>
      <c r="Q204" s="568">
        <f t="shared" si="11"/>
        <v>2.002164502164502</v>
      </c>
      <c r="R204" s="688" t="s">
        <v>1954</v>
      </c>
    </row>
    <row r="205" spans="1:18" ht="25.5" x14ac:dyDescent="0.2">
      <c r="A205" s="580" t="s">
        <v>277</v>
      </c>
      <c r="B205" s="581" t="s">
        <v>1015</v>
      </c>
      <c r="C205" s="580" t="s">
        <v>1016</v>
      </c>
      <c r="D205" s="581" t="s">
        <v>946</v>
      </c>
      <c r="E205" s="581" t="s">
        <v>954</v>
      </c>
      <c r="F205" s="582" t="s">
        <v>974</v>
      </c>
      <c r="G205" s="581" t="s">
        <v>1006</v>
      </c>
      <c r="H205" s="583" t="s">
        <v>77</v>
      </c>
      <c r="I205" s="513"/>
      <c r="J205" s="583" t="s">
        <v>1023</v>
      </c>
      <c r="K205" s="589">
        <v>100</v>
      </c>
      <c r="L205" s="585" t="s">
        <v>1024</v>
      </c>
      <c r="M205" s="571">
        <v>56</v>
      </c>
      <c r="N205" s="571">
        <v>37</v>
      </c>
      <c r="O205" s="566">
        <f t="shared" si="9"/>
        <v>0.6607142857142857</v>
      </c>
      <c r="P205" s="567">
        <f t="shared" si="10"/>
        <v>0.6607142857142857</v>
      </c>
      <c r="Q205" s="568">
        <f t="shared" si="11"/>
        <v>0.6607142857142857</v>
      </c>
      <c r="R205" s="688" t="s">
        <v>1954</v>
      </c>
    </row>
    <row r="206" spans="1:18" x14ac:dyDescent="0.2">
      <c r="A206" s="580" t="s">
        <v>277</v>
      </c>
      <c r="B206" s="581" t="s">
        <v>1015</v>
      </c>
      <c r="C206" s="580" t="s">
        <v>1016</v>
      </c>
      <c r="D206" s="581" t="s">
        <v>946</v>
      </c>
      <c r="E206" s="581" t="s">
        <v>954</v>
      </c>
      <c r="F206" s="582" t="s">
        <v>970</v>
      </c>
      <c r="G206" s="581" t="s">
        <v>1005</v>
      </c>
      <c r="H206" s="583" t="s">
        <v>77</v>
      </c>
      <c r="I206" s="513"/>
      <c r="J206" s="583" t="s">
        <v>1023</v>
      </c>
      <c r="K206" s="589">
        <v>33</v>
      </c>
      <c r="L206" s="587"/>
      <c r="M206" s="571">
        <v>56</v>
      </c>
      <c r="N206" s="571">
        <v>37</v>
      </c>
      <c r="O206" s="566">
        <f t="shared" si="9"/>
        <v>0.6607142857142857</v>
      </c>
      <c r="P206" s="567">
        <f t="shared" si="10"/>
        <v>2.002164502164502</v>
      </c>
      <c r="Q206" s="568">
        <f t="shared" si="11"/>
        <v>2.002164502164502</v>
      </c>
      <c r="R206" s="688" t="s">
        <v>1954</v>
      </c>
    </row>
    <row r="207" spans="1:18" ht="25.5" x14ac:dyDescent="0.2">
      <c r="A207" s="580" t="s">
        <v>277</v>
      </c>
      <c r="B207" s="581" t="s">
        <v>1015</v>
      </c>
      <c r="C207" s="580" t="s">
        <v>1016</v>
      </c>
      <c r="D207" s="581" t="s">
        <v>946</v>
      </c>
      <c r="E207" s="581" t="s">
        <v>1007</v>
      </c>
      <c r="F207" s="582" t="s">
        <v>974</v>
      </c>
      <c r="G207" s="581" t="s">
        <v>919</v>
      </c>
      <c r="H207" s="583" t="s">
        <v>77</v>
      </c>
      <c r="I207" s="513"/>
      <c r="J207" s="583" t="s">
        <v>1023</v>
      </c>
      <c r="K207" s="589">
        <v>100</v>
      </c>
      <c r="L207" s="587"/>
      <c r="M207" s="571">
        <v>56</v>
      </c>
      <c r="N207" s="571">
        <v>37</v>
      </c>
      <c r="O207" s="566">
        <f t="shared" si="9"/>
        <v>0.6607142857142857</v>
      </c>
      <c r="P207" s="567">
        <f t="shared" si="10"/>
        <v>0.6607142857142857</v>
      </c>
      <c r="Q207" s="568">
        <f t="shared" si="11"/>
        <v>0.6607142857142857</v>
      </c>
      <c r="R207" s="688" t="s">
        <v>1954</v>
      </c>
    </row>
    <row r="208" spans="1:18" ht="25.5" x14ac:dyDescent="0.2">
      <c r="A208" s="580" t="s">
        <v>277</v>
      </c>
      <c r="B208" s="581" t="s">
        <v>1015</v>
      </c>
      <c r="C208" s="580" t="s">
        <v>1016</v>
      </c>
      <c r="D208" s="581" t="s">
        <v>1008</v>
      </c>
      <c r="E208" s="581" t="s">
        <v>1007</v>
      </c>
      <c r="F208" s="582" t="s">
        <v>1009</v>
      </c>
      <c r="G208" s="581" t="s">
        <v>919</v>
      </c>
      <c r="H208" s="583" t="s">
        <v>77</v>
      </c>
      <c r="I208" s="513"/>
      <c r="J208" s="583" t="s">
        <v>1023</v>
      </c>
      <c r="K208" s="589">
        <v>100</v>
      </c>
      <c r="L208" s="587"/>
      <c r="M208" s="571">
        <v>56</v>
      </c>
      <c r="N208" s="571">
        <v>37</v>
      </c>
      <c r="O208" s="566">
        <f t="shared" si="9"/>
        <v>0.6607142857142857</v>
      </c>
      <c r="P208" s="567">
        <f t="shared" si="10"/>
        <v>0.6607142857142857</v>
      </c>
      <c r="Q208" s="568">
        <f t="shared" si="11"/>
        <v>0.6607142857142857</v>
      </c>
      <c r="R208" s="688" t="s">
        <v>1954</v>
      </c>
    </row>
    <row r="209" spans="1:18" x14ac:dyDescent="0.2">
      <c r="A209" s="580" t="s">
        <v>277</v>
      </c>
      <c r="B209" s="581" t="s">
        <v>1015</v>
      </c>
      <c r="C209" s="580" t="s">
        <v>1016</v>
      </c>
      <c r="D209" s="581" t="s">
        <v>1008</v>
      </c>
      <c r="E209" s="581" t="s">
        <v>1010</v>
      </c>
      <c r="F209" s="582" t="s">
        <v>974</v>
      </c>
      <c r="G209" s="581" t="s">
        <v>919</v>
      </c>
      <c r="H209" s="583" t="s">
        <v>77</v>
      </c>
      <c r="I209" s="513"/>
      <c r="J209" s="583" t="s">
        <v>1023</v>
      </c>
      <c r="K209" s="589">
        <v>100</v>
      </c>
      <c r="L209" s="587"/>
      <c r="M209" s="571">
        <v>56</v>
      </c>
      <c r="N209" s="571">
        <v>37</v>
      </c>
      <c r="O209" s="566">
        <f t="shared" si="9"/>
        <v>0.6607142857142857</v>
      </c>
      <c r="P209" s="567">
        <f t="shared" si="10"/>
        <v>0.6607142857142857</v>
      </c>
      <c r="Q209" s="568">
        <f t="shared" si="11"/>
        <v>0.6607142857142857</v>
      </c>
      <c r="R209" s="688" t="s">
        <v>1954</v>
      </c>
    </row>
    <row r="210" spans="1:18" ht="25.5" x14ac:dyDescent="0.2">
      <c r="A210" s="580" t="s">
        <v>277</v>
      </c>
      <c r="B210" s="581" t="s">
        <v>1017</v>
      </c>
      <c r="C210" s="580" t="s">
        <v>1016</v>
      </c>
      <c r="D210" s="581" t="s">
        <v>109</v>
      </c>
      <c r="E210" s="581" t="s">
        <v>968</v>
      </c>
      <c r="F210" s="582" t="s">
        <v>969</v>
      </c>
      <c r="G210" s="581" t="s">
        <v>919</v>
      </c>
      <c r="H210" s="583" t="s">
        <v>77</v>
      </c>
      <c r="I210" s="513"/>
      <c r="J210" s="583" t="s">
        <v>1023</v>
      </c>
      <c r="K210" s="584">
        <v>100</v>
      </c>
      <c r="L210" s="585" t="s">
        <v>1024</v>
      </c>
      <c r="M210" s="571">
        <v>27</v>
      </c>
      <c r="N210" s="571">
        <v>23</v>
      </c>
      <c r="O210" s="566">
        <f t="shared" si="9"/>
        <v>0.85185185185185186</v>
      </c>
      <c r="P210" s="567">
        <f t="shared" si="10"/>
        <v>0.85185185185185186</v>
      </c>
      <c r="Q210" s="568">
        <f t="shared" si="11"/>
        <v>0.85185185185185186</v>
      </c>
      <c r="R210" s="688" t="s">
        <v>1954</v>
      </c>
    </row>
    <row r="211" spans="1:18" x14ac:dyDescent="0.2">
      <c r="A211" s="580" t="s">
        <v>277</v>
      </c>
      <c r="B211" s="581" t="s">
        <v>1017</v>
      </c>
      <c r="C211" s="580" t="s">
        <v>1016</v>
      </c>
      <c r="D211" s="581" t="s">
        <v>109</v>
      </c>
      <c r="E211" s="581" t="s">
        <v>968</v>
      </c>
      <c r="F211" s="582" t="s">
        <v>970</v>
      </c>
      <c r="G211" s="581" t="s">
        <v>971</v>
      </c>
      <c r="H211" s="583" t="s">
        <v>77</v>
      </c>
      <c r="I211" s="513"/>
      <c r="J211" s="583" t="s">
        <v>1023</v>
      </c>
      <c r="K211" s="584">
        <v>33</v>
      </c>
      <c r="L211" s="587"/>
      <c r="M211" s="571">
        <v>27</v>
      </c>
      <c r="N211" s="571">
        <v>23</v>
      </c>
      <c r="O211" s="566">
        <f t="shared" si="9"/>
        <v>0.85185185185185186</v>
      </c>
      <c r="P211" s="567">
        <f t="shared" si="10"/>
        <v>2.5813692480359145</v>
      </c>
      <c r="Q211" s="568">
        <f t="shared" si="11"/>
        <v>2.5813692480359145</v>
      </c>
      <c r="R211" s="688" t="s">
        <v>1954</v>
      </c>
    </row>
    <row r="212" spans="1:18" ht="25.5" x14ac:dyDescent="0.2">
      <c r="A212" s="580" t="s">
        <v>277</v>
      </c>
      <c r="B212" s="581" t="s">
        <v>1017</v>
      </c>
      <c r="C212" s="580" t="s">
        <v>1016</v>
      </c>
      <c r="D212" s="581" t="s">
        <v>109</v>
      </c>
      <c r="E212" s="581" t="s">
        <v>972</v>
      </c>
      <c r="F212" s="582" t="s">
        <v>969</v>
      </c>
      <c r="G212" s="581" t="s">
        <v>925</v>
      </c>
      <c r="H212" s="583" t="s">
        <v>77</v>
      </c>
      <c r="I212" s="513"/>
      <c r="J212" s="583" t="s">
        <v>1023</v>
      </c>
      <c r="K212" s="584">
        <v>25</v>
      </c>
      <c r="L212" s="587"/>
      <c r="M212" s="571">
        <v>27</v>
      </c>
      <c r="N212" s="571">
        <v>8</v>
      </c>
      <c r="O212" s="566">
        <f t="shared" si="9"/>
        <v>0.29629629629629628</v>
      </c>
      <c r="P212" s="567">
        <f t="shared" si="10"/>
        <v>1.1851851851851851</v>
      </c>
      <c r="Q212" s="568">
        <f t="shared" si="11"/>
        <v>1.1851851851851851</v>
      </c>
      <c r="R212" s="688" t="s">
        <v>1954</v>
      </c>
    </row>
    <row r="213" spans="1:18" ht="25.5" x14ac:dyDescent="0.2">
      <c r="A213" s="580" t="s">
        <v>277</v>
      </c>
      <c r="B213" s="581" t="s">
        <v>1017</v>
      </c>
      <c r="C213" s="580" t="s">
        <v>1016</v>
      </c>
      <c r="D213" s="581" t="s">
        <v>109</v>
      </c>
      <c r="E213" s="581" t="s">
        <v>972</v>
      </c>
      <c r="F213" s="582" t="s">
        <v>970</v>
      </c>
      <c r="G213" s="581" t="s">
        <v>925</v>
      </c>
      <c r="H213" s="583" t="s">
        <v>77</v>
      </c>
      <c r="I213" s="513"/>
      <c r="J213" s="583" t="s">
        <v>1023</v>
      </c>
      <c r="K213" s="584">
        <v>25</v>
      </c>
      <c r="L213" s="587"/>
      <c r="M213" s="571">
        <v>27</v>
      </c>
      <c r="N213" s="571">
        <v>8</v>
      </c>
      <c r="O213" s="566">
        <f t="shared" si="9"/>
        <v>0.29629629629629628</v>
      </c>
      <c r="P213" s="567">
        <f t="shared" si="10"/>
        <v>1.1851851851851851</v>
      </c>
      <c r="Q213" s="568">
        <f t="shared" si="11"/>
        <v>1.1851851851851851</v>
      </c>
      <c r="R213" s="688" t="s">
        <v>1954</v>
      </c>
    </row>
    <row r="214" spans="1:18" ht="38.25" x14ac:dyDescent="0.2">
      <c r="A214" s="580" t="s">
        <v>277</v>
      </c>
      <c r="B214" s="581" t="s">
        <v>1017</v>
      </c>
      <c r="C214" s="580" t="s">
        <v>1016</v>
      </c>
      <c r="D214" s="581" t="s">
        <v>109</v>
      </c>
      <c r="E214" s="581" t="s">
        <v>973</v>
      </c>
      <c r="F214" s="582" t="s">
        <v>974</v>
      </c>
      <c r="G214" s="581" t="s">
        <v>925</v>
      </c>
      <c r="H214" s="583" t="s">
        <v>77</v>
      </c>
      <c r="I214" s="513"/>
      <c r="J214" s="583" t="s">
        <v>1023</v>
      </c>
      <c r="K214" s="584">
        <v>25</v>
      </c>
      <c r="L214" s="585" t="s">
        <v>1025</v>
      </c>
      <c r="M214" s="571">
        <v>27</v>
      </c>
      <c r="N214" s="571">
        <v>13</v>
      </c>
      <c r="O214" s="566">
        <f t="shared" si="9"/>
        <v>0.48148148148148145</v>
      </c>
      <c r="P214" s="567">
        <f t="shared" si="10"/>
        <v>1.9259259259259258</v>
      </c>
      <c r="Q214" s="568">
        <f t="shared" si="11"/>
        <v>1.9259259259259258</v>
      </c>
      <c r="R214" s="688" t="s">
        <v>1954</v>
      </c>
    </row>
    <row r="215" spans="1:18" ht="25.5" x14ac:dyDescent="0.2">
      <c r="A215" s="580" t="s">
        <v>277</v>
      </c>
      <c r="B215" s="581" t="s">
        <v>1017</v>
      </c>
      <c r="C215" s="580" t="s">
        <v>1016</v>
      </c>
      <c r="D215" s="581" t="s">
        <v>109</v>
      </c>
      <c r="E215" s="581" t="s">
        <v>973</v>
      </c>
      <c r="F215" s="582" t="s">
        <v>975</v>
      </c>
      <c r="G215" s="581" t="s">
        <v>925</v>
      </c>
      <c r="H215" s="583" t="s">
        <v>77</v>
      </c>
      <c r="I215" s="513"/>
      <c r="J215" s="583" t="s">
        <v>1023</v>
      </c>
      <c r="K215" s="584">
        <v>33</v>
      </c>
      <c r="L215" s="587"/>
      <c r="M215" s="571">
        <v>27</v>
      </c>
      <c r="N215" s="571">
        <v>13</v>
      </c>
      <c r="O215" s="566">
        <f t="shared" si="9"/>
        <v>0.48148148148148145</v>
      </c>
      <c r="P215" s="567">
        <f t="shared" si="10"/>
        <v>1.4590347923681257</v>
      </c>
      <c r="Q215" s="568">
        <f t="shared" si="11"/>
        <v>1.4590347923681257</v>
      </c>
      <c r="R215" s="688" t="s">
        <v>1954</v>
      </c>
    </row>
    <row r="216" spans="1:18" ht="25.5" x14ac:dyDescent="0.2">
      <c r="A216" s="580" t="s">
        <v>277</v>
      </c>
      <c r="B216" s="581" t="s">
        <v>1017</v>
      </c>
      <c r="C216" s="580" t="s">
        <v>1016</v>
      </c>
      <c r="D216" s="581" t="s">
        <v>109</v>
      </c>
      <c r="E216" s="581" t="s">
        <v>976</v>
      </c>
      <c r="F216" s="582" t="s">
        <v>974</v>
      </c>
      <c r="G216" s="581" t="s">
        <v>925</v>
      </c>
      <c r="H216" s="583" t="s">
        <v>77</v>
      </c>
      <c r="I216" s="513"/>
      <c r="J216" s="583" t="s">
        <v>1023</v>
      </c>
      <c r="K216" s="584">
        <v>25</v>
      </c>
      <c r="L216" s="587"/>
      <c r="M216" s="571">
        <v>27</v>
      </c>
      <c r="N216" s="571">
        <v>13</v>
      </c>
      <c r="O216" s="566">
        <f t="shared" si="9"/>
        <v>0.48148148148148145</v>
      </c>
      <c r="P216" s="567">
        <f t="shared" si="10"/>
        <v>1.9259259259259258</v>
      </c>
      <c r="Q216" s="568">
        <f t="shared" si="11"/>
        <v>1.9259259259259258</v>
      </c>
      <c r="R216" s="688" t="s">
        <v>1954</v>
      </c>
    </row>
    <row r="217" spans="1:18" ht="25.5" x14ac:dyDescent="0.2">
      <c r="A217" s="580" t="s">
        <v>277</v>
      </c>
      <c r="B217" s="581" t="s">
        <v>1017</v>
      </c>
      <c r="C217" s="580" t="s">
        <v>1016</v>
      </c>
      <c r="D217" s="581" t="s">
        <v>109</v>
      </c>
      <c r="E217" s="581" t="s">
        <v>977</v>
      </c>
      <c r="F217" s="582" t="s">
        <v>974</v>
      </c>
      <c r="G217" s="581" t="s">
        <v>925</v>
      </c>
      <c r="H217" s="583" t="s">
        <v>77</v>
      </c>
      <c r="I217" s="513"/>
      <c r="J217" s="583" t="s">
        <v>1023</v>
      </c>
      <c r="K217" s="584">
        <v>25</v>
      </c>
      <c r="L217" s="587"/>
      <c r="M217" s="571">
        <v>27</v>
      </c>
      <c r="N217" s="571">
        <v>9</v>
      </c>
      <c r="O217" s="566">
        <f t="shared" si="9"/>
        <v>0.33333333333333331</v>
      </c>
      <c r="P217" s="567">
        <f t="shared" si="10"/>
        <v>1.3333333333333333</v>
      </c>
      <c r="Q217" s="568">
        <f t="shared" si="11"/>
        <v>1.3333333333333333</v>
      </c>
      <c r="R217" s="688" t="s">
        <v>1954</v>
      </c>
    </row>
    <row r="218" spans="1:18" x14ac:dyDescent="0.2">
      <c r="A218" s="580" t="s">
        <v>277</v>
      </c>
      <c r="B218" s="581" t="s">
        <v>1017</v>
      </c>
      <c r="C218" s="580" t="s">
        <v>1016</v>
      </c>
      <c r="D218" s="581" t="s">
        <v>109</v>
      </c>
      <c r="E218" s="581" t="s">
        <v>978</v>
      </c>
      <c r="F218" s="582" t="s">
        <v>974</v>
      </c>
      <c r="G218" s="581" t="s">
        <v>919</v>
      </c>
      <c r="H218" s="583" t="s">
        <v>77</v>
      </c>
      <c r="I218" s="513"/>
      <c r="J218" s="583" t="s">
        <v>1023</v>
      </c>
      <c r="K218" s="584">
        <v>100</v>
      </c>
      <c r="L218" s="587"/>
      <c r="M218" s="571">
        <v>27</v>
      </c>
      <c r="N218" s="571">
        <v>23</v>
      </c>
      <c r="O218" s="566">
        <f t="shared" si="9"/>
        <v>0.85185185185185186</v>
      </c>
      <c r="P218" s="567">
        <f t="shared" si="10"/>
        <v>0.85185185185185186</v>
      </c>
      <c r="Q218" s="568">
        <f t="shared" si="11"/>
        <v>0.85185185185185186</v>
      </c>
      <c r="R218" s="688" t="s">
        <v>1954</v>
      </c>
    </row>
    <row r="219" spans="1:18" x14ac:dyDescent="0.2">
      <c r="A219" s="580" t="s">
        <v>277</v>
      </c>
      <c r="B219" s="581" t="s">
        <v>1017</v>
      </c>
      <c r="C219" s="580" t="s">
        <v>1016</v>
      </c>
      <c r="D219" s="581" t="s">
        <v>109</v>
      </c>
      <c r="E219" s="581" t="s">
        <v>979</v>
      </c>
      <c r="F219" s="582" t="s">
        <v>974</v>
      </c>
      <c r="G219" s="581" t="s">
        <v>919</v>
      </c>
      <c r="H219" s="583" t="s">
        <v>77</v>
      </c>
      <c r="I219" s="513"/>
      <c r="J219" s="583" t="s">
        <v>1023</v>
      </c>
      <c r="K219" s="589">
        <v>100</v>
      </c>
      <c r="L219" s="587"/>
      <c r="M219" s="571">
        <v>27</v>
      </c>
      <c r="N219" s="571">
        <v>23</v>
      </c>
      <c r="O219" s="566">
        <f t="shared" si="9"/>
        <v>0.85185185185185186</v>
      </c>
      <c r="P219" s="567">
        <f t="shared" si="10"/>
        <v>0.85185185185185186</v>
      </c>
      <c r="Q219" s="568">
        <f t="shared" si="11"/>
        <v>0.85185185185185186</v>
      </c>
      <c r="R219" s="688" t="s">
        <v>1954</v>
      </c>
    </row>
    <row r="220" spans="1:18" ht="25.5" x14ac:dyDescent="0.2">
      <c r="A220" s="580" t="s">
        <v>277</v>
      </c>
      <c r="B220" s="581" t="s">
        <v>1017</v>
      </c>
      <c r="C220" s="580" t="s">
        <v>1016</v>
      </c>
      <c r="D220" s="581" t="s">
        <v>109</v>
      </c>
      <c r="E220" s="581" t="s">
        <v>980</v>
      </c>
      <c r="F220" s="582" t="s">
        <v>974</v>
      </c>
      <c r="G220" s="581" t="s">
        <v>925</v>
      </c>
      <c r="H220" s="583" t="s">
        <v>77</v>
      </c>
      <c r="I220" s="513"/>
      <c r="J220" s="583" t="s">
        <v>1023</v>
      </c>
      <c r="K220" s="589">
        <v>25</v>
      </c>
      <c r="L220" s="587"/>
      <c r="M220" s="571">
        <v>27</v>
      </c>
      <c r="N220" s="571">
        <v>9</v>
      </c>
      <c r="O220" s="566">
        <f t="shared" si="9"/>
        <v>0.33333333333333331</v>
      </c>
      <c r="P220" s="567">
        <f t="shared" si="10"/>
        <v>1.3333333333333333</v>
      </c>
      <c r="Q220" s="568">
        <f t="shared" si="11"/>
        <v>1.3333333333333333</v>
      </c>
      <c r="R220" s="688" t="s">
        <v>1954</v>
      </c>
    </row>
    <row r="221" spans="1:18" ht="25.5" x14ac:dyDescent="0.2">
      <c r="A221" s="580" t="s">
        <v>277</v>
      </c>
      <c r="B221" s="581" t="s">
        <v>1017</v>
      </c>
      <c r="C221" s="580" t="s">
        <v>1016</v>
      </c>
      <c r="D221" s="581" t="s">
        <v>109</v>
      </c>
      <c r="E221" s="581" t="s">
        <v>981</v>
      </c>
      <c r="F221" s="582" t="s">
        <v>974</v>
      </c>
      <c r="G221" s="581" t="s">
        <v>925</v>
      </c>
      <c r="H221" s="583" t="s">
        <v>77</v>
      </c>
      <c r="I221" s="513"/>
      <c r="J221" s="583" t="s">
        <v>1023</v>
      </c>
      <c r="K221" s="589">
        <v>25</v>
      </c>
      <c r="L221" s="587"/>
      <c r="M221" s="571">
        <v>27</v>
      </c>
      <c r="N221" s="571">
        <v>9</v>
      </c>
      <c r="O221" s="566">
        <f t="shared" si="9"/>
        <v>0.33333333333333331</v>
      </c>
      <c r="P221" s="567">
        <f t="shared" si="10"/>
        <v>1.3333333333333333</v>
      </c>
      <c r="Q221" s="568">
        <f t="shared" si="11"/>
        <v>1.3333333333333333</v>
      </c>
      <c r="R221" s="688" t="s">
        <v>1954</v>
      </c>
    </row>
    <row r="222" spans="1:18" x14ac:dyDescent="0.2">
      <c r="A222" s="580" t="s">
        <v>277</v>
      </c>
      <c r="B222" s="581" t="s">
        <v>1017</v>
      </c>
      <c r="C222" s="580" t="s">
        <v>1016</v>
      </c>
      <c r="D222" s="581" t="s">
        <v>109</v>
      </c>
      <c r="E222" s="581" t="s">
        <v>982</v>
      </c>
      <c r="F222" s="590" t="s">
        <v>983</v>
      </c>
      <c r="G222" s="581" t="s">
        <v>919</v>
      </c>
      <c r="H222" s="583" t="s">
        <v>77</v>
      </c>
      <c r="I222" s="513"/>
      <c r="J222" s="583" t="s">
        <v>1023</v>
      </c>
      <c r="K222" s="589">
        <v>100</v>
      </c>
      <c r="L222" s="587"/>
      <c r="M222" s="571">
        <v>27</v>
      </c>
      <c r="N222" s="571">
        <v>23</v>
      </c>
      <c r="O222" s="566">
        <f t="shared" si="9"/>
        <v>0.85185185185185186</v>
      </c>
      <c r="P222" s="567">
        <f t="shared" si="10"/>
        <v>0.85185185185185186</v>
      </c>
      <c r="Q222" s="568">
        <f t="shared" si="11"/>
        <v>0.85185185185185186</v>
      </c>
      <c r="R222" s="688" t="s">
        <v>1954</v>
      </c>
    </row>
    <row r="223" spans="1:18" x14ac:dyDescent="0.2">
      <c r="A223" s="580" t="s">
        <v>277</v>
      </c>
      <c r="B223" s="581" t="s">
        <v>1017</v>
      </c>
      <c r="C223" s="580" t="s">
        <v>1016</v>
      </c>
      <c r="D223" s="581" t="s">
        <v>109</v>
      </c>
      <c r="E223" s="581" t="s">
        <v>984</v>
      </c>
      <c r="F223" s="590" t="s">
        <v>983</v>
      </c>
      <c r="G223" s="581" t="s">
        <v>919</v>
      </c>
      <c r="H223" s="583" t="s">
        <v>77</v>
      </c>
      <c r="I223" s="513"/>
      <c r="J223" s="583" t="s">
        <v>1023</v>
      </c>
      <c r="K223" s="589">
        <v>100</v>
      </c>
      <c r="L223" s="587"/>
      <c r="M223" s="571">
        <v>27</v>
      </c>
      <c r="N223" s="571">
        <v>23</v>
      </c>
      <c r="O223" s="566">
        <f t="shared" si="9"/>
        <v>0.85185185185185186</v>
      </c>
      <c r="P223" s="567">
        <f t="shared" si="10"/>
        <v>0.85185185185185186</v>
      </c>
      <c r="Q223" s="568">
        <f t="shared" si="11"/>
        <v>0.85185185185185186</v>
      </c>
      <c r="R223" s="688" t="s">
        <v>1954</v>
      </c>
    </row>
    <row r="224" spans="1:18" ht="25.5" x14ac:dyDescent="0.2">
      <c r="A224" s="580" t="s">
        <v>277</v>
      </c>
      <c r="B224" s="581" t="s">
        <v>1017</v>
      </c>
      <c r="C224" s="580" t="s">
        <v>1016</v>
      </c>
      <c r="D224" s="581" t="s">
        <v>109</v>
      </c>
      <c r="E224" s="581" t="s">
        <v>985</v>
      </c>
      <c r="F224" s="590" t="s">
        <v>970</v>
      </c>
      <c r="G224" s="581" t="s">
        <v>925</v>
      </c>
      <c r="H224" s="583" t="s">
        <v>77</v>
      </c>
      <c r="I224" s="513"/>
      <c r="J224" s="583" t="s">
        <v>1023</v>
      </c>
      <c r="K224" s="589">
        <v>33</v>
      </c>
      <c r="L224" s="587"/>
      <c r="M224" s="571">
        <v>27</v>
      </c>
      <c r="N224" s="571">
        <v>7</v>
      </c>
      <c r="O224" s="566">
        <f t="shared" si="9"/>
        <v>0.25925925925925924</v>
      </c>
      <c r="P224" s="567">
        <f t="shared" si="10"/>
        <v>0.78563411896745228</v>
      </c>
      <c r="Q224" s="568">
        <f t="shared" si="11"/>
        <v>0.78563411896745228</v>
      </c>
      <c r="R224" s="688" t="s">
        <v>1954</v>
      </c>
    </row>
    <row r="225" spans="1:18" ht="25.5" x14ac:dyDescent="0.2">
      <c r="A225" s="580" t="s">
        <v>277</v>
      </c>
      <c r="B225" s="581" t="s">
        <v>1017</v>
      </c>
      <c r="C225" s="580" t="s">
        <v>1016</v>
      </c>
      <c r="D225" s="581" t="s">
        <v>109</v>
      </c>
      <c r="E225" s="581" t="s">
        <v>986</v>
      </c>
      <c r="F225" s="590" t="s">
        <v>970</v>
      </c>
      <c r="G225" s="581" t="s">
        <v>925</v>
      </c>
      <c r="H225" s="583" t="s">
        <v>77</v>
      </c>
      <c r="I225" s="513"/>
      <c r="J225" s="583" t="s">
        <v>1023</v>
      </c>
      <c r="K225" s="589">
        <v>33</v>
      </c>
      <c r="L225" s="587"/>
      <c r="M225" s="571">
        <v>27</v>
      </c>
      <c r="N225" s="571">
        <v>7</v>
      </c>
      <c r="O225" s="566">
        <f t="shared" si="9"/>
        <v>0.25925925925925924</v>
      </c>
      <c r="P225" s="567">
        <f t="shared" si="10"/>
        <v>0.78563411896745228</v>
      </c>
      <c r="Q225" s="568">
        <f t="shared" si="11"/>
        <v>0.78563411896745228</v>
      </c>
      <c r="R225" s="688" t="s">
        <v>1954</v>
      </c>
    </row>
    <row r="226" spans="1:18" ht="25.5" x14ac:dyDescent="0.2">
      <c r="A226" s="580" t="s">
        <v>277</v>
      </c>
      <c r="B226" s="581" t="s">
        <v>1017</v>
      </c>
      <c r="C226" s="580" t="s">
        <v>1016</v>
      </c>
      <c r="D226" s="581" t="s">
        <v>109</v>
      </c>
      <c r="E226" s="581" t="s">
        <v>987</v>
      </c>
      <c r="F226" s="590" t="s">
        <v>970</v>
      </c>
      <c r="G226" s="581" t="s">
        <v>925</v>
      </c>
      <c r="H226" s="583" t="s">
        <v>77</v>
      </c>
      <c r="I226" s="513"/>
      <c r="J226" s="583" t="s">
        <v>1023</v>
      </c>
      <c r="K226" s="589">
        <v>33</v>
      </c>
      <c r="L226" s="587"/>
      <c r="M226" s="571">
        <v>27</v>
      </c>
      <c r="N226" s="571">
        <v>7</v>
      </c>
      <c r="O226" s="566">
        <f t="shared" si="9"/>
        <v>0.25925925925925924</v>
      </c>
      <c r="P226" s="567">
        <f t="shared" si="10"/>
        <v>0.78563411896745228</v>
      </c>
      <c r="Q226" s="568">
        <f t="shared" si="11"/>
        <v>0.78563411896745228</v>
      </c>
      <c r="R226" s="688" t="s">
        <v>1954</v>
      </c>
    </row>
    <row r="227" spans="1:18" ht="25.5" x14ac:dyDescent="0.2">
      <c r="A227" s="580" t="s">
        <v>277</v>
      </c>
      <c r="B227" s="581" t="s">
        <v>1017</v>
      </c>
      <c r="C227" s="580" t="s">
        <v>1016</v>
      </c>
      <c r="D227" s="581" t="s">
        <v>109</v>
      </c>
      <c r="E227" s="581" t="s">
        <v>988</v>
      </c>
      <c r="F227" s="590" t="s">
        <v>970</v>
      </c>
      <c r="G227" s="581" t="s">
        <v>925</v>
      </c>
      <c r="H227" s="583" t="s">
        <v>77</v>
      </c>
      <c r="I227" s="513"/>
      <c r="J227" s="583" t="s">
        <v>1023</v>
      </c>
      <c r="K227" s="589">
        <v>33</v>
      </c>
      <c r="L227" s="587"/>
      <c r="M227" s="571">
        <v>27</v>
      </c>
      <c r="N227" s="571">
        <v>7</v>
      </c>
      <c r="O227" s="566">
        <f t="shared" si="9"/>
        <v>0.25925925925925924</v>
      </c>
      <c r="P227" s="567">
        <f t="shared" si="10"/>
        <v>0.78563411896745228</v>
      </c>
      <c r="Q227" s="568">
        <f t="shared" si="11"/>
        <v>0.78563411896745228</v>
      </c>
      <c r="R227" s="688" t="s">
        <v>1954</v>
      </c>
    </row>
    <row r="228" spans="1:18" ht="25.5" x14ac:dyDescent="0.2">
      <c r="A228" s="580" t="s">
        <v>277</v>
      </c>
      <c r="B228" s="581" t="s">
        <v>1017</v>
      </c>
      <c r="C228" s="580" t="s">
        <v>1016</v>
      </c>
      <c r="D228" s="581" t="s">
        <v>109</v>
      </c>
      <c r="E228" s="581" t="s">
        <v>989</v>
      </c>
      <c r="F228" s="590" t="s">
        <v>970</v>
      </c>
      <c r="G228" s="581" t="s">
        <v>925</v>
      </c>
      <c r="H228" s="583" t="s">
        <v>77</v>
      </c>
      <c r="I228" s="513"/>
      <c r="J228" s="583" t="s">
        <v>1023</v>
      </c>
      <c r="K228" s="589">
        <v>33</v>
      </c>
      <c r="L228" s="587"/>
      <c r="M228" s="571">
        <v>27</v>
      </c>
      <c r="N228" s="571">
        <v>7</v>
      </c>
      <c r="O228" s="566">
        <f t="shared" si="9"/>
        <v>0.25925925925925924</v>
      </c>
      <c r="P228" s="567">
        <f t="shared" si="10"/>
        <v>0.78563411896745228</v>
      </c>
      <c r="Q228" s="568">
        <f t="shared" si="11"/>
        <v>0.78563411896745228</v>
      </c>
      <c r="R228" s="688" t="s">
        <v>1954</v>
      </c>
    </row>
    <row r="229" spans="1:18" ht="25.5" x14ac:dyDescent="0.2">
      <c r="A229" s="580" t="s">
        <v>277</v>
      </c>
      <c r="B229" s="581" t="s">
        <v>1017</v>
      </c>
      <c r="C229" s="580" t="s">
        <v>1016</v>
      </c>
      <c r="D229" s="581" t="s">
        <v>109</v>
      </c>
      <c r="E229" s="581" t="s">
        <v>990</v>
      </c>
      <c r="F229" s="590" t="s">
        <v>970</v>
      </c>
      <c r="G229" s="581" t="s">
        <v>925</v>
      </c>
      <c r="H229" s="583" t="s">
        <v>77</v>
      </c>
      <c r="I229" s="513"/>
      <c r="J229" s="583" t="s">
        <v>1023</v>
      </c>
      <c r="K229" s="589">
        <v>33</v>
      </c>
      <c r="L229" s="587"/>
      <c r="M229" s="571">
        <v>27</v>
      </c>
      <c r="N229" s="571">
        <v>7</v>
      </c>
      <c r="O229" s="566">
        <f t="shared" si="9"/>
        <v>0.25925925925925924</v>
      </c>
      <c r="P229" s="567">
        <f t="shared" si="10"/>
        <v>0.78563411896745228</v>
      </c>
      <c r="Q229" s="568">
        <f t="shared" si="11"/>
        <v>0.78563411896745228</v>
      </c>
      <c r="R229" s="688" t="s">
        <v>1954</v>
      </c>
    </row>
    <row r="230" spans="1:18" x14ac:dyDescent="0.2">
      <c r="A230" s="580" t="s">
        <v>277</v>
      </c>
      <c r="B230" s="581" t="s">
        <v>1017</v>
      </c>
      <c r="C230" s="580" t="s">
        <v>1016</v>
      </c>
      <c r="D230" s="581" t="s">
        <v>109</v>
      </c>
      <c r="E230" s="581" t="s">
        <v>991</v>
      </c>
      <c r="F230" s="590" t="s">
        <v>974</v>
      </c>
      <c r="G230" s="581" t="s">
        <v>919</v>
      </c>
      <c r="H230" s="583" t="s">
        <v>77</v>
      </c>
      <c r="I230" s="513"/>
      <c r="J230" s="583" t="s">
        <v>1023</v>
      </c>
      <c r="K230" s="589">
        <v>100</v>
      </c>
      <c r="L230" s="587"/>
      <c r="M230" s="571">
        <v>27</v>
      </c>
      <c r="N230" s="571">
        <v>23</v>
      </c>
      <c r="O230" s="566">
        <f t="shared" si="9"/>
        <v>0.85185185185185186</v>
      </c>
      <c r="P230" s="567">
        <f t="shared" si="10"/>
        <v>0.85185185185185186</v>
      </c>
      <c r="Q230" s="568">
        <f t="shared" si="11"/>
        <v>0.85185185185185186</v>
      </c>
      <c r="R230" s="688" t="s">
        <v>1954</v>
      </c>
    </row>
    <row r="231" spans="1:18" x14ac:dyDescent="0.2">
      <c r="A231" s="580" t="s">
        <v>277</v>
      </c>
      <c r="B231" s="581" t="s">
        <v>1017</v>
      </c>
      <c r="C231" s="580" t="s">
        <v>1016</v>
      </c>
      <c r="D231" s="581" t="s">
        <v>109</v>
      </c>
      <c r="E231" s="581" t="s">
        <v>992</v>
      </c>
      <c r="F231" s="590" t="s">
        <v>974</v>
      </c>
      <c r="G231" s="581" t="s">
        <v>919</v>
      </c>
      <c r="H231" s="583" t="s">
        <v>77</v>
      </c>
      <c r="I231" s="513"/>
      <c r="J231" s="583" t="s">
        <v>1023</v>
      </c>
      <c r="K231" s="589">
        <v>100</v>
      </c>
      <c r="L231" s="587"/>
      <c r="M231" s="571">
        <v>27</v>
      </c>
      <c r="N231" s="571">
        <v>23</v>
      </c>
      <c r="O231" s="566">
        <f t="shared" si="9"/>
        <v>0.85185185185185186</v>
      </c>
      <c r="P231" s="567">
        <f t="shared" si="10"/>
        <v>0.85185185185185186</v>
      </c>
      <c r="Q231" s="568">
        <f t="shared" si="11"/>
        <v>0.85185185185185186</v>
      </c>
      <c r="R231" s="688" t="s">
        <v>1954</v>
      </c>
    </row>
    <row r="232" spans="1:18" ht="25.5" x14ac:dyDescent="0.2">
      <c r="A232" s="580" t="s">
        <v>277</v>
      </c>
      <c r="B232" s="581" t="s">
        <v>1017</v>
      </c>
      <c r="C232" s="580" t="s">
        <v>1016</v>
      </c>
      <c r="D232" s="581" t="s">
        <v>109</v>
      </c>
      <c r="E232" s="581" t="s">
        <v>993</v>
      </c>
      <c r="F232" s="590" t="s">
        <v>974</v>
      </c>
      <c r="G232" s="581" t="s">
        <v>919</v>
      </c>
      <c r="H232" s="583" t="s">
        <v>77</v>
      </c>
      <c r="I232" s="513"/>
      <c r="J232" s="583" t="s">
        <v>1023</v>
      </c>
      <c r="K232" s="589">
        <v>100</v>
      </c>
      <c r="L232" s="587"/>
      <c r="M232" s="571">
        <v>27</v>
      </c>
      <c r="N232" s="571">
        <v>23</v>
      </c>
      <c r="O232" s="566">
        <f t="shared" si="9"/>
        <v>0.85185185185185186</v>
      </c>
      <c r="P232" s="567">
        <f t="shared" si="10"/>
        <v>0.85185185185185186</v>
      </c>
      <c r="Q232" s="568">
        <f t="shared" si="11"/>
        <v>0.85185185185185186</v>
      </c>
      <c r="R232" s="688" t="s">
        <v>1954</v>
      </c>
    </row>
    <row r="233" spans="1:18" ht="25.5" x14ac:dyDescent="0.2">
      <c r="A233" s="580" t="s">
        <v>277</v>
      </c>
      <c r="B233" s="581" t="s">
        <v>1017</v>
      </c>
      <c r="C233" s="580" t="s">
        <v>1016</v>
      </c>
      <c r="D233" s="581" t="s">
        <v>109</v>
      </c>
      <c r="E233" s="581" t="s">
        <v>994</v>
      </c>
      <c r="F233" s="582" t="s">
        <v>969</v>
      </c>
      <c r="G233" s="581" t="s">
        <v>919</v>
      </c>
      <c r="H233" s="583" t="s">
        <v>77</v>
      </c>
      <c r="I233" s="513"/>
      <c r="J233" s="583" t="s">
        <v>1023</v>
      </c>
      <c r="K233" s="589">
        <v>100</v>
      </c>
      <c r="L233" s="585" t="s">
        <v>1024</v>
      </c>
      <c r="M233" s="571">
        <v>27</v>
      </c>
      <c r="N233" s="571">
        <v>23</v>
      </c>
      <c r="O233" s="566">
        <f t="shared" si="9"/>
        <v>0.85185185185185186</v>
      </c>
      <c r="P233" s="567">
        <f t="shared" si="10"/>
        <v>0.85185185185185186</v>
      </c>
      <c r="Q233" s="568">
        <f t="shared" si="11"/>
        <v>0.85185185185185186</v>
      </c>
      <c r="R233" s="688" t="s">
        <v>1954</v>
      </c>
    </row>
    <row r="234" spans="1:18" ht="25.5" x14ac:dyDescent="0.2">
      <c r="A234" s="580" t="s">
        <v>277</v>
      </c>
      <c r="B234" s="581" t="s">
        <v>1017</v>
      </c>
      <c r="C234" s="580" t="s">
        <v>1016</v>
      </c>
      <c r="D234" s="581" t="s">
        <v>109</v>
      </c>
      <c r="E234" s="581" t="s">
        <v>994</v>
      </c>
      <c r="F234" s="582" t="s">
        <v>970</v>
      </c>
      <c r="G234" s="581" t="s">
        <v>925</v>
      </c>
      <c r="H234" s="583" t="s">
        <v>77</v>
      </c>
      <c r="I234" s="513"/>
      <c r="J234" s="583" t="s">
        <v>1023</v>
      </c>
      <c r="K234" s="589">
        <v>33</v>
      </c>
      <c r="L234" s="587"/>
      <c r="M234" s="571">
        <v>27</v>
      </c>
      <c r="N234" s="571">
        <v>23</v>
      </c>
      <c r="O234" s="566">
        <f t="shared" si="9"/>
        <v>0.85185185185185186</v>
      </c>
      <c r="P234" s="567">
        <f t="shared" si="10"/>
        <v>2.5813692480359145</v>
      </c>
      <c r="Q234" s="568">
        <f t="shared" si="11"/>
        <v>2.5813692480359145</v>
      </c>
      <c r="R234" s="688" t="s">
        <v>1954</v>
      </c>
    </row>
    <row r="235" spans="1:18" ht="25.5" x14ac:dyDescent="0.2">
      <c r="A235" s="580" t="s">
        <v>277</v>
      </c>
      <c r="B235" s="581" t="s">
        <v>1017</v>
      </c>
      <c r="C235" s="580" t="s">
        <v>1016</v>
      </c>
      <c r="D235" s="581" t="s">
        <v>109</v>
      </c>
      <c r="E235" s="581" t="s">
        <v>995</v>
      </c>
      <c r="F235" s="590" t="s">
        <v>974</v>
      </c>
      <c r="G235" s="581" t="s">
        <v>925</v>
      </c>
      <c r="H235" s="583" t="s">
        <v>77</v>
      </c>
      <c r="I235" s="513"/>
      <c r="J235" s="583" t="s">
        <v>1023</v>
      </c>
      <c r="K235" s="589">
        <v>25</v>
      </c>
      <c r="L235" s="587"/>
      <c r="M235" s="571">
        <v>27</v>
      </c>
      <c r="N235" s="571">
        <v>3</v>
      </c>
      <c r="O235" s="566">
        <f t="shared" si="9"/>
        <v>0.1111111111111111</v>
      </c>
      <c r="P235" s="567">
        <f t="shared" si="10"/>
        <v>0.44444444444444442</v>
      </c>
      <c r="Q235" s="568">
        <f t="shared" si="11"/>
        <v>0.44444444444444442</v>
      </c>
      <c r="R235" s="688" t="s">
        <v>1954</v>
      </c>
    </row>
    <row r="236" spans="1:18" ht="38.25" x14ac:dyDescent="0.2">
      <c r="A236" s="580" t="s">
        <v>277</v>
      </c>
      <c r="B236" s="581" t="s">
        <v>1017</v>
      </c>
      <c r="C236" s="580" t="s">
        <v>1016</v>
      </c>
      <c r="D236" s="581" t="s">
        <v>109</v>
      </c>
      <c r="E236" s="581" t="s">
        <v>996</v>
      </c>
      <c r="F236" s="590" t="s">
        <v>974</v>
      </c>
      <c r="G236" s="581" t="s">
        <v>925</v>
      </c>
      <c r="H236" s="583" t="s">
        <v>77</v>
      </c>
      <c r="I236" s="513"/>
      <c r="J236" s="583" t="s">
        <v>1023</v>
      </c>
      <c r="K236" s="589">
        <v>25</v>
      </c>
      <c r="L236" s="587"/>
      <c r="M236" s="571">
        <v>27</v>
      </c>
      <c r="N236" s="571">
        <v>3</v>
      </c>
      <c r="O236" s="566">
        <f t="shared" si="9"/>
        <v>0.1111111111111111</v>
      </c>
      <c r="P236" s="567">
        <f t="shared" si="10"/>
        <v>0.44444444444444442</v>
      </c>
      <c r="Q236" s="568">
        <f t="shared" si="11"/>
        <v>0.44444444444444442</v>
      </c>
      <c r="R236" s="688" t="s">
        <v>1954</v>
      </c>
    </row>
    <row r="237" spans="1:18" ht="38.25" x14ac:dyDescent="0.2">
      <c r="A237" s="580" t="s">
        <v>277</v>
      </c>
      <c r="B237" s="581" t="s">
        <v>1017</v>
      </c>
      <c r="C237" s="580" t="s">
        <v>1016</v>
      </c>
      <c r="D237" s="581" t="s">
        <v>109</v>
      </c>
      <c r="E237" s="581" t="s">
        <v>997</v>
      </c>
      <c r="F237" s="590" t="s">
        <v>974</v>
      </c>
      <c r="G237" s="581" t="s">
        <v>919</v>
      </c>
      <c r="H237" s="583" t="s">
        <v>77</v>
      </c>
      <c r="I237" s="513"/>
      <c r="J237" s="583" t="s">
        <v>1023</v>
      </c>
      <c r="K237" s="589">
        <v>100</v>
      </c>
      <c r="L237" s="587"/>
      <c r="M237" s="571">
        <v>27</v>
      </c>
      <c r="N237" s="571">
        <v>23</v>
      </c>
      <c r="O237" s="566">
        <f t="shared" si="9"/>
        <v>0.85185185185185186</v>
      </c>
      <c r="P237" s="567">
        <f t="shared" si="10"/>
        <v>0.85185185185185186</v>
      </c>
      <c r="Q237" s="568">
        <f t="shared" si="11"/>
        <v>0.85185185185185186</v>
      </c>
      <c r="R237" s="688" t="s">
        <v>1954</v>
      </c>
    </row>
    <row r="238" spans="1:18" x14ac:dyDescent="0.2">
      <c r="A238" s="580" t="s">
        <v>277</v>
      </c>
      <c r="B238" s="581" t="s">
        <v>1017</v>
      </c>
      <c r="C238" s="580" t="s">
        <v>1016</v>
      </c>
      <c r="D238" s="581" t="s">
        <v>946</v>
      </c>
      <c r="E238" s="581" t="s">
        <v>998</v>
      </c>
      <c r="F238" s="590" t="s">
        <v>974</v>
      </c>
      <c r="G238" s="581" t="s">
        <v>919</v>
      </c>
      <c r="H238" s="583" t="s">
        <v>77</v>
      </c>
      <c r="I238" s="513"/>
      <c r="J238" s="583" t="s">
        <v>1023</v>
      </c>
      <c r="K238" s="589">
        <v>100</v>
      </c>
      <c r="L238" s="587"/>
      <c r="M238" s="571">
        <v>27</v>
      </c>
      <c r="N238" s="571">
        <v>23</v>
      </c>
      <c r="O238" s="566">
        <f t="shared" si="9"/>
        <v>0.85185185185185186</v>
      </c>
      <c r="P238" s="567">
        <f t="shared" si="10"/>
        <v>0.85185185185185186</v>
      </c>
      <c r="Q238" s="568">
        <f t="shared" si="11"/>
        <v>0.85185185185185186</v>
      </c>
      <c r="R238" s="688" t="s">
        <v>1954</v>
      </c>
    </row>
    <row r="239" spans="1:18" x14ac:dyDescent="0.2">
      <c r="A239" s="580" t="s">
        <v>277</v>
      </c>
      <c r="B239" s="581" t="s">
        <v>1017</v>
      </c>
      <c r="C239" s="580" t="s">
        <v>1016</v>
      </c>
      <c r="D239" s="581" t="s">
        <v>946</v>
      </c>
      <c r="E239" s="581" t="s">
        <v>999</v>
      </c>
      <c r="F239" s="590" t="s">
        <v>974</v>
      </c>
      <c r="G239" s="581" t="s">
        <v>919</v>
      </c>
      <c r="H239" s="583" t="s">
        <v>77</v>
      </c>
      <c r="I239" s="513"/>
      <c r="J239" s="583" t="s">
        <v>1023</v>
      </c>
      <c r="K239" s="589">
        <v>100</v>
      </c>
      <c r="L239" s="587"/>
      <c r="M239" s="571">
        <v>27</v>
      </c>
      <c r="N239" s="571">
        <v>23</v>
      </c>
      <c r="O239" s="566">
        <f t="shared" si="9"/>
        <v>0.85185185185185186</v>
      </c>
      <c r="P239" s="567">
        <f t="shared" si="10"/>
        <v>0.85185185185185186</v>
      </c>
      <c r="Q239" s="568">
        <f t="shared" si="11"/>
        <v>0.85185185185185186</v>
      </c>
      <c r="R239" s="688" t="s">
        <v>1954</v>
      </c>
    </row>
    <row r="240" spans="1:18" ht="25.5" x14ac:dyDescent="0.2">
      <c r="A240" s="580" t="s">
        <v>277</v>
      </c>
      <c r="B240" s="581" t="s">
        <v>1017</v>
      </c>
      <c r="C240" s="580" t="s">
        <v>1016</v>
      </c>
      <c r="D240" s="581" t="s">
        <v>946</v>
      </c>
      <c r="E240" s="581" t="s">
        <v>1000</v>
      </c>
      <c r="F240" s="590" t="s">
        <v>974</v>
      </c>
      <c r="G240" s="581" t="s">
        <v>925</v>
      </c>
      <c r="H240" s="583" t="s">
        <v>77</v>
      </c>
      <c r="I240" s="513"/>
      <c r="J240" s="583" t="s">
        <v>1023</v>
      </c>
      <c r="K240" s="589">
        <v>25</v>
      </c>
      <c r="L240" s="587"/>
      <c r="M240" s="571">
        <v>27</v>
      </c>
      <c r="N240" s="571">
        <v>3</v>
      </c>
      <c r="O240" s="566">
        <f t="shared" si="9"/>
        <v>0.1111111111111111</v>
      </c>
      <c r="P240" s="567">
        <f t="shared" si="10"/>
        <v>0.44444444444444442</v>
      </c>
      <c r="Q240" s="568">
        <f t="shared" si="11"/>
        <v>0.44444444444444442</v>
      </c>
      <c r="R240" s="688" t="s">
        <v>1954</v>
      </c>
    </row>
    <row r="241" spans="1:18" ht="25.5" x14ac:dyDescent="0.2">
      <c r="A241" s="580" t="s">
        <v>277</v>
      </c>
      <c r="B241" s="581" t="s">
        <v>1017</v>
      </c>
      <c r="C241" s="580" t="s">
        <v>1016</v>
      </c>
      <c r="D241" s="581" t="s">
        <v>946</v>
      </c>
      <c r="E241" s="581" t="s">
        <v>1001</v>
      </c>
      <c r="F241" s="590" t="s">
        <v>974</v>
      </c>
      <c r="G241" s="581" t="s">
        <v>925</v>
      </c>
      <c r="H241" s="583" t="s">
        <v>77</v>
      </c>
      <c r="I241" s="513"/>
      <c r="J241" s="583" t="s">
        <v>1023</v>
      </c>
      <c r="K241" s="589">
        <v>25</v>
      </c>
      <c r="L241" s="587"/>
      <c r="M241" s="571">
        <v>27</v>
      </c>
      <c r="N241" s="571">
        <v>3</v>
      </c>
      <c r="O241" s="566">
        <f t="shared" si="9"/>
        <v>0.1111111111111111</v>
      </c>
      <c r="P241" s="567">
        <f t="shared" si="10"/>
        <v>0.44444444444444442</v>
      </c>
      <c r="Q241" s="568">
        <f t="shared" si="11"/>
        <v>0.44444444444444442</v>
      </c>
      <c r="R241" s="688" t="s">
        <v>1954</v>
      </c>
    </row>
    <row r="242" spans="1:18" ht="25.5" x14ac:dyDescent="0.2">
      <c r="A242" s="580" t="s">
        <v>277</v>
      </c>
      <c r="B242" s="581" t="s">
        <v>1017</v>
      </c>
      <c r="C242" s="580" t="s">
        <v>1016</v>
      </c>
      <c r="D242" s="581" t="s">
        <v>946</v>
      </c>
      <c r="E242" s="581" t="s">
        <v>1002</v>
      </c>
      <c r="F242" s="590" t="s">
        <v>974</v>
      </c>
      <c r="G242" s="581" t="s">
        <v>925</v>
      </c>
      <c r="H242" s="583" t="s">
        <v>77</v>
      </c>
      <c r="I242" s="513"/>
      <c r="J242" s="583" t="s">
        <v>1023</v>
      </c>
      <c r="K242" s="589">
        <v>25</v>
      </c>
      <c r="L242" s="587"/>
      <c r="M242" s="571">
        <v>27</v>
      </c>
      <c r="N242" s="571">
        <v>3</v>
      </c>
      <c r="O242" s="566">
        <f t="shared" si="9"/>
        <v>0.1111111111111111</v>
      </c>
      <c r="P242" s="567">
        <f t="shared" si="10"/>
        <v>0.44444444444444442</v>
      </c>
      <c r="Q242" s="568">
        <f t="shared" si="11"/>
        <v>0.44444444444444442</v>
      </c>
      <c r="R242" s="688" t="s">
        <v>1954</v>
      </c>
    </row>
    <row r="243" spans="1:18" ht="25.5" x14ac:dyDescent="0.2">
      <c r="A243" s="580" t="s">
        <v>277</v>
      </c>
      <c r="B243" s="581" t="s">
        <v>1017</v>
      </c>
      <c r="C243" s="580" t="s">
        <v>1016</v>
      </c>
      <c r="D243" s="581" t="s">
        <v>946</v>
      </c>
      <c r="E243" s="581" t="s">
        <v>1003</v>
      </c>
      <c r="F243" s="590" t="s">
        <v>974</v>
      </c>
      <c r="G243" s="581" t="s">
        <v>925</v>
      </c>
      <c r="H243" s="583" t="s">
        <v>77</v>
      </c>
      <c r="I243" s="513"/>
      <c r="J243" s="583" t="s">
        <v>1023</v>
      </c>
      <c r="K243" s="589">
        <v>25</v>
      </c>
      <c r="L243" s="587"/>
      <c r="M243" s="571">
        <v>27</v>
      </c>
      <c r="N243" s="571">
        <v>3</v>
      </c>
      <c r="O243" s="566">
        <f t="shared" si="9"/>
        <v>0.1111111111111111</v>
      </c>
      <c r="P243" s="567">
        <f t="shared" si="10"/>
        <v>0.44444444444444442</v>
      </c>
      <c r="Q243" s="568">
        <f t="shared" si="11"/>
        <v>0.44444444444444442</v>
      </c>
      <c r="R243" s="688" t="s">
        <v>1954</v>
      </c>
    </row>
    <row r="244" spans="1:18" ht="25.5" x14ac:dyDescent="0.2">
      <c r="A244" s="580" t="s">
        <v>277</v>
      </c>
      <c r="B244" s="581" t="s">
        <v>1017</v>
      </c>
      <c r="C244" s="580" t="s">
        <v>1016</v>
      </c>
      <c r="D244" s="581" t="s">
        <v>946</v>
      </c>
      <c r="E244" s="581" t="s">
        <v>1004</v>
      </c>
      <c r="F244" s="582" t="s">
        <v>974</v>
      </c>
      <c r="G244" s="581" t="s">
        <v>919</v>
      </c>
      <c r="H244" s="583" t="s">
        <v>77</v>
      </c>
      <c r="I244" s="513"/>
      <c r="J244" s="583" t="s">
        <v>1023</v>
      </c>
      <c r="K244" s="589">
        <v>100</v>
      </c>
      <c r="L244" s="587"/>
      <c r="M244" s="571">
        <v>27</v>
      </c>
      <c r="N244" s="571">
        <v>23</v>
      </c>
      <c r="O244" s="566">
        <f t="shared" si="9"/>
        <v>0.85185185185185186</v>
      </c>
      <c r="P244" s="567">
        <f t="shared" si="10"/>
        <v>0.85185185185185186</v>
      </c>
      <c r="Q244" s="568">
        <f t="shared" si="11"/>
        <v>0.85185185185185186</v>
      </c>
      <c r="R244" s="688" t="s">
        <v>1954</v>
      </c>
    </row>
    <row r="245" spans="1:18" ht="25.5" x14ac:dyDescent="0.2">
      <c r="A245" s="580" t="s">
        <v>277</v>
      </c>
      <c r="B245" s="581" t="s">
        <v>1017</v>
      </c>
      <c r="C245" s="580" t="s">
        <v>1016</v>
      </c>
      <c r="D245" s="581" t="s">
        <v>946</v>
      </c>
      <c r="E245" s="581" t="s">
        <v>1004</v>
      </c>
      <c r="F245" s="582" t="s">
        <v>970</v>
      </c>
      <c r="G245" s="581" t="s">
        <v>1005</v>
      </c>
      <c r="H245" s="583" t="s">
        <v>77</v>
      </c>
      <c r="I245" s="513"/>
      <c r="J245" s="583" t="s">
        <v>1023</v>
      </c>
      <c r="K245" s="589">
        <v>33</v>
      </c>
      <c r="L245" s="587"/>
      <c r="M245" s="571">
        <v>27</v>
      </c>
      <c r="N245" s="571">
        <v>23</v>
      </c>
      <c r="O245" s="566">
        <f t="shared" si="9"/>
        <v>0.85185185185185186</v>
      </c>
      <c r="P245" s="567">
        <f t="shared" si="10"/>
        <v>2.5813692480359145</v>
      </c>
      <c r="Q245" s="568">
        <f t="shared" si="11"/>
        <v>2.5813692480359145</v>
      </c>
      <c r="R245" s="688" t="s">
        <v>1954</v>
      </c>
    </row>
    <row r="246" spans="1:18" ht="25.5" x14ac:dyDescent="0.2">
      <c r="A246" s="580" t="s">
        <v>277</v>
      </c>
      <c r="B246" s="581" t="s">
        <v>1017</v>
      </c>
      <c r="C246" s="580" t="s">
        <v>1016</v>
      </c>
      <c r="D246" s="581" t="s">
        <v>946</v>
      </c>
      <c r="E246" s="581" t="s">
        <v>954</v>
      </c>
      <c r="F246" s="582" t="s">
        <v>974</v>
      </c>
      <c r="G246" s="581" t="s">
        <v>1006</v>
      </c>
      <c r="H246" s="583" t="s">
        <v>77</v>
      </c>
      <c r="I246" s="513"/>
      <c r="J246" s="583" t="s">
        <v>1023</v>
      </c>
      <c r="K246" s="589">
        <v>100</v>
      </c>
      <c r="L246" s="585" t="s">
        <v>1024</v>
      </c>
      <c r="M246" s="571">
        <v>27</v>
      </c>
      <c r="N246" s="571">
        <v>23</v>
      </c>
      <c r="O246" s="566">
        <f t="shared" si="9"/>
        <v>0.85185185185185186</v>
      </c>
      <c r="P246" s="567">
        <f t="shared" si="10"/>
        <v>0.85185185185185186</v>
      </c>
      <c r="Q246" s="568">
        <f t="shared" si="11"/>
        <v>0.85185185185185186</v>
      </c>
      <c r="R246" s="688" t="s">
        <v>1954</v>
      </c>
    </row>
    <row r="247" spans="1:18" x14ac:dyDescent="0.2">
      <c r="A247" s="580" t="s">
        <v>277</v>
      </c>
      <c r="B247" s="581" t="s">
        <v>1017</v>
      </c>
      <c r="C247" s="580" t="s">
        <v>1016</v>
      </c>
      <c r="D247" s="581" t="s">
        <v>946</v>
      </c>
      <c r="E247" s="581" t="s">
        <v>954</v>
      </c>
      <c r="F247" s="582" t="s">
        <v>970</v>
      </c>
      <c r="G247" s="581" t="s">
        <v>1005</v>
      </c>
      <c r="H247" s="583" t="s">
        <v>77</v>
      </c>
      <c r="I247" s="513"/>
      <c r="J247" s="583" t="s">
        <v>1023</v>
      </c>
      <c r="K247" s="589">
        <v>33</v>
      </c>
      <c r="L247" s="587"/>
      <c r="M247" s="571">
        <v>27</v>
      </c>
      <c r="N247" s="571">
        <v>23</v>
      </c>
      <c r="O247" s="566">
        <f t="shared" si="9"/>
        <v>0.85185185185185186</v>
      </c>
      <c r="P247" s="567">
        <f t="shared" si="10"/>
        <v>2.5813692480359145</v>
      </c>
      <c r="Q247" s="568">
        <f t="shared" si="11"/>
        <v>2.5813692480359145</v>
      </c>
      <c r="R247" s="688" t="s">
        <v>1954</v>
      </c>
    </row>
    <row r="248" spans="1:18" ht="25.5" x14ac:dyDescent="0.2">
      <c r="A248" s="580" t="s">
        <v>277</v>
      </c>
      <c r="B248" s="581" t="s">
        <v>1017</v>
      </c>
      <c r="C248" s="580" t="s">
        <v>1016</v>
      </c>
      <c r="D248" s="581" t="s">
        <v>946</v>
      </c>
      <c r="E248" s="581" t="s">
        <v>1007</v>
      </c>
      <c r="F248" s="582" t="s">
        <v>974</v>
      </c>
      <c r="G248" s="581" t="s">
        <v>919</v>
      </c>
      <c r="H248" s="583" t="s">
        <v>77</v>
      </c>
      <c r="I248" s="513"/>
      <c r="J248" s="583" t="s">
        <v>1023</v>
      </c>
      <c r="K248" s="589">
        <v>100</v>
      </c>
      <c r="L248" s="587"/>
      <c r="M248" s="571">
        <v>27</v>
      </c>
      <c r="N248" s="571">
        <v>23</v>
      </c>
      <c r="O248" s="566">
        <f t="shared" si="9"/>
        <v>0.85185185185185186</v>
      </c>
      <c r="P248" s="567">
        <f t="shared" si="10"/>
        <v>0.85185185185185186</v>
      </c>
      <c r="Q248" s="568">
        <f t="shared" si="11"/>
        <v>0.85185185185185186</v>
      </c>
      <c r="R248" s="688" t="s">
        <v>1954</v>
      </c>
    </row>
    <row r="249" spans="1:18" ht="25.5" x14ac:dyDescent="0.2">
      <c r="A249" s="580" t="s">
        <v>277</v>
      </c>
      <c r="B249" s="581" t="s">
        <v>1017</v>
      </c>
      <c r="C249" s="580" t="s">
        <v>1016</v>
      </c>
      <c r="D249" s="581" t="s">
        <v>1008</v>
      </c>
      <c r="E249" s="581" t="s">
        <v>1007</v>
      </c>
      <c r="F249" s="582" t="s">
        <v>1009</v>
      </c>
      <c r="G249" s="581" t="s">
        <v>919</v>
      </c>
      <c r="H249" s="583" t="s">
        <v>77</v>
      </c>
      <c r="I249" s="513"/>
      <c r="J249" s="583" t="s">
        <v>1023</v>
      </c>
      <c r="K249" s="589">
        <v>100</v>
      </c>
      <c r="L249" s="587"/>
      <c r="M249" s="571">
        <v>27</v>
      </c>
      <c r="N249" s="571">
        <v>23</v>
      </c>
      <c r="O249" s="566">
        <f t="shared" si="9"/>
        <v>0.85185185185185186</v>
      </c>
      <c r="P249" s="567">
        <f t="shared" si="10"/>
        <v>0.85185185185185186</v>
      </c>
      <c r="Q249" s="568">
        <f t="shared" si="11"/>
        <v>0.85185185185185186</v>
      </c>
      <c r="R249" s="688" t="s">
        <v>1954</v>
      </c>
    </row>
    <row r="250" spans="1:18" x14ac:dyDescent="0.2">
      <c r="A250" s="580" t="s">
        <v>277</v>
      </c>
      <c r="B250" s="581" t="s">
        <v>1017</v>
      </c>
      <c r="C250" s="580" t="s">
        <v>1016</v>
      </c>
      <c r="D250" s="581" t="s">
        <v>1008</v>
      </c>
      <c r="E250" s="581" t="s">
        <v>1010</v>
      </c>
      <c r="F250" s="582" t="s">
        <v>974</v>
      </c>
      <c r="G250" s="581" t="s">
        <v>919</v>
      </c>
      <c r="H250" s="583" t="s">
        <v>77</v>
      </c>
      <c r="I250" s="513"/>
      <c r="J250" s="583" t="s">
        <v>1023</v>
      </c>
      <c r="K250" s="589">
        <v>100</v>
      </c>
      <c r="L250" s="587"/>
      <c r="M250" s="571">
        <v>27</v>
      </c>
      <c r="N250" s="571">
        <v>23</v>
      </c>
      <c r="O250" s="566">
        <f t="shared" si="9"/>
        <v>0.85185185185185186</v>
      </c>
      <c r="P250" s="567">
        <f t="shared" si="10"/>
        <v>0.85185185185185186</v>
      </c>
      <c r="Q250" s="568">
        <f t="shared" si="11"/>
        <v>0.85185185185185186</v>
      </c>
      <c r="R250" s="688" t="s">
        <v>1954</v>
      </c>
    </row>
    <row r="251" spans="1:18" ht="25.5" x14ac:dyDescent="0.2">
      <c r="A251" s="580" t="s">
        <v>277</v>
      </c>
      <c r="B251" s="581" t="s">
        <v>1017</v>
      </c>
      <c r="C251" s="580" t="s">
        <v>1018</v>
      </c>
      <c r="D251" s="581" t="s">
        <v>109</v>
      </c>
      <c r="E251" s="581" t="s">
        <v>968</v>
      </c>
      <c r="F251" s="582" t="s">
        <v>969</v>
      </c>
      <c r="G251" s="581" t="s">
        <v>919</v>
      </c>
      <c r="H251" s="583" t="s">
        <v>77</v>
      </c>
      <c r="I251" s="513"/>
      <c r="J251" s="583" t="s">
        <v>1023</v>
      </c>
      <c r="K251" s="584">
        <v>100</v>
      </c>
      <c r="L251" s="585" t="s">
        <v>1024</v>
      </c>
      <c r="M251" s="571">
        <v>8</v>
      </c>
      <c r="N251" s="571">
        <v>8</v>
      </c>
      <c r="O251" s="566">
        <f t="shared" si="9"/>
        <v>1</v>
      </c>
      <c r="P251" s="567">
        <f t="shared" si="10"/>
        <v>1</v>
      </c>
      <c r="Q251" s="568">
        <f t="shared" si="11"/>
        <v>1</v>
      </c>
      <c r="R251" s="688" t="s">
        <v>1954</v>
      </c>
    </row>
    <row r="252" spans="1:18" x14ac:dyDescent="0.2">
      <c r="A252" s="580" t="s">
        <v>277</v>
      </c>
      <c r="B252" s="581" t="s">
        <v>1017</v>
      </c>
      <c r="C252" s="580" t="s">
        <v>1018</v>
      </c>
      <c r="D252" s="581" t="s">
        <v>109</v>
      </c>
      <c r="E252" s="581" t="s">
        <v>968</v>
      </c>
      <c r="F252" s="582" t="s">
        <v>970</v>
      </c>
      <c r="G252" s="581" t="s">
        <v>971</v>
      </c>
      <c r="H252" s="583" t="s">
        <v>77</v>
      </c>
      <c r="I252" s="513"/>
      <c r="J252" s="583" t="s">
        <v>1023</v>
      </c>
      <c r="K252" s="584">
        <v>33</v>
      </c>
      <c r="L252" s="587"/>
      <c r="M252" s="571">
        <v>8</v>
      </c>
      <c r="N252" s="571">
        <v>8</v>
      </c>
      <c r="O252" s="566">
        <f t="shared" si="9"/>
        <v>1</v>
      </c>
      <c r="P252" s="567">
        <f t="shared" si="10"/>
        <v>3.0303030303030303</v>
      </c>
      <c r="Q252" s="568">
        <f t="shared" si="11"/>
        <v>3.0303030303030303</v>
      </c>
      <c r="R252" s="688" t="s">
        <v>1954</v>
      </c>
    </row>
    <row r="253" spans="1:18" ht="25.5" x14ac:dyDescent="0.2">
      <c r="A253" s="580" t="s">
        <v>277</v>
      </c>
      <c r="B253" s="581" t="s">
        <v>1017</v>
      </c>
      <c r="C253" s="580" t="s">
        <v>1018</v>
      </c>
      <c r="D253" s="581" t="s">
        <v>109</v>
      </c>
      <c r="E253" s="581" t="s">
        <v>972</v>
      </c>
      <c r="F253" s="582" t="s">
        <v>969</v>
      </c>
      <c r="G253" s="581" t="s">
        <v>925</v>
      </c>
      <c r="H253" s="583" t="s">
        <v>77</v>
      </c>
      <c r="I253" s="513"/>
      <c r="J253" s="583" t="s">
        <v>1023</v>
      </c>
      <c r="K253" s="584">
        <v>25</v>
      </c>
      <c r="L253" s="587"/>
      <c r="M253" s="571">
        <v>8</v>
      </c>
      <c r="N253" s="571">
        <v>0</v>
      </c>
      <c r="O253" s="566">
        <f t="shared" si="9"/>
        <v>0</v>
      </c>
      <c r="P253" s="567">
        <f t="shared" si="10"/>
        <v>0</v>
      </c>
      <c r="Q253" s="568">
        <f t="shared" si="11"/>
        <v>0</v>
      </c>
      <c r="R253" s="688" t="s">
        <v>1954</v>
      </c>
    </row>
    <row r="254" spans="1:18" ht="25.5" x14ac:dyDescent="0.2">
      <c r="A254" s="580" t="s">
        <v>277</v>
      </c>
      <c r="B254" s="581" t="s">
        <v>1017</v>
      </c>
      <c r="C254" s="580" t="s">
        <v>1018</v>
      </c>
      <c r="D254" s="581" t="s">
        <v>109</v>
      </c>
      <c r="E254" s="581" t="s">
        <v>972</v>
      </c>
      <c r="F254" s="582" t="s">
        <v>970</v>
      </c>
      <c r="G254" s="581" t="s">
        <v>925</v>
      </c>
      <c r="H254" s="583" t="s">
        <v>77</v>
      </c>
      <c r="I254" s="513"/>
      <c r="J254" s="583" t="s">
        <v>1023</v>
      </c>
      <c r="K254" s="584">
        <v>25</v>
      </c>
      <c r="L254" s="587"/>
      <c r="M254" s="571">
        <v>8</v>
      </c>
      <c r="N254" s="571">
        <v>0</v>
      </c>
      <c r="O254" s="566">
        <f t="shared" si="9"/>
        <v>0</v>
      </c>
      <c r="P254" s="567">
        <f t="shared" si="10"/>
        <v>0</v>
      </c>
      <c r="Q254" s="568">
        <f t="shared" si="11"/>
        <v>0</v>
      </c>
      <c r="R254" s="688" t="s">
        <v>1954</v>
      </c>
    </row>
    <row r="255" spans="1:18" ht="38.25" x14ac:dyDescent="0.2">
      <c r="A255" s="580" t="s">
        <v>277</v>
      </c>
      <c r="B255" s="581" t="s">
        <v>1017</v>
      </c>
      <c r="C255" s="580" t="s">
        <v>1018</v>
      </c>
      <c r="D255" s="581" t="s">
        <v>109</v>
      </c>
      <c r="E255" s="581" t="s">
        <v>973</v>
      </c>
      <c r="F255" s="582" t="s">
        <v>974</v>
      </c>
      <c r="G255" s="581" t="s">
        <v>925</v>
      </c>
      <c r="H255" s="583" t="s">
        <v>77</v>
      </c>
      <c r="I255" s="513"/>
      <c r="J255" s="583" t="s">
        <v>1023</v>
      </c>
      <c r="K255" s="584">
        <v>25</v>
      </c>
      <c r="L255" s="585" t="s">
        <v>1025</v>
      </c>
      <c r="M255" s="571">
        <v>8</v>
      </c>
      <c r="N255" s="571">
        <v>0</v>
      </c>
      <c r="O255" s="566">
        <f t="shared" si="9"/>
        <v>0</v>
      </c>
      <c r="P255" s="567">
        <f t="shared" si="10"/>
        <v>0</v>
      </c>
      <c r="Q255" s="568">
        <f t="shared" si="11"/>
        <v>0</v>
      </c>
      <c r="R255" s="688" t="s">
        <v>1954</v>
      </c>
    </row>
    <row r="256" spans="1:18" ht="25.5" x14ac:dyDescent="0.2">
      <c r="A256" s="580" t="s">
        <v>277</v>
      </c>
      <c r="B256" s="581" t="s">
        <v>1017</v>
      </c>
      <c r="C256" s="580" t="s">
        <v>1018</v>
      </c>
      <c r="D256" s="581" t="s">
        <v>109</v>
      </c>
      <c r="E256" s="581" t="s">
        <v>973</v>
      </c>
      <c r="F256" s="582" t="s">
        <v>975</v>
      </c>
      <c r="G256" s="581" t="s">
        <v>925</v>
      </c>
      <c r="H256" s="583" t="s">
        <v>77</v>
      </c>
      <c r="I256" s="513"/>
      <c r="J256" s="583" t="s">
        <v>1023</v>
      </c>
      <c r="K256" s="584">
        <v>33</v>
      </c>
      <c r="L256" s="587"/>
      <c r="M256" s="571">
        <v>8</v>
      </c>
      <c r="N256" s="571">
        <v>0</v>
      </c>
      <c r="O256" s="566">
        <f t="shared" si="9"/>
        <v>0</v>
      </c>
      <c r="P256" s="567">
        <f t="shared" si="10"/>
        <v>0</v>
      </c>
      <c r="Q256" s="568">
        <f t="shared" si="11"/>
        <v>0</v>
      </c>
      <c r="R256" s="688" t="s">
        <v>1954</v>
      </c>
    </row>
    <row r="257" spans="1:18" ht="25.5" x14ac:dyDescent="0.2">
      <c r="A257" s="580" t="s">
        <v>277</v>
      </c>
      <c r="B257" s="581" t="s">
        <v>1017</v>
      </c>
      <c r="C257" s="580" t="s">
        <v>1018</v>
      </c>
      <c r="D257" s="581" t="s">
        <v>109</v>
      </c>
      <c r="E257" s="581" t="s">
        <v>976</v>
      </c>
      <c r="F257" s="582" t="s">
        <v>974</v>
      </c>
      <c r="G257" s="581" t="s">
        <v>925</v>
      </c>
      <c r="H257" s="583" t="s">
        <v>77</v>
      </c>
      <c r="I257" s="513"/>
      <c r="J257" s="583" t="s">
        <v>1023</v>
      </c>
      <c r="K257" s="584">
        <v>25</v>
      </c>
      <c r="L257" s="587"/>
      <c r="M257" s="571">
        <v>8</v>
      </c>
      <c r="N257" s="571">
        <v>0</v>
      </c>
      <c r="O257" s="566">
        <f t="shared" si="9"/>
        <v>0</v>
      </c>
      <c r="P257" s="567">
        <f t="shared" si="10"/>
        <v>0</v>
      </c>
      <c r="Q257" s="568">
        <f t="shared" si="11"/>
        <v>0</v>
      </c>
      <c r="R257" s="688" t="s">
        <v>1954</v>
      </c>
    </row>
    <row r="258" spans="1:18" ht="25.5" x14ac:dyDescent="0.2">
      <c r="A258" s="580" t="s">
        <v>277</v>
      </c>
      <c r="B258" s="581" t="s">
        <v>1017</v>
      </c>
      <c r="C258" s="580" t="s">
        <v>1018</v>
      </c>
      <c r="D258" s="581" t="s">
        <v>109</v>
      </c>
      <c r="E258" s="581" t="s">
        <v>977</v>
      </c>
      <c r="F258" s="582" t="s">
        <v>974</v>
      </c>
      <c r="G258" s="581" t="s">
        <v>925</v>
      </c>
      <c r="H258" s="583" t="s">
        <v>77</v>
      </c>
      <c r="I258" s="513"/>
      <c r="J258" s="583" t="s">
        <v>1023</v>
      </c>
      <c r="K258" s="584">
        <v>25</v>
      </c>
      <c r="L258" s="587"/>
      <c r="M258" s="571">
        <v>8</v>
      </c>
      <c r="N258" s="571">
        <v>0</v>
      </c>
      <c r="O258" s="566">
        <f t="shared" si="9"/>
        <v>0</v>
      </c>
      <c r="P258" s="567">
        <f t="shared" si="10"/>
        <v>0</v>
      </c>
      <c r="Q258" s="568">
        <f t="shared" si="11"/>
        <v>0</v>
      </c>
      <c r="R258" s="688" t="s">
        <v>1954</v>
      </c>
    </row>
    <row r="259" spans="1:18" x14ac:dyDescent="0.2">
      <c r="A259" s="580" t="s">
        <v>277</v>
      </c>
      <c r="B259" s="581" t="s">
        <v>1017</v>
      </c>
      <c r="C259" s="580" t="s">
        <v>1018</v>
      </c>
      <c r="D259" s="581" t="s">
        <v>109</v>
      </c>
      <c r="E259" s="581" t="s">
        <v>978</v>
      </c>
      <c r="F259" s="582" t="s">
        <v>974</v>
      </c>
      <c r="G259" s="581" t="s">
        <v>919</v>
      </c>
      <c r="H259" s="583" t="s">
        <v>77</v>
      </c>
      <c r="I259" s="513"/>
      <c r="J259" s="583" t="s">
        <v>1023</v>
      </c>
      <c r="K259" s="584">
        <v>100</v>
      </c>
      <c r="L259" s="587"/>
      <c r="M259" s="571">
        <v>8</v>
      </c>
      <c r="N259" s="571">
        <v>8</v>
      </c>
      <c r="O259" s="566">
        <f t="shared" si="9"/>
        <v>1</v>
      </c>
      <c r="P259" s="567">
        <f t="shared" si="10"/>
        <v>1</v>
      </c>
      <c r="Q259" s="568">
        <f t="shared" si="11"/>
        <v>1</v>
      </c>
      <c r="R259" s="688" t="s">
        <v>1954</v>
      </c>
    </row>
    <row r="260" spans="1:18" x14ac:dyDescent="0.2">
      <c r="A260" s="580" t="s">
        <v>277</v>
      </c>
      <c r="B260" s="581" t="s">
        <v>1017</v>
      </c>
      <c r="C260" s="580" t="s">
        <v>1018</v>
      </c>
      <c r="D260" s="581" t="s">
        <v>109</v>
      </c>
      <c r="E260" s="581" t="s">
        <v>979</v>
      </c>
      <c r="F260" s="582" t="s">
        <v>974</v>
      </c>
      <c r="G260" s="581" t="s">
        <v>919</v>
      </c>
      <c r="H260" s="583" t="s">
        <v>77</v>
      </c>
      <c r="I260" s="513"/>
      <c r="J260" s="583" t="s">
        <v>1023</v>
      </c>
      <c r="K260" s="589">
        <v>100</v>
      </c>
      <c r="L260" s="587"/>
      <c r="M260" s="571">
        <v>8</v>
      </c>
      <c r="N260" s="571">
        <v>8</v>
      </c>
      <c r="O260" s="566">
        <f t="shared" si="9"/>
        <v>1</v>
      </c>
      <c r="P260" s="567">
        <f t="shared" si="10"/>
        <v>1</v>
      </c>
      <c r="Q260" s="568">
        <f t="shared" si="11"/>
        <v>1</v>
      </c>
      <c r="R260" s="688" t="s">
        <v>1954</v>
      </c>
    </row>
    <row r="261" spans="1:18" ht="25.5" x14ac:dyDescent="0.2">
      <c r="A261" s="580" t="s">
        <v>277</v>
      </c>
      <c r="B261" s="581" t="s">
        <v>1017</v>
      </c>
      <c r="C261" s="580" t="s">
        <v>1018</v>
      </c>
      <c r="D261" s="581" t="s">
        <v>109</v>
      </c>
      <c r="E261" s="581" t="s">
        <v>980</v>
      </c>
      <c r="F261" s="582" t="s">
        <v>974</v>
      </c>
      <c r="G261" s="581" t="s">
        <v>925</v>
      </c>
      <c r="H261" s="583" t="s">
        <v>77</v>
      </c>
      <c r="I261" s="513"/>
      <c r="J261" s="583" t="s">
        <v>1023</v>
      </c>
      <c r="K261" s="589">
        <v>25</v>
      </c>
      <c r="L261" s="587"/>
      <c r="M261" s="571">
        <v>8</v>
      </c>
      <c r="N261" s="571">
        <v>0</v>
      </c>
      <c r="O261" s="566">
        <f t="shared" si="9"/>
        <v>0</v>
      </c>
      <c r="P261" s="567">
        <f t="shared" si="10"/>
        <v>0</v>
      </c>
      <c r="Q261" s="568">
        <f>N261/(M261*K261/100)</f>
        <v>0</v>
      </c>
      <c r="R261" s="688" t="s">
        <v>1954</v>
      </c>
    </row>
    <row r="262" spans="1:18" ht="25.5" x14ac:dyDescent="0.2">
      <c r="A262" s="580" t="s">
        <v>277</v>
      </c>
      <c r="B262" s="581" t="s">
        <v>1017</v>
      </c>
      <c r="C262" s="580" t="s">
        <v>1018</v>
      </c>
      <c r="D262" s="581" t="s">
        <v>109</v>
      </c>
      <c r="E262" s="581" t="s">
        <v>981</v>
      </c>
      <c r="F262" s="582" t="s">
        <v>974</v>
      </c>
      <c r="G262" s="581" t="s">
        <v>925</v>
      </c>
      <c r="H262" s="583" t="s">
        <v>77</v>
      </c>
      <c r="I262" s="513"/>
      <c r="J262" s="583" t="s">
        <v>1023</v>
      </c>
      <c r="K262" s="589">
        <v>25</v>
      </c>
      <c r="L262" s="587"/>
      <c r="M262" s="571">
        <v>8</v>
      </c>
      <c r="N262" s="571">
        <v>0</v>
      </c>
      <c r="O262" s="566">
        <f t="shared" ref="O262:O325" si="12">IFERROR(N262/M262,0)</f>
        <v>0</v>
      </c>
      <c r="P262" s="567">
        <f t="shared" ref="P262:P325" si="13">IFERROR(N262/(M262*(K262/100)),0)</f>
        <v>0</v>
      </c>
      <c r="Q262" s="568">
        <f t="shared" ref="Q262:Q325" si="14">N262/(M262*K262/100)</f>
        <v>0</v>
      </c>
      <c r="R262" s="688" t="s">
        <v>1954</v>
      </c>
    </row>
    <row r="263" spans="1:18" x14ac:dyDescent="0.2">
      <c r="A263" s="580" t="s">
        <v>277</v>
      </c>
      <c r="B263" s="581" t="s">
        <v>1017</v>
      </c>
      <c r="C263" s="580" t="s">
        <v>1018</v>
      </c>
      <c r="D263" s="581" t="s">
        <v>109</v>
      </c>
      <c r="E263" s="581" t="s">
        <v>982</v>
      </c>
      <c r="F263" s="590" t="s">
        <v>983</v>
      </c>
      <c r="G263" s="581" t="s">
        <v>919</v>
      </c>
      <c r="H263" s="583" t="s">
        <v>77</v>
      </c>
      <c r="I263" s="513"/>
      <c r="J263" s="583" t="s">
        <v>1023</v>
      </c>
      <c r="K263" s="589">
        <v>100</v>
      </c>
      <c r="L263" s="587"/>
      <c r="M263" s="571">
        <v>8</v>
      </c>
      <c r="N263" s="571">
        <v>8</v>
      </c>
      <c r="O263" s="566">
        <f t="shared" si="12"/>
        <v>1</v>
      </c>
      <c r="P263" s="567">
        <f t="shared" si="13"/>
        <v>1</v>
      </c>
      <c r="Q263" s="568">
        <f t="shared" si="14"/>
        <v>1</v>
      </c>
      <c r="R263" s="688" t="s">
        <v>1954</v>
      </c>
    </row>
    <row r="264" spans="1:18" x14ac:dyDescent="0.2">
      <c r="A264" s="580" t="s">
        <v>277</v>
      </c>
      <c r="B264" s="581" t="s">
        <v>1017</v>
      </c>
      <c r="C264" s="580" t="s">
        <v>1018</v>
      </c>
      <c r="D264" s="581" t="s">
        <v>109</v>
      </c>
      <c r="E264" s="581" t="s">
        <v>984</v>
      </c>
      <c r="F264" s="590" t="s">
        <v>983</v>
      </c>
      <c r="G264" s="581" t="s">
        <v>919</v>
      </c>
      <c r="H264" s="583" t="s">
        <v>77</v>
      </c>
      <c r="I264" s="513"/>
      <c r="J264" s="583" t="s">
        <v>1023</v>
      </c>
      <c r="K264" s="589">
        <v>100</v>
      </c>
      <c r="L264" s="587"/>
      <c r="M264" s="571">
        <v>8</v>
      </c>
      <c r="N264" s="571">
        <v>8</v>
      </c>
      <c r="O264" s="566">
        <f t="shared" si="12"/>
        <v>1</v>
      </c>
      <c r="P264" s="567">
        <f t="shared" si="13"/>
        <v>1</v>
      </c>
      <c r="Q264" s="568">
        <f t="shared" si="14"/>
        <v>1</v>
      </c>
      <c r="R264" s="688" t="s">
        <v>1954</v>
      </c>
    </row>
    <row r="265" spans="1:18" ht="25.5" x14ac:dyDescent="0.2">
      <c r="A265" s="580" t="s">
        <v>277</v>
      </c>
      <c r="B265" s="581" t="s">
        <v>1017</v>
      </c>
      <c r="C265" s="580" t="s">
        <v>1018</v>
      </c>
      <c r="D265" s="581" t="s">
        <v>109</v>
      </c>
      <c r="E265" s="581" t="s">
        <v>985</v>
      </c>
      <c r="F265" s="590" t="s">
        <v>970</v>
      </c>
      <c r="G265" s="581" t="s">
        <v>925</v>
      </c>
      <c r="H265" s="583" t="s">
        <v>77</v>
      </c>
      <c r="I265" s="513"/>
      <c r="J265" s="583" t="s">
        <v>1023</v>
      </c>
      <c r="K265" s="589">
        <v>33</v>
      </c>
      <c r="L265" s="587"/>
      <c r="M265" s="571">
        <v>8</v>
      </c>
      <c r="N265" s="571">
        <v>1</v>
      </c>
      <c r="O265" s="566">
        <f t="shared" si="12"/>
        <v>0.125</v>
      </c>
      <c r="P265" s="567">
        <f t="shared" si="13"/>
        <v>0.37878787878787878</v>
      </c>
      <c r="Q265" s="568">
        <f t="shared" si="14"/>
        <v>0.37878787878787878</v>
      </c>
      <c r="R265" s="688" t="s">
        <v>1954</v>
      </c>
    </row>
    <row r="266" spans="1:18" ht="25.5" x14ac:dyDescent="0.2">
      <c r="A266" s="580" t="s">
        <v>277</v>
      </c>
      <c r="B266" s="581" t="s">
        <v>1017</v>
      </c>
      <c r="C266" s="580" t="s">
        <v>1018</v>
      </c>
      <c r="D266" s="581" t="s">
        <v>109</v>
      </c>
      <c r="E266" s="581" t="s">
        <v>986</v>
      </c>
      <c r="F266" s="590" t="s">
        <v>970</v>
      </c>
      <c r="G266" s="581" t="s">
        <v>925</v>
      </c>
      <c r="H266" s="583" t="s">
        <v>77</v>
      </c>
      <c r="I266" s="513"/>
      <c r="J266" s="583" t="s">
        <v>1023</v>
      </c>
      <c r="K266" s="589">
        <v>33</v>
      </c>
      <c r="L266" s="587"/>
      <c r="M266" s="571">
        <v>8</v>
      </c>
      <c r="N266" s="571">
        <v>1</v>
      </c>
      <c r="O266" s="566">
        <f t="shared" si="12"/>
        <v>0.125</v>
      </c>
      <c r="P266" s="567">
        <f t="shared" si="13"/>
        <v>0.37878787878787878</v>
      </c>
      <c r="Q266" s="568">
        <f t="shared" si="14"/>
        <v>0.37878787878787878</v>
      </c>
      <c r="R266" s="688" t="s">
        <v>1954</v>
      </c>
    </row>
    <row r="267" spans="1:18" ht="25.5" x14ac:dyDescent="0.2">
      <c r="A267" s="580" t="s">
        <v>277</v>
      </c>
      <c r="B267" s="581" t="s">
        <v>1017</v>
      </c>
      <c r="C267" s="580" t="s">
        <v>1018</v>
      </c>
      <c r="D267" s="581" t="s">
        <v>109</v>
      </c>
      <c r="E267" s="581" t="s">
        <v>987</v>
      </c>
      <c r="F267" s="590" t="s">
        <v>970</v>
      </c>
      <c r="G267" s="581" t="s">
        <v>925</v>
      </c>
      <c r="H267" s="583" t="s">
        <v>77</v>
      </c>
      <c r="I267" s="513"/>
      <c r="J267" s="583" t="s">
        <v>1023</v>
      </c>
      <c r="K267" s="589">
        <v>33</v>
      </c>
      <c r="L267" s="587"/>
      <c r="M267" s="571">
        <v>8</v>
      </c>
      <c r="N267" s="571">
        <v>1</v>
      </c>
      <c r="O267" s="566">
        <f t="shared" si="12"/>
        <v>0.125</v>
      </c>
      <c r="P267" s="567">
        <f t="shared" si="13"/>
        <v>0.37878787878787878</v>
      </c>
      <c r="Q267" s="568">
        <f t="shared" si="14"/>
        <v>0.37878787878787878</v>
      </c>
      <c r="R267" s="688" t="s">
        <v>1954</v>
      </c>
    </row>
    <row r="268" spans="1:18" ht="25.5" x14ac:dyDescent="0.2">
      <c r="A268" s="580" t="s">
        <v>277</v>
      </c>
      <c r="B268" s="581" t="s">
        <v>1017</v>
      </c>
      <c r="C268" s="580" t="s">
        <v>1018</v>
      </c>
      <c r="D268" s="581" t="s">
        <v>109</v>
      </c>
      <c r="E268" s="581" t="s">
        <v>988</v>
      </c>
      <c r="F268" s="590" t="s">
        <v>970</v>
      </c>
      <c r="G268" s="581" t="s">
        <v>925</v>
      </c>
      <c r="H268" s="583" t="s">
        <v>77</v>
      </c>
      <c r="I268" s="513"/>
      <c r="J268" s="583" t="s">
        <v>1023</v>
      </c>
      <c r="K268" s="589">
        <v>33</v>
      </c>
      <c r="L268" s="587"/>
      <c r="M268" s="571">
        <v>8</v>
      </c>
      <c r="N268" s="571">
        <v>1</v>
      </c>
      <c r="O268" s="566">
        <f t="shared" si="12"/>
        <v>0.125</v>
      </c>
      <c r="P268" s="567">
        <f t="shared" si="13"/>
        <v>0.37878787878787878</v>
      </c>
      <c r="Q268" s="568">
        <f t="shared" si="14"/>
        <v>0.37878787878787878</v>
      </c>
      <c r="R268" s="688" t="s">
        <v>1954</v>
      </c>
    </row>
    <row r="269" spans="1:18" ht="25.5" x14ac:dyDescent="0.2">
      <c r="A269" s="580" t="s">
        <v>277</v>
      </c>
      <c r="B269" s="581" t="s">
        <v>1017</v>
      </c>
      <c r="C269" s="580" t="s">
        <v>1018</v>
      </c>
      <c r="D269" s="581" t="s">
        <v>109</v>
      </c>
      <c r="E269" s="581" t="s">
        <v>989</v>
      </c>
      <c r="F269" s="590" t="s">
        <v>970</v>
      </c>
      <c r="G269" s="581" t="s">
        <v>925</v>
      </c>
      <c r="H269" s="583" t="s">
        <v>77</v>
      </c>
      <c r="I269" s="513"/>
      <c r="J269" s="583" t="s">
        <v>1023</v>
      </c>
      <c r="K269" s="589">
        <v>33</v>
      </c>
      <c r="L269" s="587"/>
      <c r="M269" s="571">
        <v>8</v>
      </c>
      <c r="N269" s="571">
        <v>1</v>
      </c>
      <c r="O269" s="566">
        <f t="shared" si="12"/>
        <v>0.125</v>
      </c>
      <c r="P269" s="567">
        <f t="shared" si="13"/>
        <v>0.37878787878787878</v>
      </c>
      <c r="Q269" s="568">
        <f t="shared" si="14"/>
        <v>0.37878787878787878</v>
      </c>
      <c r="R269" s="688" t="s">
        <v>1954</v>
      </c>
    </row>
    <row r="270" spans="1:18" ht="25.5" x14ac:dyDescent="0.2">
      <c r="A270" s="580" t="s">
        <v>277</v>
      </c>
      <c r="B270" s="581" t="s">
        <v>1017</v>
      </c>
      <c r="C270" s="580" t="s">
        <v>1018</v>
      </c>
      <c r="D270" s="581" t="s">
        <v>109</v>
      </c>
      <c r="E270" s="581" t="s">
        <v>990</v>
      </c>
      <c r="F270" s="590" t="s">
        <v>970</v>
      </c>
      <c r="G270" s="581" t="s">
        <v>925</v>
      </c>
      <c r="H270" s="583" t="s">
        <v>77</v>
      </c>
      <c r="I270" s="513"/>
      <c r="J270" s="583" t="s">
        <v>1023</v>
      </c>
      <c r="K270" s="589">
        <v>33</v>
      </c>
      <c r="L270" s="587"/>
      <c r="M270" s="571">
        <v>8</v>
      </c>
      <c r="N270" s="571">
        <v>1</v>
      </c>
      <c r="O270" s="566">
        <f t="shared" si="12"/>
        <v>0.125</v>
      </c>
      <c r="P270" s="567">
        <f t="shared" si="13"/>
        <v>0.37878787878787878</v>
      </c>
      <c r="Q270" s="568">
        <f t="shared" si="14"/>
        <v>0.37878787878787878</v>
      </c>
      <c r="R270" s="688" t="s">
        <v>1954</v>
      </c>
    </row>
    <row r="271" spans="1:18" x14ac:dyDescent="0.2">
      <c r="A271" s="580" t="s">
        <v>277</v>
      </c>
      <c r="B271" s="581" t="s">
        <v>1017</v>
      </c>
      <c r="C271" s="580" t="s">
        <v>1018</v>
      </c>
      <c r="D271" s="581" t="s">
        <v>109</v>
      </c>
      <c r="E271" s="581" t="s">
        <v>991</v>
      </c>
      <c r="F271" s="590" t="s">
        <v>974</v>
      </c>
      <c r="G271" s="581" t="s">
        <v>919</v>
      </c>
      <c r="H271" s="583" t="s">
        <v>77</v>
      </c>
      <c r="I271" s="513"/>
      <c r="J271" s="583" t="s">
        <v>1023</v>
      </c>
      <c r="K271" s="589">
        <v>100</v>
      </c>
      <c r="L271" s="587"/>
      <c r="M271" s="571">
        <v>8</v>
      </c>
      <c r="N271" s="571">
        <v>8</v>
      </c>
      <c r="O271" s="566">
        <f t="shared" si="12"/>
        <v>1</v>
      </c>
      <c r="P271" s="567">
        <f t="shared" si="13"/>
        <v>1</v>
      </c>
      <c r="Q271" s="568">
        <f t="shared" si="14"/>
        <v>1</v>
      </c>
      <c r="R271" s="688" t="s">
        <v>1954</v>
      </c>
    </row>
    <row r="272" spans="1:18" x14ac:dyDescent="0.2">
      <c r="A272" s="580" t="s">
        <v>277</v>
      </c>
      <c r="B272" s="581" t="s">
        <v>1017</v>
      </c>
      <c r="C272" s="580" t="s">
        <v>1018</v>
      </c>
      <c r="D272" s="581" t="s">
        <v>109</v>
      </c>
      <c r="E272" s="581" t="s">
        <v>992</v>
      </c>
      <c r="F272" s="590" t="s">
        <v>974</v>
      </c>
      <c r="G272" s="581" t="s">
        <v>919</v>
      </c>
      <c r="H272" s="583" t="s">
        <v>77</v>
      </c>
      <c r="I272" s="513"/>
      <c r="J272" s="583" t="s">
        <v>1023</v>
      </c>
      <c r="K272" s="589">
        <v>100</v>
      </c>
      <c r="L272" s="587"/>
      <c r="M272" s="571">
        <v>8</v>
      </c>
      <c r="N272" s="571">
        <v>8</v>
      </c>
      <c r="O272" s="566">
        <f t="shared" si="12"/>
        <v>1</v>
      </c>
      <c r="P272" s="567">
        <f t="shared" si="13"/>
        <v>1</v>
      </c>
      <c r="Q272" s="568">
        <f t="shared" si="14"/>
        <v>1</v>
      </c>
      <c r="R272" s="688" t="s">
        <v>1954</v>
      </c>
    </row>
    <row r="273" spans="1:18" ht="25.5" x14ac:dyDescent="0.2">
      <c r="A273" s="580" t="s">
        <v>277</v>
      </c>
      <c r="B273" s="581" t="s">
        <v>1017</v>
      </c>
      <c r="C273" s="580" t="s">
        <v>1018</v>
      </c>
      <c r="D273" s="581" t="s">
        <v>109</v>
      </c>
      <c r="E273" s="581" t="s">
        <v>993</v>
      </c>
      <c r="F273" s="590" t="s">
        <v>974</v>
      </c>
      <c r="G273" s="581" t="s">
        <v>919</v>
      </c>
      <c r="H273" s="583" t="s">
        <v>77</v>
      </c>
      <c r="I273" s="513"/>
      <c r="J273" s="583" t="s">
        <v>1023</v>
      </c>
      <c r="K273" s="589">
        <v>100</v>
      </c>
      <c r="L273" s="587"/>
      <c r="M273" s="571">
        <v>8</v>
      </c>
      <c r="N273" s="571">
        <v>8</v>
      </c>
      <c r="O273" s="566">
        <f t="shared" si="12"/>
        <v>1</v>
      </c>
      <c r="P273" s="567">
        <f t="shared" si="13"/>
        <v>1</v>
      </c>
      <c r="Q273" s="568">
        <f t="shared" si="14"/>
        <v>1</v>
      </c>
      <c r="R273" s="688" t="s">
        <v>1954</v>
      </c>
    </row>
    <row r="274" spans="1:18" ht="25.5" x14ac:dyDescent="0.2">
      <c r="A274" s="580" t="s">
        <v>277</v>
      </c>
      <c r="B274" s="581" t="s">
        <v>1017</v>
      </c>
      <c r="C274" s="580" t="s">
        <v>1018</v>
      </c>
      <c r="D274" s="581" t="s">
        <v>109</v>
      </c>
      <c r="E274" s="581" t="s">
        <v>994</v>
      </c>
      <c r="F274" s="582" t="s">
        <v>969</v>
      </c>
      <c r="G274" s="581" t="s">
        <v>919</v>
      </c>
      <c r="H274" s="583" t="s">
        <v>77</v>
      </c>
      <c r="I274" s="513"/>
      <c r="J274" s="583" t="s">
        <v>1023</v>
      </c>
      <c r="K274" s="589">
        <v>100</v>
      </c>
      <c r="L274" s="585" t="s">
        <v>1024</v>
      </c>
      <c r="M274" s="571">
        <v>8</v>
      </c>
      <c r="N274" s="571">
        <v>8</v>
      </c>
      <c r="O274" s="566">
        <f t="shared" si="12"/>
        <v>1</v>
      </c>
      <c r="P274" s="567">
        <f t="shared" si="13"/>
        <v>1</v>
      </c>
      <c r="Q274" s="568">
        <f t="shared" si="14"/>
        <v>1</v>
      </c>
      <c r="R274" s="688" t="s">
        <v>1954</v>
      </c>
    </row>
    <row r="275" spans="1:18" ht="25.5" x14ac:dyDescent="0.2">
      <c r="A275" s="580" t="s">
        <v>277</v>
      </c>
      <c r="B275" s="581" t="s">
        <v>1017</v>
      </c>
      <c r="C275" s="580" t="s">
        <v>1018</v>
      </c>
      <c r="D275" s="581" t="s">
        <v>109</v>
      </c>
      <c r="E275" s="581" t="s">
        <v>994</v>
      </c>
      <c r="F275" s="582" t="s">
        <v>970</v>
      </c>
      <c r="G275" s="581" t="s">
        <v>925</v>
      </c>
      <c r="H275" s="583" t="s">
        <v>77</v>
      </c>
      <c r="I275" s="513"/>
      <c r="J275" s="583" t="s">
        <v>1023</v>
      </c>
      <c r="K275" s="589">
        <v>33</v>
      </c>
      <c r="L275" s="587"/>
      <c r="M275" s="571">
        <v>8</v>
      </c>
      <c r="N275" s="571">
        <v>8</v>
      </c>
      <c r="O275" s="566">
        <f t="shared" si="12"/>
        <v>1</v>
      </c>
      <c r="P275" s="567">
        <f t="shared" si="13"/>
        <v>3.0303030303030303</v>
      </c>
      <c r="Q275" s="568">
        <f t="shared" si="14"/>
        <v>3.0303030303030303</v>
      </c>
      <c r="R275" s="688" t="s">
        <v>1954</v>
      </c>
    </row>
    <row r="276" spans="1:18" ht="25.5" x14ac:dyDescent="0.2">
      <c r="A276" s="580" t="s">
        <v>277</v>
      </c>
      <c r="B276" s="581" t="s">
        <v>1017</v>
      </c>
      <c r="C276" s="580" t="s">
        <v>1018</v>
      </c>
      <c r="D276" s="581" t="s">
        <v>109</v>
      </c>
      <c r="E276" s="581" t="s">
        <v>995</v>
      </c>
      <c r="F276" s="590" t="s">
        <v>974</v>
      </c>
      <c r="G276" s="581" t="s">
        <v>925</v>
      </c>
      <c r="H276" s="583" t="s">
        <v>77</v>
      </c>
      <c r="I276" s="513"/>
      <c r="J276" s="583" t="s">
        <v>1023</v>
      </c>
      <c r="K276" s="589">
        <v>25</v>
      </c>
      <c r="L276" s="587"/>
      <c r="M276" s="571">
        <v>8</v>
      </c>
      <c r="N276" s="571">
        <v>0</v>
      </c>
      <c r="O276" s="566">
        <f t="shared" si="12"/>
        <v>0</v>
      </c>
      <c r="P276" s="567">
        <f t="shared" si="13"/>
        <v>0</v>
      </c>
      <c r="Q276" s="568">
        <f t="shared" si="14"/>
        <v>0</v>
      </c>
      <c r="R276" s="688" t="s">
        <v>1954</v>
      </c>
    </row>
    <row r="277" spans="1:18" ht="38.25" x14ac:dyDescent="0.2">
      <c r="A277" s="580" t="s">
        <v>277</v>
      </c>
      <c r="B277" s="581" t="s">
        <v>1017</v>
      </c>
      <c r="C277" s="580" t="s">
        <v>1018</v>
      </c>
      <c r="D277" s="581" t="s">
        <v>109</v>
      </c>
      <c r="E277" s="581" t="s">
        <v>996</v>
      </c>
      <c r="F277" s="590" t="s">
        <v>974</v>
      </c>
      <c r="G277" s="581" t="s">
        <v>925</v>
      </c>
      <c r="H277" s="583" t="s">
        <v>77</v>
      </c>
      <c r="I277" s="513"/>
      <c r="J277" s="583" t="s">
        <v>1023</v>
      </c>
      <c r="K277" s="589">
        <v>25</v>
      </c>
      <c r="L277" s="587"/>
      <c r="M277" s="571">
        <v>8</v>
      </c>
      <c r="N277" s="571">
        <v>0</v>
      </c>
      <c r="O277" s="566">
        <f t="shared" si="12"/>
        <v>0</v>
      </c>
      <c r="P277" s="567">
        <f t="shared" si="13"/>
        <v>0</v>
      </c>
      <c r="Q277" s="568">
        <f t="shared" si="14"/>
        <v>0</v>
      </c>
      <c r="R277" s="688" t="s">
        <v>1954</v>
      </c>
    </row>
    <row r="278" spans="1:18" ht="38.25" x14ac:dyDescent="0.2">
      <c r="A278" s="580" t="s">
        <v>277</v>
      </c>
      <c r="B278" s="581" t="s">
        <v>1017</v>
      </c>
      <c r="C278" s="580" t="s">
        <v>1018</v>
      </c>
      <c r="D278" s="581" t="s">
        <v>109</v>
      </c>
      <c r="E278" s="581" t="s">
        <v>997</v>
      </c>
      <c r="F278" s="590" t="s">
        <v>974</v>
      </c>
      <c r="G278" s="581" t="s">
        <v>919</v>
      </c>
      <c r="H278" s="583" t="s">
        <v>77</v>
      </c>
      <c r="I278" s="513"/>
      <c r="J278" s="583" t="s">
        <v>1023</v>
      </c>
      <c r="K278" s="589">
        <v>100</v>
      </c>
      <c r="L278" s="587"/>
      <c r="M278" s="571">
        <v>8</v>
      </c>
      <c r="N278" s="571">
        <v>8</v>
      </c>
      <c r="O278" s="566">
        <f t="shared" si="12"/>
        <v>1</v>
      </c>
      <c r="P278" s="567">
        <f t="shared" si="13"/>
        <v>1</v>
      </c>
      <c r="Q278" s="568">
        <f t="shared" si="14"/>
        <v>1</v>
      </c>
      <c r="R278" s="688" t="s">
        <v>1954</v>
      </c>
    </row>
    <row r="279" spans="1:18" x14ac:dyDescent="0.2">
      <c r="A279" s="580" t="s">
        <v>277</v>
      </c>
      <c r="B279" s="581" t="s">
        <v>1017</v>
      </c>
      <c r="C279" s="580" t="s">
        <v>1018</v>
      </c>
      <c r="D279" s="581" t="s">
        <v>946</v>
      </c>
      <c r="E279" s="581" t="s">
        <v>998</v>
      </c>
      <c r="F279" s="590" t="s">
        <v>974</v>
      </c>
      <c r="G279" s="581" t="s">
        <v>919</v>
      </c>
      <c r="H279" s="583" t="s">
        <v>77</v>
      </c>
      <c r="I279" s="513"/>
      <c r="J279" s="583" t="s">
        <v>1023</v>
      </c>
      <c r="K279" s="589">
        <v>100</v>
      </c>
      <c r="L279" s="587"/>
      <c r="M279" s="571">
        <v>8</v>
      </c>
      <c r="N279" s="571">
        <v>8</v>
      </c>
      <c r="O279" s="566">
        <f t="shared" si="12"/>
        <v>1</v>
      </c>
      <c r="P279" s="567">
        <f t="shared" si="13"/>
        <v>1</v>
      </c>
      <c r="Q279" s="568">
        <f t="shared" si="14"/>
        <v>1</v>
      </c>
      <c r="R279" s="688" t="s">
        <v>1954</v>
      </c>
    </row>
    <row r="280" spans="1:18" x14ac:dyDescent="0.2">
      <c r="A280" s="580" t="s">
        <v>277</v>
      </c>
      <c r="B280" s="581" t="s">
        <v>1017</v>
      </c>
      <c r="C280" s="580" t="s">
        <v>1018</v>
      </c>
      <c r="D280" s="581" t="s">
        <v>946</v>
      </c>
      <c r="E280" s="581" t="s">
        <v>999</v>
      </c>
      <c r="F280" s="590" t="s">
        <v>974</v>
      </c>
      <c r="G280" s="581" t="s">
        <v>919</v>
      </c>
      <c r="H280" s="583" t="s">
        <v>77</v>
      </c>
      <c r="I280" s="513"/>
      <c r="J280" s="583" t="s">
        <v>1023</v>
      </c>
      <c r="K280" s="589">
        <v>100</v>
      </c>
      <c r="L280" s="587"/>
      <c r="M280" s="571">
        <v>8</v>
      </c>
      <c r="N280" s="571">
        <v>8</v>
      </c>
      <c r="O280" s="566">
        <f t="shared" si="12"/>
        <v>1</v>
      </c>
      <c r="P280" s="567">
        <f t="shared" si="13"/>
        <v>1</v>
      </c>
      <c r="Q280" s="568">
        <f t="shared" si="14"/>
        <v>1</v>
      </c>
      <c r="R280" s="688" t="s">
        <v>1954</v>
      </c>
    </row>
    <row r="281" spans="1:18" ht="25.5" x14ac:dyDescent="0.2">
      <c r="A281" s="580" t="s">
        <v>277</v>
      </c>
      <c r="B281" s="581" t="s">
        <v>1017</v>
      </c>
      <c r="C281" s="580" t="s">
        <v>1018</v>
      </c>
      <c r="D281" s="581" t="s">
        <v>946</v>
      </c>
      <c r="E281" s="581" t="s">
        <v>1000</v>
      </c>
      <c r="F281" s="590" t="s">
        <v>974</v>
      </c>
      <c r="G281" s="581" t="s">
        <v>925</v>
      </c>
      <c r="H281" s="583" t="s">
        <v>77</v>
      </c>
      <c r="I281" s="513"/>
      <c r="J281" s="583" t="s">
        <v>1023</v>
      </c>
      <c r="K281" s="589">
        <v>25</v>
      </c>
      <c r="L281" s="587"/>
      <c r="M281" s="571">
        <v>8</v>
      </c>
      <c r="N281" s="571">
        <v>0</v>
      </c>
      <c r="O281" s="566">
        <f t="shared" si="12"/>
        <v>0</v>
      </c>
      <c r="P281" s="567">
        <f t="shared" si="13"/>
        <v>0</v>
      </c>
      <c r="Q281" s="568">
        <f t="shared" si="14"/>
        <v>0</v>
      </c>
      <c r="R281" s="688" t="s">
        <v>1954</v>
      </c>
    </row>
    <row r="282" spans="1:18" ht="25.5" x14ac:dyDescent="0.2">
      <c r="A282" s="580" t="s">
        <v>277</v>
      </c>
      <c r="B282" s="581" t="s">
        <v>1017</v>
      </c>
      <c r="C282" s="580" t="s">
        <v>1018</v>
      </c>
      <c r="D282" s="581" t="s">
        <v>946</v>
      </c>
      <c r="E282" s="581" t="s">
        <v>1001</v>
      </c>
      <c r="F282" s="590" t="s">
        <v>974</v>
      </c>
      <c r="G282" s="581" t="s">
        <v>925</v>
      </c>
      <c r="H282" s="583" t="s">
        <v>77</v>
      </c>
      <c r="I282" s="513"/>
      <c r="J282" s="583" t="s">
        <v>1023</v>
      </c>
      <c r="K282" s="589">
        <v>25</v>
      </c>
      <c r="L282" s="587"/>
      <c r="M282" s="571">
        <v>8</v>
      </c>
      <c r="N282" s="571">
        <v>0</v>
      </c>
      <c r="O282" s="566">
        <f t="shared" si="12"/>
        <v>0</v>
      </c>
      <c r="P282" s="567">
        <f t="shared" si="13"/>
        <v>0</v>
      </c>
      <c r="Q282" s="568">
        <f t="shared" si="14"/>
        <v>0</v>
      </c>
      <c r="R282" s="688" t="s">
        <v>1954</v>
      </c>
    </row>
    <row r="283" spans="1:18" ht="25.5" x14ac:dyDescent="0.2">
      <c r="A283" s="580" t="s">
        <v>277</v>
      </c>
      <c r="B283" s="581" t="s">
        <v>1017</v>
      </c>
      <c r="C283" s="580" t="s">
        <v>1018</v>
      </c>
      <c r="D283" s="581" t="s">
        <v>946</v>
      </c>
      <c r="E283" s="581" t="s">
        <v>1002</v>
      </c>
      <c r="F283" s="590" t="s">
        <v>974</v>
      </c>
      <c r="G283" s="581" t="s">
        <v>925</v>
      </c>
      <c r="H283" s="583" t="s">
        <v>77</v>
      </c>
      <c r="I283" s="513"/>
      <c r="J283" s="583" t="s">
        <v>1023</v>
      </c>
      <c r="K283" s="589">
        <v>25</v>
      </c>
      <c r="L283" s="587"/>
      <c r="M283" s="571">
        <v>8</v>
      </c>
      <c r="N283" s="571">
        <v>0</v>
      </c>
      <c r="O283" s="566">
        <f t="shared" si="12"/>
        <v>0</v>
      </c>
      <c r="P283" s="567">
        <f t="shared" si="13"/>
        <v>0</v>
      </c>
      <c r="Q283" s="568">
        <f t="shared" si="14"/>
        <v>0</v>
      </c>
      <c r="R283" s="688" t="s">
        <v>1954</v>
      </c>
    </row>
    <row r="284" spans="1:18" ht="25.5" x14ac:dyDescent="0.2">
      <c r="A284" s="580" t="s">
        <v>277</v>
      </c>
      <c r="B284" s="581" t="s">
        <v>1017</v>
      </c>
      <c r="C284" s="580" t="s">
        <v>1018</v>
      </c>
      <c r="D284" s="581" t="s">
        <v>946</v>
      </c>
      <c r="E284" s="581" t="s">
        <v>1003</v>
      </c>
      <c r="F284" s="590" t="s">
        <v>974</v>
      </c>
      <c r="G284" s="581" t="s">
        <v>925</v>
      </c>
      <c r="H284" s="583" t="s">
        <v>77</v>
      </c>
      <c r="I284" s="513"/>
      <c r="J284" s="583" t="s">
        <v>1023</v>
      </c>
      <c r="K284" s="589">
        <v>25</v>
      </c>
      <c r="L284" s="587"/>
      <c r="M284" s="571">
        <v>8</v>
      </c>
      <c r="N284" s="571">
        <v>0</v>
      </c>
      <c r="O284" s="566">
        <f t="shared" si="12"/>
        <v>0</v>
      </c>
      <c r="P284" s="567">
        <f t="shared" si="13"/>
        <v>0</v>
      </c>
      <c r="Q284" s="568">
        <f t="shared" si="14"/>
        <v>0</v>
      </c>
      <c r="R284" s="688" t="s">
        <v>1954</v>
      </c>
    </row>
    <row r="285" spans="1:18" ht="25.5" x14ac:dyDescent="0.2">
      <c r="A285" s="580" t="s">
        <v>277</v>
      </c>
      <c r="B285" s="581" t="s">
        <v>1017</v>
      </c>
      <c r="C285" s="580" t="s">
        <v>1018</v>
      </c>
      <c r="D285" s="581" t="s">
        <v>946</v>
      </c>
      <c r="E285" s="581" t="s">
        <v>1004</v>
      </c>
      <c r="F285" s="582" t="s">
        <v>974</v>
      </c>
      <c r="G285" s="581" t="s">
        <v>919</v>
      </c>
      <c r="H285" s="583" t="s">
        <v>77</v>
      </c>
      <c r="I285" s="513"/>
      <c r="J285" s="583" t="s">
        <v>1023</v>
      </c>
      <c r="K285" s="589">
        <v>100</v>
      </c>
      <c r="L285" s="587"/>
      <c r="M285" s="571">
        <v>8</v>
      </c>
      <c r="N285" s="571">
        <v>8</v>
      </c>
      <c r="O285" s="566">
        <f t="shared" si="12"/>
        <v>1</v>
      </c>
      <c r="P285" s="567">
        <f t="shared" si="13"/>
        <v>1</v>
      </c>
      <c r="Q285" s="568">
        <f t="shared" si="14"/>
        <v>1</v>
      </c>
      <c r="R285" s="688" t="s">
        <v>1954</v>
      </c>
    </row>
    <row r="286" spans="1:18" ht="25.5" x14ac:dyDescent="0.2">
      <c r="A286" s="580" t="s">
        <v>277</v>
      </c>
      <c r="B286" s="581" t="s">
        <v>1017</v>
      </c>
      <c r="C286" s="580" t="s">
        <v>1018</v>
      </c>
      <c r="D286" s="581" t="s">
        <v>946</v>
      </c>
      <c r="E286" s="581" t="s">
        <v>1004</v>
      </c>
      <c r="F286" s="582" t="s">
        <v>970</v>
      </c>
      <c r="G286" s="581" t="s">
        <v>1005</v>
      </c>
      <c r="H286" s="583" t="s">
        <v>77</v>
      </c>
      <c r="I286" s="513"/>
      <c r="J286" s="583" t="s">
        <v>1023</v>
      </c>
      <c r="K286" s="589">
        <v>33</v>
      </c>
      <c r="L286" s="587"/>
      <c r="M286" s="571">
        <v>8</v>
      </c>
      <c r="N286" s="571">
        <v>8</v>
      </c>
      <c r="O286" s="566">
        <f t="shared" si="12"/>
        <v>1</v>
      </c>
      <c r="P286" s="567">
        <f t="shared" si="13"/>
        <v>3.0303030303030303</v>
      </c>
      <c r="Q286" s="568">
        <f t="shared" si="14"/>
        <v>3.0303030303030303</v>
      </c>
      <c r="R286" s="688" t="s">
        <v>1954</v>
      </c>
    </row>
    <row r="287" spans="1:18" ht="25.5" x14ac:dyDescent="0.2">
      <c r="A287" s="580" t="s">
        <v>277</v>
      </c>
      <c r="B287" s="581" t="s">
        <v>1017</v>
      </c>
      <c r="C287" s="580" t="s">
        <v>1018</v>
      </c>
      <c r="D287" s="581" t="s">
        <v>946</v>
      </c>
      <c r="E287" s="581" t="s">
        <v>954</v>
      </c>
      <c r="F287" s="582" t="s">
        <v>974</v>
      </c>
      <c r="G287" s="581" t="s">
        <v>1006</v>
      </c>
      <c r="H287" s="583" t="s">
        <v>77</v>
      </c>
      <c r="I287" s="513"/>
      <c r="J287" s="583" t="s">
        <v>1023</v>
      </c>
      <c r="K287" s="589">
        <v>100</v>
      </c>
      <c r="L287" s="585" t="s">
        <v>1024</v>
      </c>
      <c r="M287" s="571">
        <v>8</v>
      </c>
      <c r="N287" s="571">
        <v>8</v>
      </c>
      <c r="O287" s="566">
        <f t="shared" si="12"/>
        <v>1</v>
      </c>
      <c r="P287" s="567">
        <f t="shared" si="13"/>
        <v>1</v>
      </c>
      <c r="Q287" s="568">
        <f t="shared" si="14"/>
        <v>1</v>
      </c>
      <c r="R287" s="688" t="s">
        <v>1954</v>
      </c>
    </row>
    <row r="288" spans="1:18" x14ac:dyDescent="0.2">
      <c r="A288" s="580" t="s">
        <v>277</v>
      </c>
      <c r="B288" s="581" t="s">
        <v>1017</v>
      </c>
      <c r="C288" s="580" t="s">
        <v>1018</v>
      </c>
      <c r="D288" s="581" t="s">
        <v>946</v>
      </c>
      <c r="E288" s="581" t="s">
        <v>954</v>
      </c>
      <c r="F288" s="582" t="s">
        <v>970</v>
      </c>
      <c r="G288" s="581" t="s">
        <v>1005</v>
      </c>
      <c r="H288" s="583" t="s">
        <v>77</v>
      </c>
      <c r="I288" s="513"/>
      <c r="J288" s="583" t="s">
        <v>1023</v>
      </c>
      <c r="K288" s="589">
        <v>33</v>
      </c>
      <c r="L288" s="587"/>
      <c r="M288" s="571">
        <v>8</v>
      </c>
      <c r="N288" s="571">
        <v>8</v>
      </c>
      <c r="O288" s="566">
        <f t="shared" si="12"/>
        <v>1</v>
      </c>
      <c r="P288" s="567">
        <f t="shared" si="13"/>
        <v>3.0303030303030303</v>
      </c>
      <c r="Q288" s="568">
        <f t="shared" si="14"/>
        <v>3.0303030303030303</v>
      </c>
      <c r="R288" s="688" t="s">
        <v>1954</v>
      </c>
    </row>
    <row r="289" spans="1:18" ht="25.5" x14ac:dyDescent="0.2">
      <c r="A289" s="580" t="s">
        <v>277</v>
      </c>
      <c r="B289" s="581" t="s">
        <v>1017</v>
      </c>
      <c r="C289" s="580" t="s">
        <v>1018</v>
      </c>
      <c r="D289" s="581" t="s">
        <v>946</v>
      </c>
      <c r="E289" s="581" t="s">
        <v>1007</v>
      </c>
      <c r="F289" s="582" t="s">
        <v>974</v>
      </c>
      <c r="G289" s="581" t="s">
        <v>919</v>
      </c>
      <c r="H289" s="583" t="s">
        <v>77</v>
      </c>
      <c r="I289" s="513"/>
      <c r="J289" s="583" t="s">
        <v>1023</v>
      </c>
      <c r="K289" s="589">
        <v>100</v>
      </c>
      <c r="L289" s="587"/>
      <c r="M289" s="571">
        <v>8</v>
      </c>
      <c r="N289" s="571">
        <v>8</v>
      </c>
      <c r="O289" s="566">
        <f t="shared" si="12"/>
        <v>1</v>
      </c>
      <c r="P289" s="567">
        <f t="shared" si="13"/>
        <v>1</v>
      </c>
      <c r="Q289" s="568">
        <f t="shared" si="14"/>
        <v>1</v>
      </c>
      <c r="R289" s="688" t="s">
        <v>1954</v>
      </c>
    </row>
    <row r="290" spans="1:18" ht="25.5" x14ac:dyDescent="0.2">
      <c r="A290" s="580" t="s">
        <v>277</v>
      </c>
      <c r="B290" s="581" t="s">
        <v>1017</v>
      </c>
      <c r="C290" s="580" t="s">
        <v>1018</v>
      </c>
      <c r="D290" s="581" t="s">
        <v>1008</v>
      </c>
      <c r="E290" s="581" t="s">
        <v>1007</v>
      </c>
      <c r="F290" s="582" t="s">
        <v>1009</v>
      </c>
      <c r="G290" s="581" t="s">
        <v>919</v>
      </c>
      <c r="H290" s="583" t="s">
        <v>77</v>
      </c>
      <c r="I290" s="513"/>
      <c r="J290" s="583" t="s">
        <v>1023</v>
      </c>
      <c r="K290" s="589">
        <v>100</v>
      </c>
      <c r="L290" s="587"/>
      <c r="M290" s="571">
        <v>8</v>
      </c>
      <c r="N290" s="571">
        <v>8</v>
      </c>
      <c r="O290" s="566">
        <f t="shared" si="12"/>
        <v>1</v>
      </c>
      <c r="P290" s="567">
        <f t="shared" si="13"/>
        <v>1</v>
      </c>
      <c r="Q290" s="568">
        <f t="shared" si="14"/>
        <v>1</v>
      </c>
      <c r="R290" s="688" t="s">
        <v>1954</v>
      </c>
    </row>
    <row r="291" spans="1:18" x14ac:dyDescent="0.2">
      <c r="A291" s="580" t="s">
        <v>277</v>
      </c>
      <c r="B291" s="581" t="s">
        <v>1017</v>
      </c>
      <c r="C291" s="580" t="s">
        <v>1018</v>
      </c>
      <c r="D291" s="581" t="s">
        <v>1008</v>
      </c>
      <c r="E291" s="581" t="s">
        <v>1010</v>
      </c>
      <c r="F291" s="582" t="s">
        <v>974</v>
      </c>
      <c r="G291" s="581" t="s">
        <v>919</v>
      </c>
      <c r="H291" s="583" t="s">
        <v>77</v>
      </c>
      <c r="I291" s="513"/>
      <c r="J291" s="583" t="s">
        <v>1023</v>
      </c>
      <c r="K291" s="589">
        <v>100</v>
      </c>
      <c r="L291" s="587"/>
      <c r="M291" s="571">
        <v>8</v>
      </c>
      <c r="N291" s="571">
        <v>8</v>
      </c>
      <c r="O291" s="566">
        <f t="shared" si="12"/>
        <v>1</v>
      </c>
      <c r="P291" s="567">
        <f t="shared" si="13"/>
        <v>1</v>
      </c>
      <c r="Q291" s="568">
        <f t="shared" si="14"/>
        <v>1</v>
      </c>
      <c r="R291" s="688" t="s">
        <v>1954</v>
      </c>
    </row>
    <row r="292" spans="1:18" ht="25.5" x14ac:dyDescent="0.2">
      <c r="A292" s="580" t="s">
        <v>277</v>
      </c>
      <c r="B292" s="581" t="s">
        <v>1019</v>
      </c>
      <c r="C292" s="580" t="s">
        <v>1018</v>
      </c>
      <c r="D292" s="581" t="s">
        <v>109</v>
      </c>
      <c r="E292" s="581" t="s">
        <v>968</v>
      </c>
      <c r="F292" s="582" t="s">
        <v>969</v>
      </c>
      <c r="G292" s="581" t="s">
        <v>919</v>
      </c>
      <c r="H292" s="583" t="s">
        <v>77</v>
      </c>
      <c r="I292" s="513"/>
      <c r="J292" s="583" t="s">
        <v>1023</v>
      </c>
      <c r="K292" s="584">
        <v>100</v>
      </c>
      <c r="L292" s="585" t="s">
        <v>1024</v>
      </c>
      <c r="M292" s="571">
        <v>148</v>
      </c>
      <c r="N292" s="571">
        <v>130</v>
      </c>
      <c r="O292" s="566">
        <f t="shared" si="12"/>
        <v>0.8783783783783784</v>
      </c>
      <c r="P292" s="567">
        <f t="shared" si="13"/>
        <v>0.8783783783783784</v>
      </c>
      <c r="Q292" s="568">
        <f t="shared" si="14"/>
        <v>0.8783783783783784</v>
      </c>
      <c r="R292" s="688" t="s">
        <v>1954</v>
      </c>
    </row>
    <row r="293" spans="1:18" x14ac:dyDescent="0.2">
      <c r="A293" s="580" t="s">
        <v>277</v>
      </c>
      <c r="B293" s="581" t="s">
        <v>1019</v>
      </c>
      <c r="C293" s="580" t="s">
        <v>1018</v>
      </c>
      <c r="D293" s="581" t="s">
        <v>109</v>
      </c>
      <c r="E293" s="581" t="s">
        <v>968</v>
      </c>
      <c r="F293" s="582" t="s">
        <v>970</v>
      </c>
      <c r="G293" s="581" t="s">
        <v>971</v>
      </c>
      <c r="H293" s="583" t="s">
        <v>77</v>
      </c>
      <c r="I293" s="513"/>
      <c r="J293" s="583" t="s">
        <v>1023</v>
      </c>
      <c r="K293" s="584">
        <v>33</v>
      </c>
      <c r="L293" s="587"/>
      <c r="M293" s="571">
        <v>148</v>
      </c>
      <c r="N293" s="571">
        <v>130</v>
      </c>
      <c r="O293" s="566">
        <f t="shared" si="12"/>
        <v>0.8783783783783784</v>
      </c>
      <c r="P293" s="567">
        <f t="shared" si="13"/>
        <v>2.6617526617526615</v>
      </c>
      <c r="Q293" s="568">
        <f t="shared" si="14"/>
        <v>2.6617526617526615</v>
      </c>
      <c r="R293" s="688" t="s">
        <v>1954</v>
      </c>
    </row>
    <row r="294" spans="1:18" ht="25.5" x14ac:dyDescent="0.2">
      <c r="A294" s="580" t="s">
        <v>277</v>
      </c>
      <c r="B294" s="581" t="s">
        <v>1019</v>
      </c>
      <c r="C294" s="580" t="s">
        <v>1018</v>
      </c>
      <c r="D294" s="581" t="s">
        <v>109</v>
      </c>
      <c r="E294" s="581" t="s">
        <v>972</v>
      </c>
      <c r="F294" s="582" t="s">
        <v>969</v>
      </c>
      <c r="G294" s="581" t="s">
        <v>925</v>
      </c>
      <c r="H294" s="583" t="s">
        <v>77</v>
      </c>
      <c r="I294" s="513"/>
      <c r="J294" s="583" t="s">
        <v>1023</v>
      </c>
      <c r="K294" s="584">
        <v>25</v>
      </c>
      <c r="L294" s="587"/>
      <c r="M294" s="571">
        <v>148</v>
      </c>
      <c r="N294" s="571">
        <v>16</v>
      </c>
      <c r="O294" s="566">
        <f t="shared" si="12"/>
        <v>0.10810810810810811</v>
      </c>
      <c r="P294" s="567">
        <f t="shared" si="13"/>
        <v>0.43243243243243246</v>
      </c>
      <c r="Q294" s="568">
        <f t="shared" si="14"/>
        <v>0.43243243243243246</v>
      </c>
      <c r="R294" s="688" t="s">
        <v>1954</v>
      </c>
    </row>
    <row r="295" spans="1:18" ht="25.5" x14ac:dyDescent="0.2">
      <c r="A295" s="580" t="s">
        <v>277</v>
      </c>
      <c r="B295" s="581" t="s">
        <v>1019</v>
      </c>
      <c r="C295" s="580" t="s">
        <v>1018</v>
      </c>
      <c r="D295" s="581" t="s">
        <v>109</v>
      </c>
      <c r="E295" s="581" t="s">
        <v>972</v>
      </c>
      <c r="F295" s="582" t="s">
        <v>970</v>
      </c>
      <c r="G295" s="581" t="s">
        <v>925</v>
      </c>
      <c r="H295" s="583" t="s">
        <v>77</v>
      </c>
      <c r="I295" s="513"/>
      <c r="J295" s="583" t="s">
        <v>1023</v>
      </c>
      <c r="K295" s="584">
        <v>25</v>
      </c>
      <c r="L295" s="587"/>
      <c r="M295" s="571">
        <v>148</v>
      </c>
      <c r="N295" s="571">
        <v>16</v>
      </c>
      <c r="O295" s="566">
        <f t="shared" si="12"/>
        <v>0.10810810810810811</v>
      </c>
      <c r="P295" s="567">
        <f t="shared" si="13"/>
        <v>0.43243243243243246</v>
      </c>
      <c r="Q295" s="568">
        <f t="shared" si="14"/>
        <v>0.43243243243243246</v>
      </c>
      <c r="R295" s="688" t="s">
        <v>1954</v>
      </c>
    </row>
    <row r="296" spans="1:18" ht="38.25" x14ac:dyDescent="0.2">
      <c r="A296" s="580" t="s">
        <v>277</v>
      </c>
      <c r="B296" s="581" t="s">
        <v>1019</v>
      </c>
      <c r="C296" s="580" t="s">
        <v>1018</v>
      </c>
      <c r="D296" s="581" t="s">
        <v>109</v>
      </c>
      <c r="E296" s="581" t="s">
        <v>973</v>
      </c>
      <c r="F296" s="582" t="s">
        <v>974</v>
      </c>
      <c r="G296" s="581" t="s">
        <v>925</v>
      </c>
      <c r="H296" s="583" t="s">
        <v>77</v>
      </c>
      <c r="I296" s="513"/>
      <c r="J296" s="583" t="s">
        <v>1023</v>
      </c>
      <c r="K296" s="584">
        <v>25</v>
      </c>
      <c r="L296" s="585" t="s">
        <v>1025</v>
      </c>
      <c r="M296" s="571">
        <v>148</v>
      </c>
      <c r="N296" s="571">
        <v>16</v>
      </c>
      <c r="O296" s="566">
        <f t="shared" si="12"/>
        <v>0.10810810810810811</v>
      </c>
      <c r="P296" s="567">
        <f t="shared" si="13"/>
        <v>0.43243243243243246</v>
      </c>
      <c r="Q296" s="568">
        <f t="shared" si="14"/>
        <v>0.43243243243243246</v>
      </c>
      <c r="R296" s="688" t="s">
        <v>1954</v>
      </c>
    </row>
    <row r="297" spans="1:18" ht="25.5" x14ac:dyDescent="0.2">
      <c r="A297" s="580" t="s">
        <v>277</v>
      </c>
      <c r="B297" s="581" t="s">
        <v>1019</v>
      </c>
      <c r="C297" s="580" t="s">
        <v>1018</v>
      </c>
      <c r="D297" s="581" t="s">
        <v>109</v>
      </c>
      <c r="E297" s="581" t="s">
        <v>973</v>
      </c>
      <c r="F297" s="582" t="s">
        <v>975</v>
      </c>
      <c r="G297" s="581" t="s">
        <v>925</v>
      </c>
      <c r="H297" s="583" t="s">
        <v>77</v>
      </c>
      <c r="I297" s="513"/>
      <c r="J297" s="583" t="s">
        <v>1023</v>
      </c>
      <c r="K297" s="584">
        <v>33</v>
      </c>
      <c r="L297" s="587"/>
      <c r="M297" s="571">
        <v>148</v>
      </c>
      <c r="N297" s="571">
        <v>16</v>
      </c>
      <c r="O297" s="566">
        <f t="shared" si="12"/>
        <v>0.10810810810810811</v>
      </c>
      <c r="P297" s="567">
        <f t="shared" si="13"/>
        <v>0.32760032760032759</v>
      </c>
      <c r="Q297" s="568">
        <f t="shared" si="14"/>
        <v>0.32760032760032759</v>
      </c>
      <c r="R297" s="688" t="s">
        <v>1954</v>
      </c>
    </row>
    <row r="298" spans="1:18" ht="25.5" x14ac:dyDescent="0.2">
      <c r="A298" s="580" t="s">
        <v>277</v>
      </c>
      <c r="B298" s="581" t="s">
        <v>1019</v>
      </c>
      <c r="C298" s="580" t="s">
        <v>1018</v>
      </c>
      <c r="D298" s="581" t="s">
        <v>109</v>
      </c>
      <c r="E298" s="581" t="s">
        <v>976</v>
      </c>
      <c r="F298" s="582" t="s">
        <v>974</v>
      </c>
      <c r="G298" s="581" t="s">
        <v>925</v>
      </c>
      <c r="H298" s="583" t="s">
        <v>77</v>
      </c>
      <c r="I298" s="513"/>
      <c r="J298" s="583" t="s">
        <v>1023</v>
      </c>
      <c r="K298" s="584">
        <v>25</v>
      </c>
      <c r="L298" s="587"/>
      <c r="M298" s="571">
        <v>148</v>
      </c>
      <c r="N298" s="571">
        <v>16</v>
      </c>
      <c r="O298" s="566">
        <f t="shared" si="12"/>
        <v>0.10810810810810811</v>
      </c>
      <c r="P298" s="567">
        <f t="shared" si="13"/>
        <v>0.43243243243243246</v>
      </c>
      <c r="Q298" s="568">
        <f t="shared" si="14"/>
        <v>0.43243243243243246</v>
      </c>
      <c r="R298" s="688" t="s">
        <v>1954</v>
      </c>
    </row>
    <row r="299" spans="1:18" ht="25.5" x14ac:dyDescent="0.2">
      <c r="A299" s="580" t="s">
        <v>277</v>
      </c>
      <c r="B299" s="581" t="s">
        <v>1019</v>
      </c>
      <c r="C299" s="580" t="s">
        <v>1018</v>
      </c>
      <c r="D299" s="581" t="s">
        <v>109</v>
      </c>
      <c r="E299" s="581" t="s">
        <v>977</v>
      </c>
      <c r="F299" s="582" t="s">
        <v>974</v>
      </c>
      <c r="G299" s="581" t="s">
        <v>925</v>
      </c>
      <c r="H299" s="583" t="s">
        <v>77</v>
      </c>
      <c r="I299" s="513"/>
      <c r="J299" s="583" t="s">
        <v>1023</v>
      </c>
      <c r="K299" s="584">
        <v>25</v>
      </c>
      <c r="L299" s="587"/>
      <c r="M299" s="571">
        <v>148</v>
      </c>
      <c r="N299" s="571">
        <v>16</v>
      </c>
      <c r="O299" s="566">
        <f t="shared" si="12"/>
        <v>0.10810810810810811</v>
      </c>
      <c r="P299" s="567">
        <f t="shared" si="13"/>
        <v>0.43243243243243246</v>
      </c>
      <c r="Q299" s="568">
        <f t="shared" si="14"/>
        <v>0.43243243243243246</v>
      </c>
      <c r="R299" s="688" t="s">
        <v>1954</v>
      </c>
    </row>
    <row r="300" spans="1:18" x14ac:dyDescent="0.2">
      <c r="A300" s="580" t="s">
        <v>277</v>
      </c>
      <c r="B300" s="581" t="s">
        <v>1019</v>
      </c>
      <c r="C300" s="580" t="s">
        <v>1018</v>
      </c>
      <c r="D300" s="581" t="s">
        <v>109</v>
      </c>
      <c r="E300" s="581" t="s">
        <v>978</v>
      </c>
      <c r="F300" s="582" t="s">
        <v>974</v>
      </c>
      <c r="G300" s="581" t="s">
        <v>919</v>
      </c>
      <c r="H300" s="583" t="s">
        <v>77</v>
      </c>
      <c r="I300" s="513"/>
      <c r="J300" s="583" t="s">
        <v>1023</v>
      </c>
      <c r="K300" s="584">
        <v>100</v>
      </c>
      <c r="L300" s="587"/>
      <c r="M300" s="571">
        <v>148</v>
      </c>
      <c r="N300" s="571">
        <v>130</v>
      </c>
      <c r="O300" s="566">
        <f t="shared" si="12"/>
        <v>0.8783783783783784</v>
      </c>
      <c r="P300" s="567">
        <f t="shared" si="13"/>
        <v>0.8783783783783784</v>
      </c>
      <c r="Q300" s="568">
        <f t="shared" si="14"/>
        <v>0.8783783783783784</v>
      </c>
      <c r="R300" s="688" t="s">
        <v>1954</v>
      </c>
    </row>
    <row r="301" spans="1:18" x14ac:dyDescent="0.2">
      <c r="A301" s="580" t="s">
        <v>277</v>
      </c>
      <c r="B301" s="581" t="s">
        <v>1019</v>
      </c>
      <c r="C301" s="580" t="s">
        <v>1018</v>
      </c>
      <c r="D301" s="581" t="s">
        <v>109</v>
      </c>
      <c r="E301" s="581" t="s">
        <v>979</v>
      </c>
      <c r="F301" s="582" t="s">
        <v>974</v>
      </c>
      <c r="G301" s="581" t="s">
        <v>919</v>
      </c>
      <c r="H301" s="583" t="s">
        <v>77</v>
      </c>
      <c r="I301" s="513"/>
      <c r="J301" s="583" t="s">
        <v>1023</v>
      </c>
      <c r="K301" s="589">
        <v>100</v>
      </c>
      <c r="L301" s="587"/>
      <c r="M301" s="571">
        <v>148</v>
      </c>
      <c r="N301" s="571">
        <v>130</v>
      </c>
      <c r="O301" s="566">
        <f t="shared" si="12"/>
        <v>0.8783783783783784</v>
      </c>
      <c r="P301" s="567">
        <f t="shared" si="13"/>
        <v>0.8783783783783784</v>
      </c>
      <c r="Q301" s="568">
        <f t="shared" si="14"/>
        <v>0.8783783783783784</v>
      </c>
      <c r="R301" s="688" t="s">
        <v>1954</v>
      </c>
    </row>
    <row r="302" spans="1:18" ht="25.5" x14ac:dyDescent="0.2">
      <c r="A302" s="580" t="s">
        <v>277</v>
      </c>
      <c r="B302" s="581" t="s">
        <v>1019</v>
      </c>
      <c r="C302" s="580" t="s">
        <v>1018</v>
      </c>
      <c r="D302" s="581" t="s">
        <v>109</v>
      </c>
      <c r="E302" s="581" t="s">
        <v>980</v>
      </c>
      <c r="F302" s="582" t="s">
        <v>974</v>
      </c>
      <c r="G302" s="581" t="s">
        <v>925</v>
      </c>
      <c r="H302" s="583" t="s">
        <v>77</v>
      </c>
      <c r="I302" s="513"/>
      <c r="J302" s="583" t="s">
        <v>1023</v>
      </c>
      <c r="K302" s="589">
        <v>25</v>
      </c>
      <c r="L302" s="587"/>
      <c r="M302" s="571">
        <v>148</v>
      </c>
      <c r="N302" s="571">
        <v>16</v>
      </c>
      <c r="O302" s="566">
        <f t="shared" si="12"/>
        <v>0.10810810810810811</v>
      </c>
      <c r="P302" s="567">
        <f t="shared" si="13"/>
        <v>0.43243243243243246</v>
      </c>
      <c r="Q302" s="568">
        <f t="shared" si="14"/>
        <v>0.43243243243243246</v>
      </c>
      <c r="R302" s="688" t="s">
        <v>1954</v>
      </c>
    </row>
    <row r="303" spans="1:18" ht="25.5" x14ac:dyDescent="0.2">
      <c r="A303" s="580" t="s">
        <v>277</v>
      </c>
      <c r="B303" s="581" t="s">
        <v>1019</v>
      </c>
      <c r="C303" s="580" t="s">
        <v>1018</v>
      </c>
      <c r="D303" s="581" t="s">
        <v>109</v>
      </c>
      <c r="E303" s="581" t="s">
        <v>981</v>
      </c>
      <c r="F303" s="582" t="s">
        <v>974</v>
      </c>
      <c r="G303" s="581" t="s">
        <v>925</v>
      </c>
      <c r="H303" s="583" t="s">
        <v>77</v>
      </c>
      <c r="I303" s="513"/>
      <c r="J303" s="583" t="s">
        <v>1023</v>
      </c>
      <c r="K303" s="589">
        <v>25</v>
      </c>
      <c r="L303" s="587"/>
      <c r="M303" s="571">
        <v>148</v>
      </c>
      <c r="N303" s="571">
        <v>16</v>
      </c>
      <c r="O303" s="566">
        <f t="shared" si="12"/>
        <v>0.10810810810810811</v>
      </c>
      <c r="P303" s="567">
        <f t="shared" si="13"/>
        <v>0.43243243243243246</v>
      </c>
      <c r="Q303" s="568">
        <f t="shared" si="14"/>
        <v>0.43243243243243246</v>
      </c>
      <c r="R303" s="688" t="s">
        <v>1954</v>
      </c>
    </row>
    <row r="304" spans="1:18" x14ac:dyDescent="0.2">
      <c r="A304" s="580" t="s">
        <v>277</v>
      </c>
      <c r="B304" s="581" t="s">
        <v>1019</v>
      </c>
      <c r="C304" s="580" t="s">
        <v>1018</v>
      </c>
      <c r="D304" s="581" t="s">
        <v>109</v>
      </c>
      <c r="E304" s="581" t="s">
        <v>982</v>
      </c>
      <c r="F304" s="590" t="s">
        <v>983</v>
      </c>
      <c r="G304" s="581" t="s">
        <v>919</v>
      </c>
      <c r="H304" s="583" t="s">
        <v>77</v>
      </c>
      <c r="I304" s="513"/>
      <c r="J304" s="583" t="s">
        <v>1023</v>
      </c>
      <c r="K304" s="589">
        <v>100</v>
      </c>
      <c r="L304" s="587"/>
      <c r="M304" s="571">
        <v>148</v>
      </c>
      <c r="N304" s="571">
        <v>130</v>
      </c>
      <c r="O304" s="566">
        <f t="shared" si="12"/>
        <v>0.8783783783783784</v>
      </c>
      <c r="P304" s="567">
        <f t="shared" si="13"/>
        <v>0.8783783783783784</v>
      </c>
      <c r="Q304" s="568">
        <f t="shared" si="14"/>
        <v>0.8783783783783784</v>
      </c>
      <c r="R304" s="688" t="s">
        <v>1954</v>
      </c>
    </row>
    <row r="305" spans="1:18" x14ac:dyDescent="0.2">
      <c r="A305" s="580" t="s">
        <v>277</v>
      </c>
      <c r="B305" s="581" t="s">
        <v>1019</v>
      </c>
      <c r="C305" s="580" t="s">
        <v>1018</v>
      </c>
      <c r="D305" s="581" t="s">
        <v>109</v>
      </c>
      <c r="E305" s="581" t="s">
        <v>984</v>
      </c>
      <c r="F305" s="590" t="s">
        <v>983</v>
      </c>
      <c r="G305" s="581" t="s">
        <v>919</v>
      </c>
      <c r="H305" s="583" t="s">
        <v>77</v>
      </c>
      <c r="I305" s="513"/>
      <c r="J305" s="583" t="s">
        <v>1023</v>
      </c>
      <c r="K305" s="589">
        <v>100</v>
      </c>
      <c r="L305" s="587"/>
      <c r="M305" s="571">
        <v>148</v>
      </c>
      <c r="N305" s="571">
        <v>130</v>
      </c>
      <c r="O305" s="566">
        <f t="shared" si="12"/>
        <v>0.8783783783783784</v>
      </c>
      <c r="P305" s="567">
        <f t="shared" si="13"/>
        <v>0.8783783783783784</v>
      </c>
      <c r="Q305" s="568">
        <f t="shared" si="14"/>
        <v>0.8783783783783784</v>
      </c>
      <c r="R305" s="688" t="s">
        <v>1954</v>
      </c>
    </row>
    <row r="306" spans="1:18" ht="25.5" x14ac:dyDescent="0.2">
      <c r="A306" s="580" t="s">
        <v>277</v>
      </c>
      <c r="B306" s="581" t="s">
        <v>1019</v>
      </c>
      <c r="C306" s="580" t="s">
        <v>1018</v>
      </c>
      <c r="D306" s="581" t="s">
        <v>109</v>
      </c>
      <c r="E306" s="581" t="s">
        <v>985</v>
      </c>
      <c r="F306" s="590" t="s">
        <v>970</v>
      </c>
      <c r="G306" s="581" t="s">
        <v>925</v>
      </c>
      <c r="H306" s="583" t="s">
        <v>77</v>
      </c>
      <c r="I306" s="513"/>
      <c r="J306" s="583" t="s">
        <v>1023</v>
      </c>
      <c r="K306" s="589">
        <v>33</v>
      </c>
      <c r="L306" s="587"/>
      <c r="M306" s="571">
        <v>148</v>
      </c>
      <c r="N306" s="571">
        <v>34</v>
      </c>
      <c r="O306" s="566">
        <f t="shared" si="12"/>
        <v>0.22972972972972974</v>
      </c>
      <c r="P306" s="567">
        <f t="shared" si="13"/>
        <v>0.69615069615069614</v>
      </c>
      <c r="Q306" s="568">
        <f t="shared" si="14"/>
        <v>0.69615069615069614</v>
      </c>
      <c r="R306" s="688" t="s">
        <v>1954</v>
      </c>
    </row>
    <row r="307" spans="1:18" ht="25.5" x14ac:dyDescent="0.2">
      <c r="A307" s="580" t="s">
        <v>277</v>
      </c>
      <c r="B307" s="581" t="s">
        <v>1019</v>
      </c>
      <c r="C307" s="580" t="s">
        <v>1018</v>
      </c>
      <c r="D307" s="581" t="s">
        <v>109</v>
      </c>
      <c r="E307" s="581" t="s">
        <v>986</v>
      </c>
      <c r="F307" s="590" t="s">
        <v>970</v>
      </c>
      <c r="G307" s="581" t="s">
        <v>925</v>
      </c>
      <c r="H307" s="583" t="s">
        <v>77</v>
      </c>
      <c r="I307" s="513"/>
      <c r="J307" s="583" t="s">
        <v>1023</v>
      </c>
      <c r="K307" s="589">
        <v>33</v>
      </c>
      <c r="L307" s="587"/>
      <c r="M307" s="571">
        <v>148</v>
      </c>
      <c r="N307" s="571">
        <v>37</v>
      </c>
      <c r="O307" s="566">
        <f t="shared" si="12"/>
        <v>0.25</v>
      </c>
      <c r="P307" s="567">
        <f t="shared" si="13"/>
        <v>0.75757575757575757</v>
      </c>
      <c r="Q307" s="568">
        <f t="shared" si="14"/>
        <v>0.75757575757575757</v>
      </c>
      <c r="R307" s="688" t="s">
        <v>1954</v>
      </c>
    </row>
    <row r="308" spans="1:18" ht="25.5" x14ac:dyDescent="0.2">
      <c r="A308" s="580" t="s">
        <v>277</v>
      </c>
      <c r="B308" s="581" t="s">
        <v>1019</v>
      </c>
      <c r="C308" s="580" t="s">
        <v>1018</v>
      </c>
      <c r="D308" s="581" t="s">
        <v>109</v>
      </c>
      <c r="E308" s="581" t="s">
        <v>987</v>
      </c>
      <c r="F308" s="590" t="s">
        <v>970</v>
      </c>
      <c r="G308" s="581" t="s">
        <v>925</v>
      </c>
      <c r="H308" s="583" t="s">
        <v>77</v>
      </c>
      <c r="I308" s="513"/>
      <c r="J308" s="583" t="s">
        <v>1023</v>
      </c>
      <c r="K308" s="589">
        <v>33</v>
      </c>
      <c r="L308" s="587"/>
      <c r="M308" s="571">
        <v>148</v>
      </c>
      <c r="N308" s="571">
        <v>37</v>
      </c>
      <c r="O308" s="566">
        <f t="shared" si="12"/>
        <v>0.25</v>
      </c>
      <c r="P308" s="567">
        <f t="shared" si="13"/>
        <v>0.75757575757575757</v>
      </c>
      <c r="Q308" s="568">
        <f t="shared" si="14"/>
        <v>0.75757575757575757</v>
      </c>
      <c r="R308" s="688" t="s">
        <v>1954</v>
      </c>
    </row>
    <row r="309" spans="1:18" ht="25.5" x14ac:dyDescent="0.2">
      <c r="A309" s="580" t="s">
        <v>277</v>
      </c>
      <c r="B309" s="581" t="s">
        <v>1019</v>
      </c>
      <c r="C309" s="580" t="s">
        <v>1018</v>
      </c>
      <c r="D309" s="581" t="s">
        <v>109</v>
      </c>
      <c r="E309" s="581" t="s">
        <v>988</v>
      </c>
      <c r="F309" s="590" t="s">
        <v>970</v>
      </c>
      <c r="G309" s="581" t="s">
        <v>925</v>
      </c>
      <c r="H309" s="583" t="s">
        <v>77</v>
      </c>
      <c r="I309" s="513"/>
      <c r="J309" s="583" t="s">
        <v>1023</v>
      </c>
      <c r="K309" s="589">
        <v>33</v>
      </c>
      <c r="L309" s="587"/>
      <c r="M309" s="571">
        <v>148</v>
      </c>
      <c r="N309" s="571">
        <v>25</v>
      </c>
      <c r="O309" s="566">
        <f t="shared" si="12"/>
        <v>0.16891891891891891</v>
      </c>
      <c r="P309" s="567">
        <f t="shared" si="13"/>
        <v>0.51187551187551183</v>
      </c>
      <c r="Q309" s="568">
        <f t="shared" si="14"/>
        <v>0.51187551187551183</v>
      </c>
      <c r="R309" s="688" t="s">
        <v>1954</v>
      </c>
    </row>
    <row r="310" spans="1:18" ht="25.5" x14ac:dyDescent="0.2">
      <c r="A310" s="580" t="s">
        <v>277</v>
      </c>
      <c r="B310" s="581" t="s">
        <v>1019</v>
      </c>
      <c r="C310" s="580" t="s">
        <v>1018</v>
      </c>
      <c r="D310" s="581" t="s">
        <v>109</v>
      </c>
      <c r="E310" s="581" t="s">
        <v>989</v>
      </c>
      <c r="F310" s="590" t="s">
        <v>970</v>
      </c>
      <c r="G310" s="581" t="s">
        <v>925</v>
      </c>
      <c r="H310" s="583" t="s">
        <v>77</v>
      </c>
      <c r="I310" s="513"/>
      <c r="J310" s="583" t="s">
        <v>1023</v>
      </c>
      <c r="K310" s="589">
        <v>33</v>
      </c>
      <c r="L310" s="587"/>
      <c r="M310" s="571">
        <v>148</v>
      </c>
      <c r="N310" s="571">
        <v>35</v>
      </c>
      <c r="O310" s="566">
        <f t="shared" si="12"/>
        <v>0.23648648648648649</v>
      </c>
      <c r="P310" s="567">
        <f t="shared" si="13"/>
        <v>0.71662571662571661</v>
      </c>
      <c r="Q310" s="568">
        <f t="shared" si="14"/>
        <v>0.71662571662571661</v>
      </c>
      <c r="R310" s="688" t="s">
        <v>1954</v>
      </c>
    </row>
    <row r="311" spans="1:18" ht="25.5" x14ac:dyDescent="0.2">
      <c r="A311" s="580" t="s">
        <v>277</v>
      </c>
      <c r="B311" s="581" t="s">
        <v>1019</v>
      </c>
      <c r="C311" s="580" t="s">
        <v>1018</v>
      </c>
      <c r="D311" s="581" t="s">
        <v>109</v>
      </c>
      <c r="E311" s="581" t="s">
        <v>990</v>
      </c>
      <c r="F311" s="590" t="s">
        <v>970</v>
      </c>
      <c r="G311" s="581" t="s">
        <v>925</v>
      </c>
      <c r="H311" s="583" t="s">
        <v>77</v>
      </c>
      <c r="I311" s="513"/>
      <c r="J311" s="583" t="s">
        <v>1023</v>
      </c>
      <c r="K311" s="589">
        <v>33</v>
      </c>
      <c r="L311" s="587"/>
      <c r="M311" s="571">
        <v>148</v>
      </c>
      <c r="N311" s="571">
        <v>37</v>
      </c>
      <c r="O311" s="566">
        <f t="shared" si="12"/>
        <v>0.25</v>
      </c>
      <c r="P311" s="567">
        <f t="shared" si="13"/>
        <v>0.75757575757575757</v>
      </c>
      <c r="Q311" s="568">
        <f t="shared" si="14"/>
        <v>0.75757575757575757</v>
      </c>
      <c r="R311" s="688" t="s">
        <v>1954</v>
      </c>
    </row>
    <row r="312" spans="1:18" x14ac:dyDescent="0.2">
      <c r="A312" s="580" t="s">
        <v>277</v>
      </c>
      <c r="B312" s="581" t="s">
        <v>1019</v>
      </c>
      <c r="C312" s="580" t="s">
        <v>1018</v>
      </c>
      <c r="D312" s="581" t="s">
        <v>109</v>
      </c>
      <c r="E312" s="581" t="s">
        <v>991</v>
      </c>
      <c r="F312" s="590" t="s">
        <v>974</v>
      </c>
      <c r="G312" s="581" t="s">
        <v>919</v>
      </c>
      <c r="H312" s="583" t="s">
        <v>77</v>
      </c>
      <c r="I312" s="513"/>
      <c r="J312" s="583" t="s">
        <v>1023</v>
      </c>
      <c r="K312" s="589">
        <v>100</v>
      </c>
      <c r="L312" s="587"/>
      <c r="M312" s="571">
        <v>148</v>
      </c>
      <c r="N312" s="571">
        <v>130</v>
      </c>
      <c r="O312" s="566">
        <f t="shared" si="12"/>
        <v>0.8783783783783784</v>
      </c>
      <c r="P312" s="567">
        <f t="shared" si="13"/>
        <v>0.8783783783783784</v>
      </c>
      <c r="Q312" s="568">
        <f t="shared" si="14"/>
        <v>0.8783783783783784</v>
      </c>
      <c r="R312" s="688" t="s">
        <v>1954</v>
      </c>
    </row>
    <row r="313" spans="1:18" x14ac:dyDescent="0.2">
      <c r="A313" s="580" t="s">
        <v>277</v>
      </c>
      <c r="B313" s="581" t="s">
        <v>1019</v>
      </c>
      <c r="C313" s="580" t="s">
        <v>1018</v>
      </c>
      <c r="D313" s="581" t="s">
        <v>109</v>
      </c>
      <c r="E313" s="581" t="s">
        <v>992</v>
      </c>
      <c r="F313" s="590" t="s">
        <v>974</v>
      </c>
      <c r="G313" s="581" t="s">
        <v>919</v>
      </c>
      <c r="H313" s="583" t="s">
        <v>77</v>
      </c>
      <c r="I313" s="513"/>
      <c r="J313" s="583" t="s">
        <v>1023</v>
      </c>
      <c r="K313" s="589">
        <v>100</v>
      </c>
      <c r="L313" s="587"/>
      <c r="M313" s="571">
        <v>148</v>
      </c>
      <c r="N313" s="571">
        <v>130</v>
      </c>
      <c r="O313" s="566">
        <f t="shared" si="12"/>
        <v>0.8783783783783784</v>
      </c>
      <c r="P313" s="567">
        <f t="shared" si="13"/>
        <v>0.8783783783783784</v>
      </c>
      <c r="Q313" s="568">
        <f t="shared" si="14"/>
        <v>0.8783783783783784</v>
      </c>
      <c r="R313" s="688" t="s">
        <v>1954</v>
      </c>
    </row>
    <row r="314" spans="1:18" ht="25.5" x14ac:dyDescent="0.2">
      <c r="A314" s="580" t="s">
        <v>277</v>
      </c>
      <c r="B314" s="581" t="s">
        <v>1019</v>
      </c>
      <c r="C314" s="580" t="s">
        <v>1018</v>
      </c>
      <c r="D314" s="581" t="s">
        <v>109</v>
      </c>
      <c r="E314" s="581" t="s">
        <v>993</v>
      </c>
      <c r="F314" s="590" t="s">
        <v>974</v>
      </c>
      <c r="G314" s="581" t="s">
        <v>919</v>
      </c>
      <c r="H314" s="583" t="s">
        <v>77</v>
      </c>
      <c r="I314" s="513"/>
      <c r="J314" s="583" t="s">
        <v>1023</v>
      </c>
      <c r="K314" s="589">
        <v>100</v>
      </c>
      <c r="L314" s="587"/>
      <c r="M314" s="571">
        <v>148</v>
      </c>
      <c r="N314" s="571">
        <v>130</v>
      </c>
      <c r="O314" s="566">
        <f t="shared" si="12"/>
        <v>0.8783783783783784</v>
      </c>
      <c r="P314" s="567">
        <f t="shared" si="13"/>
        <v>0.8783783783783784</v>
      </c>
      <c r="Q314" s="568">
        <f t="shared" si="14"/>
        <v>0.8783783783783784</v>
      </c>
      <c r="R314" s="688" t="s">
        <v>1954</v>
      </c>
    </row>
    <row r="315" spans="1:18" x14ac:dyDescent="0.2">
      <c r="A315" s="580" t="s">
        <v>277</v>
      </c>
      <c r="B315" s="581" t="s">
        <v>1019</v>
      </c>
      <c r="C315" s="580" t="s">
        <v>1018</v>
      </c>
      <c r="D315" s="581" t="s">
        <v>109</v>
      </c>
      <c r="E315" s="581" t="s">
        <v>994</v>
      </c>
      <c r="F315" s="582" t="s">
        <v>969</v>
      </c>
      <c r="G315" s="581" t="s">
        <v>919</v>
      </c>
      <c r="H315" s="583" t="s">
        <v>77</v>
      </c>
      <c r="I315" s="513"/>
      <c r="J315" s="583" t="s">
        <v>1023</v>
      </c>
      <c r="K315" s="589">
        <v>100</v>
      </c>
      <c r="L315" s="587"/>
      <c r="M315" s="571">
        <v>148</v>
      </c>
      <c r="N315" s="571">
        <v>130</v>
      </c>
      <c r="O315" s="566">
        <f t="shared" si="12"/>
        <v>0.8783783783783784</v>
      </c>
      <c r="P315" s="567">
        <f t="shared" si="13"/>
        <v>0.8783783783783784</v>
      </c>
      <c r="Q315" s="568">
        <f t="shared" si="14"/>
        <v>0.8783783783783784</v>
      </c>
      <c r="R315" s="688" t="s">
        <v>1954</v>
      </c>
    </row>
    <row r="316" spans="1:18" ht="25.5" x14ac:dyDescent="0.2">
      <c r="A316" s="580" t="s">
        <v>277</v>
      </c>
      <c r="B316" s="581" t="s">
        <v>1019</v>
      </c>
      <c r="C316" s="580" t="s">
        <v>1018</v>
      </c>
      <c r="D316" s="581" t="s">
        <v>109</v>
      </c>
      <c r="E316" s="581" t="s">
        <v>994</v>
      </c>
      <c r="F316" s="582" t="s">
        <v>970</v>
      </c>
      <c r="G316" s="581" t="s">
        <v>925</v>
      </c>
      <c r="H316" s="583" t="s">
        <v>77</v>
      </c>
      <c r="I316" s="513"/>
      <c r="J316" s="583" t="s">
        <v>1023</v>
      </c>
      <c r="K316" s="589">
        <v>33</v>
      </c>
      <c r="L316" s="585" t="s">
        <v>1024</v>
      </c>
      <c r="M316" s="571">
        <v>148</v>
      </c>
      <c r="N316" s="571">
        <v>130</v>
      </c>
      <c r="O316" s="566">
        <f t="shared" si="12"/>
        <v>0.8783783783783784</v>
      </c>
      <c r="P316" s="567">
        <f t="shared" si="13"/>
        <v>2.6617526617526615</v>
      </c>
      <c r="Q316" s="568">
        <f t="shared" si="14"/>
        <v>2.6617526617526615</v>
      </c>
      <c r="R316" s="688" t="s">
        <v>1954</v>
      </c>
    </row>
    <row r="317" spans="1:18" ht="25.5" x14ac:dyDescent="0.2">
      <c r="A317" s="580" t="s">
        <v>277</v>
      </c>
      <c r="B317" s="581" t="s">
        <v>1019</v>
      </c>
      <c r="C317" s="580" t="s">
        <v>1018</v>
      </c>
      <c r="D317" s="581" t="s">
        <v>109</v>
      </c>
      <c r="E317" s="581" t="s">
        <v>995</v>
      </c>
      <c r="F317" s="590" t="s">
        <v>974</v>
      </c>
      <c r="G317" s="581" t="s">
        <v>925</v>
      </c>
      <c r="H317" s="583" t="s">
        <v>77</v>
      </c>
      <c r="I317" s="513"/>
      <c r="J317" s="583" t="s">
        <v>1023</v>
      </c>
      <c r="K317" s="589">
        <v>25</v>
      </c>
      <c r="L317" s="587"/>
      <c r="M317" s="571">
        <v>148</v>
      </c>
      <c r="N317" s="571">
        <v>16</v>
      </c>
      <c r="O317" s="566">
        <f t="shared" si="12"/>
        <v>0.10810810810810811</v>
      </c>
      <c r="P317" s="567">
        <f t="shared" si="13"/>
        <v>0.43243243243243246</v>
      </c>
      <c r="Q317" s="568">
        <f t="shared" si="14"/>
        <v>0.43243243243243246</v>
      </c>
      <c r="R317" s="688" t="s">
        <v>1954</v>
      </c>
    </row>
    <row r="318" spans="1:18" ht="38.25" x14ac:dyDescent="0.2">
      <c r="A318" s="580" t="s">
        <v>277</v>
      </c>
      <c r="B318" s="581" t="s">
        <v>1019</v>
      </c>
      <c r="C318" s="580" t="s">
        <v>1018</v>
      </c>
      <c r="D318" s="581" t="s">
        <v>109</v>
      </c>
      <c r="E318" s="581" t="s">
        <v>996</v>
      </c>
      <c r="F318" s="590" t="s">
        <v>974</v>
      </c>
      <c r="G318" s="581" t="s">
        <v>925</v>
      </c>
      <c r="H318" s="583" t="s">
        <v>77</v>
      </c>
      <c r="I318" s="513"/>
      <c r="J318" s="583" t="s">
        <v>1023</v>
      </c>
      <c r="K318" s="589">
        <v>25</v>
      </c>
      <c r="L318" s="587"/>
      <c r="M318" s="571">
        <v>148</v>
      </c>
      <c r="N318" s="571">
        <v>16</v>
      </c>
      <c r="O318" s="566">
        <f t="shared" si="12"/>
        <v>0.10810810810810811</v>
      </c>
      <c r="P318" s="567">
        <f t="shared" si="13"/>
        <v>0.43243243243243246</v>
      </c>
      <c r="Q318" s="568">
        <f t="shared" si="14"/>
        <v>0.43243243243243246</v>
      </c>
      <c r="R318" s="688" t="s">
        <v>1954</v>
      </c>
    </row>
    <row r="319" spans="1:18" ht="38.25" x14ac:dyDescent="0.2">
      <c r="A319" s="580" t="s">
        <v>277</v>
      </c>
      <c r="B319" s="581" t="s">
        <v>1019</v>
      </c>
      <c r="C319" s="580" t="s">
        <v>1018</v>
      </c>
      <c r="D319" s="581" t="s">
        <v>109</v>
      </c>
      <c r="E319" s="581" t="s">
        <v>997</v>
      </c>
      <c r="F319" s="590" t="s">
        <v>974</v>
      </c>
      <c r="G319" s="581" t="s">
        <v>919</v>
      </c>
      <c r="H319" s="583" t="s">
        <v>77</v>
      </c>
      <c r="I319" s="513"/>
      <c r="J319" s="583" t="s">
        <v>1023</v>
      </c>
      <c r="K319" s="589">
        <v>100</v>
      </c>
      <c r="L319" s="587"/>
      <c r="M319" s="571">
        <v>148</v>
      </c>
      <c r="N319" s="571">
        <v>130</v>
      </c>
      <c r="O319" s="566">
        <f t="shared" si="12"/>
        <v>0.8783783783783784</v>
      </c>
      <c r="P319" s="567">
        <f t="shared" si="13"/>
        <v>0.8783783783783784</v>
      </c>
      <c r="Q319" s="568">
        <f t="shared" si="14"/>
        <v>0.8783783783783784</v>
      </c>
      <c r="R319" s="688" t="s">
        <v>1954</v>
      </c>
    </row>
    <row r="320" spans="1:18" x14ac:dyDescent="0.2">
      <c r="A320" s="580" t="s">
        <v>277</v>
      </c>
      <c r="B320" s="581" t="s">
        <v>1019</v>
      </c>
      <c r="C320" s="580" t="s">
        <v>1018</v>
      </c>
      <c r="D320" s="581" t="s">
        <v>946</v>
      </c>
      <c r="E320" s="581" t="s">
        <v>998</v>
      </c>
      <c r="F320" s="590" t="s">
        <v>974</v>
      </c>
      <c r="G320" s="581" t="s">
        <v>919</v>
      </c>
      <c r="H320" s="583" t="s">
        <v>77</v>
      </c>
      <c r="I320" s="513"/>
      <c r="J320" s="583" t="s">
        <v>1023</v>
      </c>
      <c r="K320" s="589">
        <v>100</v>
      </c>
      <c r="L320" s="587"/>
      <c r="M320" s="571">
        <v>148</v>
      </c>
      <c r="N320" s="571">
        <v>130</v>
      </c>
      <c r="O320" s="566">
        <f t="shared" si="12"/>
        <v>0.8783783783783784</v>
      </c>
      <c r="P320" s="567">
        <f t="shared" si="13"/>
        <v>0.8783783783783784</v>
      </c>
      <c r="Q320" s="568">
        <f t="shared" si="14"/>
        <v>0.8783783783783784</v>
      </c>
      <c r="R320" s="688" t="s">
        <v>1954</v>
      </c>
    </row>
    <row r="321" spans="1:18" x14ac:dyDescent="0.2">
      <c r="A321" s="580" t="s">
        <v>277</v>
      </c>
      <c r="B321" s="581" t="s">
        <v>1019</v>
      </c>
      <c r="C321" s="580" t="s">
        <v>1018</v>
      </c>
      <c r="D321" s="581" t="s">
        <v>946</v>
      </c>
      <c r="E321" s="581" t="s">
        <v>999</v>
      </c>
      <c r="F321" s="590" t="s">
        <v>974</v>
      </c>
      <c r="G321" s="581" t="s">
        <v>919</v>
      </c>
      <c r="H321" s="583" t="s">
        <v>77</v>
      </c>
      <c r="I321" s="513"/>
      <c r="J321" s="583" t="s">
        <v>1023</v>
      </c>
      <c r="K321" s="589">
        <v>100</v>
      </c>
      <c r="L321" s="587"/>
      <c r="M321" s="571">
        <v>148</v>
      </c>
      <c r="N321" s="571">
        <v>130</v>
      </c>
      <c r="O321" s="566">
        <f t="shared" si="12"/>
        <v>0.8783783783783784</v>
      </c>
      <c r="P321" s="567">
        <f t="shared" si="13"/>
        <v>0.8783783783783784</v>
      </c>
      <c r="Q321" s="568">
        <f t="shared" si="14"/>
        <v>0.8783783783783784</v>
      </c>
      <c r="R321" s="688" t="s">
        <v>1954</v>
      </c>
    </row>
    <row r="322" spans="1:18" ht="25.5" x14ac:dyDescent="0.2">
      <c r="A322" s="580" t="s">
        <v>277</v>
      </c>
      <c r="B322" s="581" t="s">
        <v>1019</v>
      </c>
      <c r="C322" s="580" t="s">
        <v>1018</v>
      </c>
      <c r="D322" s="581" t="s">
        <v>946</v>
      </c>
      <c r="E322" s="581" t="s">
        <v>1000</v>
      </c>
      <c r="F322" s="590" t="s">
        <v>974</v>
      </c>
      <c r="G322" s="581" t="s">
        <v>925</v>
      </c>
      <c r="H322" s="583" t="s">
        <v>77</v>
      </c>
      <c r="I322" s="513"/>
      <c r="J322" s="583" t="s">
        <v>1023</v>
      </c>
      <c r="K322" s="589">
        <v>25</v>
      </c>
      <c r="L322" s="587"/>
      <c r="M322" s="571">
        <v>148</v>
      </c>
      <c r="N322" s="571">
        <v>16</v>
      </c>
      <c r="O322" s="566">
        <f t="shared" si="12"/>
        <v>0.10810810810810811</v>
      </c>
      <c r="P322" s="567">
        <f t="shared" si="13"/>
        <v>0.43243243243243246</v>
      </c>
      <c r="Q322" s="568">
        <f t="shared" si="14"/>
        <v>0.43243243243243246</v>
      </c>
      <c r="R322" s="688" t="s">
        <v>1954</v>
      </c>
    </row>
    <row r="323" spans="1:18" ht="25.5" x14ac:dyDescent="0.2">
      <c r="A323" s="580" t="s">
        <v>277</v>
      </c>
      <c r="B323" s="581" t="s">
        <v>1019</v>
      </c>
      <c r="C323" s="580" t="s">
        <v>1018</v>
      </c>
      <c r="D323" s="581" t="s">
        <v>946</v>
      </c>
      <c r="E323" s="581" t="s">
        <v>1001</v>
      </c>
      <c r="F323" s="590" t="s">
        <v>974</v>
      </c>
      <c r="G323" s="581" t="s">
        <v>925</v>
      </c>
      <c r="H323" s="583" t="s">
        <v>77</v>
      </c>
      <c r="I323" s="513"/>
      <c r="J323" s="583" t="s">
        <v>1023</v>
      </c>
      <c r="K323" s="589">
        <v>25</v>
      </c>
      <c r="L323" s="587"/>
      <c r="M323" s="571">
        <v>148</v>
      </c>
      <c r="N323" s="571">
        <v>16</v>
      </c>
      <c r="O323" s="566">
        <f t="shared" si="12"/>
        <v>0.10810810810810811</v>
      </c>
      <c r="P323" s="567">
        <f t="shared" si="13"/>
        <v>0.43243243243243246</v>
      </c>
      <c r="Q323" s="568">
        <f t="shared" si="14"/>
        <v>0.43243243243243246</v>
      </c>
      <c r="R323" s="688" t="s">
        <v>1954</v>
      </c>
    </row>
    <row r="324" spans="1:18" ht="25.5" x14ac:dyDescent="0.2">
      <c r="A324" s="580" t="s">
        <v>277</v>
      </c>
      <c r="B324" s="581" t="s">
        <v>1019</v>
      </c>
      <c r="C324" s="580" t="s">
        <v>1018</v>
      </c>
      <c r="D324" s="581" t="s">
        <v>946</v>
      </c>
      <c r="E324" s="581" t="s">
        <v>1002</v>
      </c>
      <c r="F324" s="590" t="s">
        <v>974</v>
      </c>
      <c r="G324" s="581" t="s">
        <v>925</v>
      </c>
      <c r="H324" s="583" t="s">
        <v>77</v>
      </c>
      <c r="I324" s="513"/>
      <c r="J324" s="583" t="s">
        <v>1023</v>
      </c>
      <c r="K324" s="589">
        <v>25</v>
      </c>
      <c r="L324" s="587"/>
      <c r="M324" s="571">
        <v>148</v>
      </c>
      <c r="N324" s="571">
        <v>16</v>
      </c>
      <c r="O324" s="566">
        <f t="shared" si="12"/>
        <v>0.10810810810810811</v>
      </c>
      <c r="P324" s="567">
        <f t="shared" si="13"/>
        <v>0.43243243243243246</v>
      </c>
      <c r="Q324" s="568">
        <f t="shared" si="14"/>
        <v>0.43243243243243246</v>
      </c>
      <c r="R324" s="688" t="s">
        <v>1954</v>
      </c>
    </row>
    <row r="325" spans="1:18" ht="25.5" x14ac:dyDescent="0.2">
      <c r="A325" s="580" t="s">
        <v>277</v>
      </c>
      <c r="B325" s="581" t="s">
        <v>1019</v>
      </c>
      <c r="C325" s="580" t="s">
        <v>1018</v>
      </c>
      <c r="D325" s="581" t="s">
        <v>946</v>
      </c>
      <c r="E325" s="581" t="s">
        <v>1003</v>
      </c>
      <c r="F325" s="590" t="s">
        <v>974</v>
      </c>
      <c r="G325" s="581" t="s">
        <v>925</v>
      </c>
      <c r="H325" s="583" t="s">
        <v>77</v>
      </c>
      <c r="I325" s="513"/>
      <c r="J325" s="583" t="s">
        <v>1023</v>
      </c>
      <c r="K325" s="589">
        <v>25</v>
      </c>
      <c r="L325" s="587"/>
      <c r="M325" s="571">
        <v>148</v>
      </c>
      <c r="N325" s="571">
        <v>16</v>
      </c>
      <c r="O325" s="566">
        <f t="shared" si="12"/>
        <v>0.10810810810810811</v>
      </c>
      <c r="P325" s="567">
        <f t="shared" si="13"/>
        <v>0.43243243243243246</v>
      </c>
      <c r="Q325" s="568">
        <f t="shared" si="14"/>
        <v>0.43243243243243246</v>
      </c>
      <c r="R325" s="688" t="s">
        <v>1954</v>
      </c>
    </row>
    <row r="326" spans="1:18" ht="25.5" x14ac:dyDescent="0.2">
      <c r="A326" s="580" t="s">
        <v>277</v>
      </c>
      <c r="B326" s="581" t="s">
        <v>1019</v>
      </c>
      <c r="C326" s="580" t="s">
        <v>1018</v>
      </c>
      <c r="D326" s="581" t="s">
        <v>946</v>
      </c>
      <c r="E326" s="581" t="s">
        <v>1004</v>
      </c>
      <c r="F326" s="582" t="s">
        <v>974</v>
      </c>
      <c r="G326" s="581" t="s">
        <v>919</v>
      </c>
      <c r="H326" s="583" t="s">
        <v>77</v>
      </c>
      <c r="I326" s="513"/>
      <c r="J326" s="583" t="s">
        <v>1023</v>
      </c>
      <c r="K326" s="589">
        <v>100</v>
      </c>
      <c r="L326" s="587"/>
      <c r="M326" s="571">
        <v>148</v>
      </c>
      <c r="N326" s="571">
        <v>130</v>
      </c>
      <c r="O326" s="566">
        <f t="shared" ref="O326:O389" si="15">IFERROR(N326/M326,0)</f>
        <v>0.8783783783783784</v>
      </c>
      <c r="P326" s="567">
        <f t="shared" ref="P326:P389" si="16">IFERROR(N326/(M326*(K326/100)),0)</f>
        <v>0.8783783783783784</v>
      </c>
      <c r="Q326" s="568">
        <f t="shared" ref="Q326:Q389" si="17">N326/(M326*K326/100)</f>
        <v>0.8783783783783784</v>
      </c>
      <c r="R326" s="688" t="s">
        <v>1954</v>
      </c>
    </row>
    <row r="327" spans="1:18" ht="25.5" x14ac:dyDescent="0.2">
      <c r="A327" s="580" t="s">
        <v>277</v>
      </c>
      <c r="B327" s="581" t="s">
        <v>1019</v>
      </c>
      <c r="C327" s="580" t="s">
        <v>1018</v>
      </c>
      <c r="D327" s="581" t="s">
        <v>946</v>
      </c>
      <c r="E327" s="581" t="s">
        <v>1004</v>
      </c>
      <c r="F327" s="582" t="s">
        <v>970</v>
      </c>
      <c r="G327" s="581" t="s">
        <v>1005</v>
      </c>
      <c r="H327" s="583" t="s">
        <v>77</v>
      </c>
      <c r="I327" s="513"/>
      <c r="J327" s="583" t="s">
        <v>1023</v>
      </c>
      <c r="K327" s="589">
        <v>33</v>
      </c>
      <c r="L327" s="587"/>
      <c r="M327" s="571">
        <v>148</v>
      </c>
      <c r="N327" s="571">
        <v>130</v>
      </c>
      <c r="O327" s="566">
        <f t="shared" si="15"/>
        <v>0.8783783783783784</v>
      </c>
      <c r="P327" s="567">
        <f t="shared" si="16"/>
        <v>2.6617526617526615</v>
      </c>
      <c r="Q327" s="568">
        <f t="shared" si="17"/>
        <v>2.6617526617526615</v>
      </c>
      <c r="R327" s="688" t="s">
        <v>1954</v>
      </c>
    </row>
    <row r="328" spans="1:18" x14ac:dyDescent="0.2">
      <c r="A328" s="580" t="s">
        <v>277</v>
      </c>
      <c r="B328" s="581" t="s">
        <v>1019</v>
      </c>
      <c r="C328" s="580" t="s">
        <v>1018</v>
      </c>
      <c r="D328" s="581" t="s">
        <v>946</v>
      </c>
      <c r="E328" s="581" t="s">
        <v>954</v>
      </c>
      <c r="F328" s="582" t="s">
        <v>974</v>
      </c>
      <c r="G328" s="581" t="s">
        <v>1006</v>
      </c>
      <c r="H328" s="583" t="s">
        <v>77</v>
      </c>
      <c r="I328" s="513"/>
      <c r="J328" s="583" t="s">
        <v>1023</v>
      </c>
      <c r="K328" s="589">
        <v>100</v>
      </c>
      <c r="L328" s="587"/>
      <c r="M328" s="571">
        <v>148</v>
      </c>
      <c r="N328" s="571">
        <v>130</v>
      </c>
      <c r="O328" s="566">
        <f t="shared" si="15"/>
        <v>0.8783783783783784</v>
      </c>
      <c r="P328" s="567">
        <f t="shared" si="16"/>
        <v>0.8783783783783784</v>
      </c>
      <c r="Q328" s="568">
        <f t="shared" si="17"/>
        <v>0.8783783783783784</v>
      </c>
      <c r="R328" s="688" t="s">
        <v>1954</v>
      </c>
    </row>
    <row r="329" spans="1:18" ht="25.5" x14ac:dyDescent="0.2">
      <c r="A329" s="580" t="s">
        <v>277</v>
      </c>
      <c r="B329" s="581" t="s">
        <v>1019</v>
      </c>
      <c r="C329" s="580" t="s">
        <v>1018</v>
      </c>
      <c r="D329" s="581" t="s">
        <v>946</v>
      </c>
      <c r="E329" s="581" t="s">
        <v>954</v>
      </c>
      <c r="F329" s="582" t="s">
        <v>970</v>
      </c>
      <c r="G329" s="581" t="s">
        <v>1005</v>
      </c>
      <c r="H329" s="583" t="s">
        <v>77</v>
      </c>
      <c r="I329" s="513"/>
      <c r="J329" s="583" t="s">
        <v>1023</v>
      </c>
      <c r="K329" s="589">
        <v>33</v>
      </c>
      <c r="L329" s="585" t="s">
        <v>1024</v>
      </c>
      <c r="M329" s="571">
        <v>148</v>
      </c>
      <c r="N329" s="571">
        <v>130</v>
      </c>
      <c r="O329" s="566">
        <f t="shared" si="15"/>
        <v>0.8783783783783784</v>
      </c>
      <c r="P329" s="567">
        <f t="shared" si="16"/>
        <v>2.6617526617526615</v>
      </c>
      <c r="Q329" s="568">
        <f t="shared" si="17"/>
        <v>2.6617526617526615</v>
      </c>
      <c r="R329" s="688" t="s">
        <v>1954</v>
      </c>
    </row>
    <row r="330" spans="1:18" ht="25.5" x14ac:dyDescent="0.2">
      <c r="A330" s="580" t="s">
        <v>277</v>
      </c>
      <c r="B330" s="581" t="s">
        <v>1019</v>
      </c>
      <c r="C330" s="580" t="s">
        <v>1018</v>
      </c>
      <c r="D330" s="581" t="s">
        <v>946</v>
      </c>
      <c r="E330" s="581" t="s">
        <v>1007</v>
      </c>
      <c r="F330" s="582" t="s">
        <v>974</v>
      </c>
      <c r="G330" s="581" t="s">
        <v>919</v>
      </c>
      <c r="H330" s="583" t="s">
        <v>77</v>
      </c>
      <c r="I330" s="513"/>
      <c r="J330" s="583" t="s">
        <v>1023</v>
      </c>
      <c r="K330" s="589">
        <v>100</v>
      </c>
      <c r="L330" s="587"/>
      <c r="M330" s="571">
        <v>148</v>
      </c>
      <c r="N330" s="571">
        <v>130</v>
      </c>
      <c r="O330" s="566">
        <f t="shared" si="15"/>
        <v>0.8783783783783784</v>
      </c>
      <c r="P330" s="567">
        <f t="shared" si="16"/>
        <v>0.8783783783783784</v>
      </c>
      <c r="Q330" s="568">
        <f t="shared" si="17"/>
        <v>0.8783783783783784</v>
      </c>
      <c r="R330" s="688" t="s">
        <v>1954</v>
      </c>
    </row>
    <row r="331" spans="1:18" ht="25.5" x14ac:dyDescent="0.2">
      <c r="A331" s="580" t="s">
        <v>277</v>
      </c>
      <c r="B331" s="581" t="s">
        <v>1019</v>
      </c>
      <c r="C331" s="580" t="s">
        <v>1018</v>
      </c>
      <c r="D331" s="581" t="s">
        <v>1008</v>
      </c>
      <c r="E331" s="581" t="s">
        <v>1007</v>
      </c>
      <c r="F331" s="582" t="s">
        <v>1009</v>
      </c>
      <c r="G331" s="581" t="s">
        <v>919</v>
      </c>
      <c r="H331" s="583" t="s">
        <v>77</v>
      </c>
      <c r="I331" s="513"/>
      <c r="J331" s="583" t="s">
        <v>1023</v>
      </c>
      <c r="K331" s="589">
        <v>100</v>
      </c>
      <c r="L331" s="587"/>
      <c r="M331" s="571">
        <v>148</v>
      </c>
      <c r="N331" s="571">
        <v>130</v>
      </c>
      <c r="O331" s="566">
        <f t="shared" si="15"/>
        <v>0.8783783783783784</v>
      </c>
      <c r="P331" s="567">
        <f t="shared" si="16"/>
        <v>0.8783783783783784</v>
      </c>
      <c r="Q331" s="568">
        <f t="shared" si="17"/>
        <v>0.8783783783783784</v>
      </c>
      <c r="R331" s="688" t="s">
        <v>1954</v>
      </c>
    </row>
    <row r="332" spans="1:18" x14ac:dyDescent="0.2">
      <c r="A332" s="580" t="s">
        <v>277</v>
      </c>
      <c r="B332" s="581" t="s">
        <v>1019</v>
      </c>
      <c r="C332" s="580" t="s">
        <v>1018</v>
      </c>
      <c r="D332" s="581" t="s">
        <v>1008</v>
      </c>
      <c r="E332" s="581" t="s">
        <v>1010</v>
      </c>
      <c r="F332" s="582" t="s">
        <v>974</v>
      </c>
      <c r="G332" s="581" t="s">
        <v>919</v>
      </c>
      <c r="H332" s="583" t="s">
        <v>77</v>
      </c>
      <c r="I332" s="513"/>
      <c r="J332" s="583" t="s">
        <v>1023</v>
      </c>
      <c r="K332" s="589">
        <v>100</v>
      </c>
      <c r="L332" s="587"/>
      <c r="M332" s="571">
        <v>148</v>
      </c>
      <c r="N332" s="571">
        <v>130</v>
      </c>
      <c r="O332" s="566">
        <f t="shared" si="15"/>
        <v>0.8783783783783784</v>
      </c>
      <c r="P332" s="567">
        <f t="shared" si="16"/>
        <v>0.8783783783783784</v>
      </c>
      <c r="Q332" s="568">
        <f t="shared" si="17"/>
        <v>0.8783783783783784</v>
      </c>
      <c r="R332" s="688" t="s">
        <v>1954</v>
      </c>
    </row>
    <row r="333" spans="1:18" x14ac:dyDescent="0.2">
      <c r="A333" s="580" t="s">
        <v>277</v>
      </c>
      <c r="B333" s="581" t="s">
        <v>1017</v>
      </c>
      <c r="C333" s="580" t="s">
        <v>1020</v>
      </c>
      <c r="D333" s="581" t="s">
        <v>109</v>
      </c>
      <c r="E333" s="581" t="s">
        <v>968</v>
      </c>
      <c r="F333" s="582" t="s">
        <v>969</v>
      </c>
      <c r="G333" s="581" t="s">
        <v>919</v>
      </c>
      <c r="H333" s="583" t="s">
        <v>77</v>
      </c>
      <c r="I333" s="513"/>
      <c r="J333" s="583" t="s">
        <v>1023</v>
      </c>
      <c r="K333" s="584">
        <v>100</v>
      </c>
      <c r="L333" s="587"/>
      <c r="M333" s="571">
        <v>4</v>
      </c>
      <c r="N333" s="571">
        <v>3</v>
      </c>
      <c r="O333" s="566">
        <f t="shared" si="15"/>
        <v>0.75</v>
      </c>
      <c r="P333" s="567">
        <f t="shared" si="16"/>
        <v>0.75</v>
      </c>
      <c r="Q333" s="568">
        <f t="shared" si="17"/>
        <v>0.75</v>
      </c>
      <c r="R333" s="688" t="s">
        <v>1954</v>
      </c>
    </row>
    <row r="334" spans="1:18" ht="25.5" x14ac:dyDescent="0.2">
      <c r="A334" s="580" t="s">
        <v>277</v>
      </c>
      <c r="B334" s="581" t="s">
        <v>1017</v>
      </c>
      <c r="C334" s="580" t="s">
        <v>1020</v>
      </c>
      <c r="D334" s="581" t="s">
        <v>109</v>
      </c>
      <c r="E334" s="581" t="s">
        <v>968</v>
      </c>
      <c r="F334" s="582" t="s">
        <v>970</v>
      </c>
      <c r="G334" s="581" t="s">
        <v>971</v>
      </c>
      <c r="H334" s="583" t="s">
        <v>77</v>
      </c>
      <c r="I334" s="513"/>
      <c r="J334" s="583" t="s">
        <v>1023</v>
      </c>
      <c r="K334" s="584">
        <v>33</v>
      </c>
      <c r="L334" s="585" t="s">
        <v>1024</v>
      </c>
      <c r="M334" s="571">
        <v>4</v>
      </c>
      <c r="N334" s="571">
        <v>3</v>
      </c>
      <c r="O334" s="566">
        <f t="shared" si="15"/>
        <v>0.75</v>
      </c>
      <c r="P334" s="567">
        <f t="shared" si="16"/>
        <v>2.2727272727272725</v>
      </c>
      <c r="Q334" s="568">
        <f t="shared" si="17"/>
        <v>2.2727272727272725</v>
      </c>
      <c r="R334" s="688" t="s">
        <v>1954</v>
      </c>
    </row>
    <row r="335" spans="1:18" ht="25.5" x14ac:dyDescent="0.2">
      <c r="A335" s="580" t="s">
        <v>277</v>
      </c>
      <c r="B335" s="581" t="s">
        <v>1017</v>
      </c>
      <c r="C335" s="580" t="s">
        <v>1020</v>
      </c>
      <c r="D335" s="581" t="s">
        <v>109</v>
      </c>
      <c r="E335" s="581" t="s">
        <v>972</v>
      </c>
      <c r="F335" s="582" t="s">
        <v>969</v>
      </c>
      <c r="G335" s="581" t="s">
        <v>925</v>
      </c>
      <c r="H335" s="583" t="s">
        <v>77</v>
      </c>
      <c r="I335" s="513"/>
      <c r="J335" s="583" t="s">
        <v>1023</v>
      </c>
      <c r="K335" s="584">
        <v>25</v>
      </c>
      <c r="L335" s="587"/>
      <c r="M335" s="571">
        <v>4</v>
      </c>
      <c r="N335" s="571">
        <v>2</v>
      </c>
      <c r="O335" s="566">
        <f t="shared" si="15"/>
        <v>0.5</v>
      </c>
      <c r="P335" s="567">
        <f t="shared" si="16"/>
        <v>2</v>
      </c>
      <c r="Q335" s="568">
        <f t="shared" si="17"/>
        <v>2</v>
      </c>
      <c r="R335" s="688" t="s">
        <v>1954</v>
      </c>
    </row>
    <row r="336" spans="1:18" ht="25.5" x14ac:dyDescent="0.2">
      <c r="A336" s="580" t="s">
        <v>277</v>
      </c>
      <c r="B336" s="581" t="s">
        <v>1017</v>
      </c>
      <c r="C336" s="580" t="s">
        <v>1020</v>
      </c>
      <c r="D336" s="581" t="s">
        <v>109</v>
      </c>
      <c r="E336" s="581" t="s">
        <v>972</v>
      </c>
      <c r="F336" s="582" t="s">
        <v>970</v>
      </c>
      <c r="G336" s="581" t="s">
        <v>925</v>
      </c>
      <c r="H336" s="583" t="s">
        <v>77</v>
      </c>
      <c r="I336" s="513"/>
      <c r="J336" s="583" t="s">
        <v>1023</v>
      </c>
      <c r="K336" s="584">
        <v>25</v>
      </c>
      <c r="L336" s="587"/>
      <c r="M336" s="571">
        <v>4</v>
      </c>
      <c r="N336" s="571">
        <v>2</v>
      </c>
      <c r="O336" s="566">
        <f t="shared" si="15"/>
        <v>0.5</v>
      </c>
      <c r="P336" s="567">
        <f t="shared" si="16"/>
        <v>2</v>
      </c>
      <c r="Q336" s="568">
        <f t="shared" si="17"/>
        <v>2</v>
      </c>
      <c r="R336" s="688" t="s">
        <v>1954</v>
      </c>
    </row>
    <row r="337" spans="1:18" ht="25.5" x14ac:dyDescent="0.2">
      <c r="A337" s="580" t="s">
        <v>277</v>
      </c>
      <c r="B337" s="581" t="s">
        <v>1017</v>
      </c>
      <c r="C337" s="580" t="s">
        <v>1020</v>
      </c>
      <c r="D337" s="581" t="s">
        <v>109</v>
      </c>
      <c r="E337" s="581" t="s">
        <v>973</v>
      </c>
      <c r="F337" s="582" t="s">
        <v>974</v>
      </c>
      <c r="G337" s="581" t="s">
        <v>925</v>
      </c>
      <c r="H337" s="583" t="s">
        <v>77</v>
      </c>
      <c r="I337" s="513"/>
      <c r="J337" s="583" t="s">
        <v>1023</v>
      </c>
      <c r="K337" s="584">
        <v>25</v>
      </c>
      <c r="L337" s="587"/>
      <c r="M337" s="571">
        <v>4</v>
      </c>
      <c r="N337" s="571">
        <v>2</v>
      </c>
      <c r="O337" s="566">
        <f t="shared" si="15"/>
        <v>0.5</v>
      </c>
      <c r="P337" s="567">
        <f t="shared" si="16"/>
        <v>2</v>
      </c>
      <c r="Q337" s="568">
        <f t="shared" si="17"/>
        <v>2</v>
      </c>
      <c r="R337" s="688" t="s">
        <v>1954</v>
      </c>
    </row>
    <row r="338" spans="1:18" ht="38.25" x14ac:dyDescent="0.2">
      <c r="A338" s="580" t="s">
        <v>277</v>
      </c>
      <c r="B338" s="581" t="s">
        <v>1017</v>
      </c>
      <c r="C338" s="580" t="s">
        <v>1020</v>
      </c>
      <c r="D338" s="581" t="s">
        <v>109</v>
      </c>
      <c r="E338" s="581" t="s">
        <v>973</v>
      </c>
      <c r="F338" s="582" t="s">
        <v>975</v>
      </c>
      <c r="G338" s="581" t="s">
        <v>925</v>
      </c>
      <c r="H338" s="583" t="s">
        <v>77</v>
      </c>
      <c r="I338" s="513"/>
      <c r="J338" s="583" t="s">
        <v>1023</v>
      </c>
      <c r="K338" s="584">
        <v>33</v>
      </c>
      <c r="L338" s="585" t="s">
        <v>1025</v>
      </c>
      <c r="M338" s="571">
        <v>4</v>
      </c>
      <c r="N338" s="571">
        <v>2</v>
      </c>
      <c r="O338" s="566">
        <f t="shared" si="15"/>
        <v>0.5</v>
      </c>
      <c r="P338" s="567">
        <f t="shared" si="16"/>
        <v>1.5151515151515151</v>
      </c>
      <c r="Q338" s="568">
        <f t="shared" si="17"/>
        <v>1.5151515151515151</v>
      </c>
      <c r="R338" s="688" t="s">
        <v>1954</v>
      </c>
    </row>
    <row r="339" spans="1:18" ht="25.5" x14ac:dyDescent="0.2">
      <c r="A339" s="580" t="s">
        <v>277</v>
      </c>
      <c r="B339" s="581" t="s">
        <v>1017</v>
      </c>
      <c r="C339" s="580" t="s">
        <v>1020</v>
      </c>
      <c r="D339" s="581" t="s">
        <v>109</v>
      </c>
      <c r="E339" s="581" t="s">
        <v>976</v>
      </c>
      <c r="F339" s="582" t="s">
        <v>974</v>
      </c>
      <c r="G339" s="581" t="s">
        <v>925</v>
      </c>
      <c r="H339" s="583" t="s">
        <v>77</v>
      </c>
      <c r="I339" s="513"/>
      <c r="J339" s="583" t="s">
        <v>1023</v>
      </c>
      <c r="K339" s="584">
        <v>25</v>
      </c>
      <c r="L339" s="587"/>
      <c r="M339" s="571">
        <v>4</v>
      </c>
      <c r="N339" s="571">
        <v>2</v>
      </c>
      <c r="O339" s="566">
        <f t="shared" si="15"/>
        <v>0.5</v>
      </c>
      <c r="P339" s="567">
        <f t="shared" si="16"/>
        <v>2</v>
      </c>
      <c r="Q339" s="568">
        <f t="shared" si="17"/>
        <v>2</v>
      </c>
      <c r="R339" s="688" t="s">
        <v>1954</v>
      </c>
    </row>
    <row r="340" spans="1:18" ht="25.5" x14ac:dyDescent="0.2">
      <c r="A340" s="580" t="s">
        <v>277</v>
      </c>
      <c r="B340" s="581" t="s">
        <v>1017</v>
      </c>
      <c r="C340" s="580" t="s">
        <v>1020</v>
      </c>
      <c r="D340" s="581" t="s">
        <v>109</v>
      </c>
      <c r="E340" s="581" t="s">
        <v>977</v>
      </c>
      <c r="F340" s="582" t="s">
        <v>974</v>
      </c>
      <c r="G340" s="581" t="s">
        <v>925</v>
      </c>
      <c r="H340" s="583" t="s">
        <v>77</v>
      </c>
      <c r="I340" s="513"/>
      <c r="J340" s="583" t="s">
        <v>1023</v>
      </c>
      <c r="K340" s="584">
        <v>25</v>
      </c>
      <c r="L340" s="587"/>
      <c r="M340" s="571">
        <v>4</v>
      </c>
      <c r="N340" s="571">
        <v>2</v>
      </c>
      <c r="O340" s="566">
        <f t="shared" si="15"/>
        <v>0.5</v>
      </c>
      <c r="P340" s="567">
        <f t="shared" si="16"/>
        <v>2</v>
      </c>
      <c r="Q340" s="568">
        <f t="shared" si="17"/>
        <v>2</v>
      </c>
      <c r="R340" s="688" t="s">
        <v>1954</v>
      </c>
    </row>
    <row r="341" spans="1:18" x14ac:dyDescent="0.2">
      <c r="A341" s="580" t="s">
        <v>277</v>
      </c>
      <c r="B341" s="581" t="s">
        <v>1017</v>
      </c>
      <c r="C341" s="580" t="s">
        <v>1020</v>
      </c>
      <c r="D341" s="581" t="s">
        <v>109</v>
      </c>
      <c r="E341" s="581" t="s">
        <v>978</v>
      </c>
      <c r="F341" s="582" t="s">
        <v>974</v>
      </c>
      <c r="G341" s="581" t="s">
        <v>919</v>
      </c>
      <c r="H341" s="583" t="s">
        <v>77</v>
      </c>
      <c r="I341" s="513"/>
      <c r="J341" s="583" t="s">
        <v>1023</v>
      </c>
      <c r="K341" s="584">
        <v>100</v>
      </c>
      <c r="L341" s="587"/>
      <c r="M341" s="571">
        <v>4</v>
      </c>
      <c r="N341" s="571">
        <v>3</v>
      </c>
      <c r="O341" s="566">
        <f t="shared" si="15"/>
        <v>0.75</v>
      </c>
      <c r="P341" s="567">
        <f t="shared" si="16"/>
        <v>0.75</v>
      </c>
      <c r="Q341" s="568">
        <f t="shared" si="17"/>
        <v>0.75</v>
      </c>
      <c r="R341" s="688" t="s">
        <v>1954</v>
      </c>
    </row>
    <row r="342" spans="1:18" x14ac:dyDescent="0.2">
      <c r="A342" s="580" t="s">
        <v>277</v>
      </c>
      <c r="B342" s="581" t="s">
        <v>1017</v>
      </c>
      <c r="C342" s="580" t="s">
        <v>1020</v>
      </c>
      <c r="D342" s="581" t="s">
        <v>109</v>
      </c>
      <c r="E342" s="581" t="s">
        <v>979</v>
      </c>
      <c r="F342" s="582" t="s">
        <v>974</v>
      </c>
      <c r="G342" s="581" t="s">
        <v>919</v>
      </c>
      <c r="H342" s="583" t="s">
        <v>77</v>
      </c>
      <c r="I342" s="513"/>
      <c r="J342" s="583" t="s">
        <v>1023</v>
      </c>
      <c r="K342" s="589">
        <v>100</v>
      </c>
      <c r="L342" s="587"/>
      <c r="M342" s="571">
        <v>4</v>
      </c>
      <c r="N342" s="571">
        <v>3</v>
      </c>
      <c r="O342" s="566">
        <f t="shared" si="15"/>
        <v>0.75</v>
      </c>
      <c r="P342" s="567">
        <f t="shared" si="16"/>
        <v>0.75</v>
      </c>
      <c r="Q342" s="568">
        <f t="shared" si="17"/>
        <v>0.75</v>
      </c>
      <c r="R342" s="688" t="s">
        <v>1954</v>
      </c>
    </row>
    <row r="343" spans="1:18" ht="25.5" x14ac:dyDescent="0.2">
      <c r="A343" s="580" t="s">
        <v>277</v>
      </c>
      <c r="B343" s="581" t="s">
        <v>1017</v>
      </c>
      <c r="C343" s="580" t="s">
        <v>1020</v>
      </c>
      <c r="D343" s="581" t="s">
        <v>109</v>
      </c>
      <c r="E343" s="581" t="s">
        <v>980</v>
      </c>
      <c r="F343" s="582" t="s">
        <v>974</v>
      </c>
      <c r="G343" s="581" t="s">
        <v>925</v>
      </c>
      <c r="H343" s="583" t="s">
        <v>77</v>
      </c>
      <c r="I343" s="513"/>
      <c r="J343" s="583" t="s">
        <v>1023</v>
      </c>
      <c r="K343" s="589">
        <v>25</v>
      </c>
      <c r="L343" s="587"/>
      <c r="M343" s="571">
        <v>4</v>
      </c>
      <c r="N343" s="571">
        <v>2</v>
      </c>
      <c r="O343" s="566">
        <f t="shared" si="15"/>
        <v>0.5</v>
      </c>
      <c r="P343" s="567">
        <f t="shared" si="16"/>
        <v>2</v>
      </c>
      <c r="Q343" s="568">
        <f t="shared" si="17"/>
        <v>2</v>
      </c>
      <c r="R343" s="688" t="s">
        <v>1954</v>
      </c>
    </row>
    <row r="344" spans="1:18" ht="25.5" x14ac:dyDescent="0.2">
      <c r="A344" s="580" t="s">
        <v>277</v>
      </c>
      <c r="B344" s="581" t="s">
        <v>1017</v>
      </c>
      <c r="C344" s="580" t="s">
        <v>1020</v>
      </c>
      <c r="D344" s="581" t="s">
        <v>109</v>
      </c>
      <c r="E344" s="581" t="s">
        <v>981</v>
      </c>
      <c r="F344" s="582" t="s">
        <v>974</v>
      </c>
      <c r="G344" s="581" t="s">
        <v>925</v>
      </c>
      <c r="H344" s="583" t="s">
        <v>77</v>
      </c>
      <c r="I344" s="513"/>
      <c r="J344" s="583" t="s">
        <v>1023</v>
      </c>
      <c r="K344" s="589">
        <v>25</v>
      </c>
      <c r="L344" s="587"/>
      <c r="M344" s="571">
        <v>4</v>
      </c>
      <c r="N344" s="571">
        <v>2</v>
      </c>
      <c r="O344" s="566">
        <f t="shared" si="15"/>
        <v>0.5</v>
      </c>
      <c r="P344" s="567">
        <f t="shared" si="16"/>
        <v>2</v>
      </c>
      <c r="Q344" s="568">
        <f t="shared" si="17"/>
        <v>2</v>
      </c>
      <c r="R344" s="688" t="s">
        <v>1954</v>
      </c>
    </row>
    <row r="345" spans="1:18" x14ac:dyDescent="0.2">
      <c r="A345" s="580" t="s">
        <v>277</v>
      </c>
      <c r="B345" s="581" t="s">
        <v>1017</v>
      </c>
      <c r="C345" s="580" t="s">
        <v>1020</v>
      </c>
      <c r="D345" s="581" t="s">
        <v>109</v>
      </c>
      <c r="E345" s="581" t="s">
        <v>982</v>
      </c>
      <c r="F345" s="590" t="s">
        <v>983</v>
      </c>
      <c r="G345" s="581" t="s">
        <v>919</v>
      </c>
      <c r="H345" s="583" t="s">
        <v>77</v>
      </c>
      <c r="I345" s="513"/>
      <c r="J345" s="583" t="s">
        <v>1023</v>
      </c>
      <c r="K345" s="589">
        <v>100</v>
      </c>
      <c r="L345" s="587"/>
      <c r="M345" s="571">
        <v>4</v>
      </c>
      <c r="N345" s="571">
        <v>3</v>
      </c>
      <c r="O345" s="566">
        <f t="shared" si="15"/>
        <v>0.75</v>
      </c>
      <c r="P345" s="567">
        <f t="shared" si="16"/>
        <v>0.75</v>
      </c>
      <c r="Q345" s="568">
        <f t="shared" si="17"/>
        <v>0.75</v>
      </c>
      <c r="R345" s="688" t="s">
        <v>1954</v>
      </c>
    </row>
    <row r="346" spans="1:18" x14ac:dyDescent="0.2">
      <c r="A346" s="580" t="s">
        <v>277</v>
      </c>
      <c r="B346" s="581" t="s">
        <v>1017</v>
      </c>
      <c r="C346" s="580" t="s">
        <v>1020</v>
      </c>
      <c r="D346" s="581" t="s">
        <v>109</v>
      </c>
      <c r="E346" s="581" t="s">
        <v>984</v>
      </c>
      <c r="F346" s="590" t="s">
        <v>983</v>
      </c>
      <c r="G346" s="581" t="s">
        <v>919</v>
      </c>
      <c r="H346" s="583" t="s">
        <v>77</v>
      </c>
      <c r="I346" s="513"/>
      <c r="J346" s="583" t="s">
        <v>1023</v>
      </c>
      <c r="K346" s="589">
        <v>100</v>
      </c>
      <c r="L346" s="587"/>
      <c r="M346" s="571">
        <v>4</v>
      </c>
      <c r="N346" s="571">
        <v>3</v>
      </c>
      <c r="O346" s="566">
        <f t="shared" si="15"/>
        <v>0.75</v>
      </c>
      <c r="P346" s="567">
        <f t="shared" si="16"/>
        <v>0.75</v>
      </c>
      <c r="Q346" s="568">
        <f t="shared" si="17"/>
        <v>0.75</v>
      </c>
      <c r="R346" s="688" t="s">
        <v>1954</v>
      </c>
    </row>
    <row r="347" spans="1:18" ht="25.5" x14ac:dyDescent="0.2">
      <c r="A347" s="580" t="s">
        <v>277</v>
      </c>
      <c r="B347" s="581" t="s">
        <v>1017</v>
      </c>
      <c r="C347" s="580" t="s">
        <v>1020</v>
      </c>
      <c r="D347" s="581" t="s">
        <v>109</v>
      </c>
      <c r="E347" s="581" t="s">
        <v>985</v>
      </c>
      <c r="F347" s="590" t="s">
        <v>970</v>
      </c>
      <c r="G347" s="581" t="s">
        <v>925</v>
      </c>
      <c r="H347" s="583" t="s">
        <v>77</v>
      </c>
      <c r="I347" s="513"/>
      <c r="J347" s="583" t="s">
        <v>1023</v>
      </c>
      <c r="K347" s="589">
        <v>33</v>
      </c>
      <c r="L347" s="587"/>
      <c r="M347" s="571">
        <v>4</v>
      </c>
      <c r="N347" s="571">
        <v>2</v>
      </c>
      <c r="O347" s="566">
        <f t="shared" si="15"/>
        <v>0.5</v>
      </c>
      <c r="P347" s="567">
        <f t="shared" si="16"/>
        <v>1.5151515151515151</v>
      </c>
      <c r="Q347" s="568">
        <f t="shared" si="17"/>
        <v>1.5151515151515151</v>
      </c>
      <c r="R347" s="688" t="s">
        <v>1954</v>
      </c>
    </row>
    <row r="348" spans="1:18" ht="25.5" x14ac:dyDescent="0.2">
      <c r="A348" s="580" t="s">
        <v>277</v>
      </c>
      <c r="B348" s="581" t="s">
        <v>1017</v>
      </c>
      <c r="C348" s="580" t="s">
        <v>1020</v>
      </c>
      <c r="D348" s="581" t="s">
        <v>109</v>
      </c>
      <c r="E348" s="581" t="s">
        <v>986</v>
      </c>
      <c r="F348" s="590" t="s">
        <v>970</v>
      </c>
      <c r="G348" s="581" t="s">
        <v>925</v>
      </c>
      <c r="H348" s="583" t="s">
        <v>77</v>
      </c>
      <c r="I348" s="513"/>
      <c r="J348" s="583" t="s">
        <v>1023</v>
      </c>
      <c r="K348" s="589">
        <v>33</v>
      </c>
      <c r="L348" s="587"/>
      <c r="M348" s="571">
        <v>4</v>
      </c>
      <c r="N348" s="571">
        <v>2</v>
      </c>
      <c r="O348" s="566">
        <f t="shared" si="15"/>
        <v>0.5</v>
      </c>
      <c r="P348" s="567">
        <f t="shared" si="16"/>
        <v>1.5151515151515151</v>
      </c>
      <c r="Q348" s="568">
        <f t="shared" si="17"/>
        <v>1.5151515151515151</v>
      </c>
      <c r="R348" s="688" t="s">
        <v>1954</v>
      </c>
    </row>
    <row r="349" spans="1:18" ht="25.5" x14ac:dyDescent="0.2">
      <c r="A349" s="580" t="s">
        <v>277</v>
      </c>
      <c r="B349" s="581" t="s">
        <v>1017</v>
      </c>
      <c r="C349" s="580" t="s">
        <v>1020</v>
      </c>
      <c r="D349" s="581" t="s">
        <v>109</v>
      </c>
      <c r="E349" s="581" t="s">
        <v>987</v>
      </c>
      <c r="F349" s="590" t="s">
        <v>970</v>
      </c>
      <c r="G349" s="581" t="s">
        <v>925</v>
      </c>
      <c r="H349" s="583" t="s">
        <v>77</v>
      </c>
      <c r="I349" s="513"/>
      <c r="J349" s="583" t="s">
        <v>1023</v>
      </c>
      <c r="K349" s="589">
        <v>33</v>
      </c>
      <c r="L349" s="587"/>
      <c r="M349" s="571">
        <v>4</v>
      </c>
      <c r="N349" s="571">
        <v>2</v>
      </c>
      <c r="O349" s="566">
        <f t="shared" si="15"/>
        <v>0.5</v>
      </c>
      <c r="P349" s="567">
        <f t="shared" si="16"/>
        <v>1.5151515151515151</v>
      </c>
      <c r="Q349" s="568">
        <f t="shared" si="17"/>
        <v>1.5151515151515151</v>
      </c>
      <c r="R349" s="688" t="s">
        <v>1954</v>
      </c>
    </row>
    <row r="350" spans="1:18" ht="25.5" x14ac:dyDescent="0.2">
      <c r="A350" s="580" t="s">
        <v>277</v>
      </c>
      <c r="B350" s="581" t="s">
        <v>1017</v>
      </c>
      <c r="C350" s="580" t="s">
        <v>1020</v>
      </c>
      <c r="D350" s="581" t="s">
        <v>109</v>
      </c>
      <c r="E350" s="581" t="s">
        <v>988</v>
      </c>
      <c r="F350" s="590" t="s">
        <v>970</v>
      </c>
      <c r="G350" s="581" t="s">
        <v>925</v>
      </c>
      <c r="H350" s="583" t="s">
        <v>77</v>
      </c>
      <c r="I350" s="513"/>
      <c r="J350" s="583" t="s">
        <v>1023</v>
      </c>
      <c r="K350" s="589">
        <v>33</v>
      </c>
      <c r="L350" s="587"/>
      <c r="M350" s="571">
        <v>4</v>
      </c>
      <c r="N350" s="571">
        <v>2</v>
      </c>
      <c r="O350" s="566">
        <f t="shared" si="15"/>
        <v>0.5</v>
      </c>
      <c r="P350" s="567">
        <f t="shared" si="16"/>
        <v>1.5151515151515151</v>
      </c>
      <c r="Q350" s="568">
        <f t="shared" si="17"/>
        <v>1.5151515151515151</v>
      </c>
      <c r="R350" s="688" t="s">
        <v>1954</v>
      </c>
    </row>
    <row r="351" spans="1:18" ht="25.5" x14ac:dyDescent="0.2">
      <c r="A351" s="580" t="s">
        <v>277</v>
      </c>
      <c r="B351" s="581" t="s">
        <v>1017</v>
      </c>
      <c r="C351" s="580" t="s">
        <v>1020</v>
      </c>
      <c r="D351" s="581" t="s">
        <v>109</v>
      </c>
      <c r="E351" s="581" t="s">
        <v>989</v>
      </c>
      <c r="F351" s="590" t="s">
        <v>970</v>
      </c>
      <c r="G351" s="581" t="s">
        <v>925</v>
      </c>
      <c r="H351" s="583" t="s">
        <v>77</v>
      </c>
      <c r="I351" s="513"/>
      <c r="J351" s="583" t="s">
        <v>1023</v>
      </c>
      <c r="K351" s="589">
        <v>33</v>
      </c>
      <c r="L351" s="587"/>
      <c r="M351" s="571">
        <v>4</v>
      </c>
      <c r="N351" s="571">
        <v>2</v>
      </c>
      <c r="O351" s="566">
        <f t="shared" si="15"/>
        <v>0.5</v>
      </c>
      <c r="P351" s="567">
        <f t="shared" si="16"/>
        <v>1.5151515151515151</v>
      </c>
      <c r="Q351" s="568">
        <f t="shared" si="17"/>
        <v>1.5151515151515151</v>
      </c>
      <c r="R351" s="688" t="s">
        <v>1954</v>
      </c>
    </row>
    <row r="352" spans="1:18" ht="25.5" x14ac:dyDescent="0.2">
      <c r="A352" s="580" t="s">
        <v>277</v>
      </c>
      <c r="B352" s="581" t="s">
        <v>1017</v>
      </c>
      <c r="C352" s="580" t="s">
        <v>1020</v>
      </c>
      <c r="D352" s="581" t="s">
        <v>109</v>
      </c>
      <c r="E352" s="581" t="s">
        <v>990</v>
      </c>
      <c r="F352" s="590" t="s">
        <v>970</v>
      </c>
      <c r="G352" s="581" t="s">
        <v>925</v>
      </c>
      <c r="H352" s="583" t="s">
        <v>77</v>
      </c>
      <c r="I352" s="513"/>
      <c r="J352" s="583" t="s">
        <v>1023</v>
      </c>
      <c r="K352" s="589">
        <v>33</v>
      </c>
      <c r="L352" s="587"/>
      <c r="M352" s="571">
        <v>4</v>
      </c>
      <c r="N352" s="571">
        <v>2</v>
      </c>
      <c r="O352" s="566">
        <f t="shared" si="15"/>
        <v>0.5</v>
      </c>
      <c r="P352" s="567">
        <f t="shared" si="16"/>
        <v>1.5151515151515151</v>
      </c>
      <c r="Q352" s="568">
        <f t="shared" si="17"/>
        <v>1.5151515151515151</v>
      </c>
      <c r="R352" s="688" t="s">
        <v>1954</v>
      </c>
    </row>
    <row r="353" spans="1:18" x14ac:dyDescent="0.2">
      <c r="A353" s="580" t="s">
        <v>277</v>
      </c>
      <c r="B353" s="581" t="s">
        <v>1017</v>
      </c>
      <c r="C353" s="580" t="s">
        <v>1020</v>
      </c>
      <c r="D353" s="581" t="s">
        <v>109</v>
      </c>
      <c r="E353" s="581" t="s">
        <v>991</v>
      </c>
      <c r="F353" s="590" t="s">
        <v>974</v>
      </c>
      <c r="G353" s="581" t="s">
        <v>919</v>
      </c>
      <c r="H353" s="583" t="s">
        <v>77</v>
      </c>
      <c r="I353" s="513"/>
      <c r="J353" s="583" t="s">
        <v>1023</v>
      </c>
      <c r="K353" s="589">
        <v>100</v>
      </c>
      <c r="L353" s="587"/>
      <c r="M353" s="571">
        <v>4</v>
      </c>
      <c r="N353" s="571">
        <v>3</v>
      </c>
      <c r="O353" s="566">
        <f t="shared" si="15"/>
        <v>0.75</v>
      </c>
      <c r="P353" s="567">
        <f t="shared" si="16"/>
        <v>0.75</v>
      </c>
      <c r="Q353" s="568">
        <f t="shared" si="17"/>
        <v>0.75</v>
      </c>
      <c r="R353" s="688" t="s">
        <v>1954</v>
      </c>
    </row>
    <row r="354" spans="1:18" x14ac:dyDescent="0.2">
      <c r="A354" s="580" t="s">
        <v>277</v>
      </c>
      <c r="B354" s="581" t="s">
        <v>1017</v>
      </c>
      <c r="C354" s="580" t="s">
        <v>1020</v>
      </c>
      <c r="D354" s="581" t="s">
        <v>109</v>
      </c>
      <c r="E354" s="581" t="s">
        <v>992</v>
      </c>
      <c r="F354" s="590" t="s">
        <v>974</v>
      </c>
      <c r="G354" s="581" t="s">
        <v>919</v>
      </c>
      <c r="H354" s="583" t="s">
        <v>77</v>
      </c>
      <c r="I354" s="513"/>
      <c r="J354" s="583" t="s">
        <v>1023</v>
      </c>
      <c r="K354" s="589">
        <v>100</v>
      </c>
      <c r="L354" s="587"/>
      <c r="M354" s="571">
        <v>4</v>
      </c>
      <c r="N354" s="571">
        <v>3</v>
      </c>
      <c r="O354" s="566">
        <f t="shared" si="15"/>
        <v>0.75</v>
      </c>
      <c r="P354" s="567">
        <f t="shared" si="16"/>
        <v>0.75</v>
      </c>
      <c r="Q354" s="568">
        <f t="shared" si="17"/>
        <v>0.75</v>
      </c>
      <c r="R354" s="688" t="s">
        <v>1954</v>
      </c>
    </row>
    <row r="355" spans="1:18" ht="25.5" x14ac:dyDescent="0.2">
      <c r="A355" s="580" t="s">
        <v>277</v>
      </c>
      <c r="B355" s="581" t="s">
        <v>1017</v>
      </c>
      <c r="C355" s="580" t="s">
        <v>1020</v>
      </c>
      <c r="D355" s="581" t="s">
        <v>109</v>
      </c>
      <c r="E355" s="581" t="s">
        <v>993</v>
      </c>
      <c r="F355" s="590" t="s">
        <v>974</v>
      </c>
      <c r="G355" s="581" t="s">
        <v>919</v>
      </c>
      <c r="H355" s="583" t="s">
        <v>77</v>
      </c>
      <c r="I355" s="513"/>
      <c r="J355" s="583" t="s">
        <v>1023</v>
      </c>
      <c r="K355" s="589">
        <v>100</v>
      </c>
      <c r="L355" s="587"/>
      <c r="M355" s="571">
        <v>4</v>
      </c>
      <c r="N355" s="571">
        <v>3</v>
      </c>
      <c r="O355" s="566">
        <f t="shared" si="15"/>
        <v>0.75</v>
      </c>
      <c r="P355" s="567">
        <f t="shared" si="16"/>
        <v>0.75</v>
      </c>
      <c r="Q355" s="568">
        <f t="shared" si="17"/>
        <v>0.75</v>
      </c>
      <c r="R355" s="688" t="s">
        <v>1954</v>
      </c>
    </row>
    <row r="356" spans="1:18" x14ac:dyDescent="0.2">
      <c r="A356" s="580" t="s">
        <v>277</v>
      </c>
      <c r="B356" s="581" t="s">
        <v>1017</v>
      </c>
      <c r="C356" s="580" t="s">
        <v>1020</v>
      </c>
      <c r="D356" s="581" t="s">
        <v>109</v>
      </c>
      <c r="E356" s="581" t="s">
        <v>994</v>
      </c>
      <c r="F356" s="582" t="s">
        <v>969</v>
      </c>
      <c r="G356" s="581" t="s">
        <v>919</v>
      </c>
      <c r="H356" s="583" t="s">
        <v>77</v>
      </c>
      <c r="I356" s="513"/>
      <c r="J356" s="583" t="s">
        <v>1023</v>
      </c>
      <c r="K356" s="589">
        <v>100</v>
      </c>
      <c r="L356" s="587"/>
      <c r="M356" s="571">
        <v>4</v>
      </c>
      <c r="N356" s="571">
        <v>3</v>
      </c>
      <c r="O356" s="566">
        <f t="shared" si="15"/>
        <v>0.75</v>
      </c>
      <c r="P356" s="567">
        <f t="shared" si="16"/>
        <v>0.75</v>
      </c>
      <c r="Q356" s="568">
        <f t="shared" si="17"/>
        <v>0.75</v>
      </c>
      <c r="R356" s="688" t="s">
        <v>1954</v>
      </c>
    </row>
    <row r="357" spans="1:18" ht="25.5" x14ac:dyDescent="0.2">
      <c r="A357" s="580" t="s">
        <v>277</v>
      </c>
      <c r="B357" s="581" t="s">
        <v>1017</v>
      </c>
      <c r="C357" s="580" t="s">
        <v>1020</v>
      </c>
      <c r="D357" s="581" t="s">
        <v>109</v>
      </c>
      <c r="E357" s="581" t="s">
        <v>994</v>
      </c>
      <c r="F357" s="582" t="s">
        <v>970</v>
      </c>
      <c r="G357" s="581" t="s">
        <v>925</v>
      </c>
      <c r="H357" s="583" t="s">
        <v>77</v>
      </c>
      <c r="I357" s="513"/>
      <c r="J357" s="583" t="s">
        <v>1023</v>
      </c>
      <c r="K357" s="589">
        <v>33</v>
      </c>
      <c r="L357" s="585" t="s">
        <v>1024</v>
      </c>
      <c r="M357" s="571">
        <v>4</v>
      </c>
      <c r="N357" s="571">
        <v>3</v>
      </c>
      <c r="O357" s="566">
        <f t="shared" si="15"/>
        <v>0.75</v>
      </c>
      <c r="P357" s="567">
        <f t="shared" si="16"/>
        <v>2.2727272727272725</v>
      </c>
      <c r="Q357" s="568">
        <f t="shared" si="17"/>
        <v>2.2727272727272725</v>
      </c>
      <c r="R357" s="688" t="s">
        <v>1954</v>
      </c>
    </row>
    <row r="358" spans="1:18" ht="25.5" x14ac:dyDescent="0.2">
      <c r="A358" s="580" t="s">
        <v>277</v>
      </c>
      <c r="B358" s="581" t="s">
        <v>1017</v>
      </c>
      <c r="C358" s="580" t="s">
        <v>1020</v>
      </c>
      <c r="D358" s="581" t="s">
        <v>109</v>
      </c>
      <c r="E358" s="581" t="s">
        <v>995</v>
      </c>
      <c r="F358" s="590" t="s">
        <v>974</v>
      </c>
      <c r="G358" s="581" t="s">
        <v>925</v>
      </c>
      <c r="H358" s="583" t="s">
        <v>77</v>
      </c>
      <c r="I358" s="513"/>
      <c r="J358" s="583" t="s">
        <v>1023</v>
      </c>
      <c r="K358" s="589">
        <v>25</v>
      </c>
      <c r="L358" s="587"/>
      <c r="M358" s="571">
        <v>4</v>
      </c>
      <c r="N358" s="571">
        <v>2</v>
      </c>
      <c r="O358" s="566">
        <f t="shared" si="15"/>
        <v>0.5</v>
      </c>
      <c r="P358" s="567">
        <f t="shared" si="16"/>
        <v>2</v>
      </c>
      <c r="Q358" s="568">
        <f t="shared" si="17"/>
        <v>2</v>
      </c>
      <c r="R358" s="688" t="s">
        <v>1954</v>
      </c>
    </row>
    <row r="359" spans="1:18" ht="38.25" x14ac:dyDescent="0.2">
      <c r="A359" s="580" t="s">
        <v>277</v>
      </c>
      <c r="B359" s="581" t="s">
        <v>1017</v>
      </c>
      <c r="C359" s="580" t="s">
        <v>1020</v>
      </c>
      <c r="D359" s="581" t="s">
        <v>109</v>
      </c>
      <c r="E359" s="581" t="s">
        <v>996</v>
      </c>
      <c r="F359" s="590" t="s">
        <v>974</v>
      </c>
      <c r="G359" s="581" t="s">
        <v>925</v>
      </c>
      <c r="H359" s="583" t="s">
        <v>77</v>
      </c>
      <c r="I359" s="513"/>
      <c r="J359" s="583" t="s">
        <v>1023</v>
      </c>
      <c r="K359" s="589">
        <v>25</v>
      </c>
      <c r="L359" s="587"/>
      <c r="M359" s="571">
        <v>4</v>
      </c>
      <c r="N359" s="571">
        <v>2</v>
      </c>
      <c r="O359" s="566">
        <f t="shared" si="15"/>
        <v>0.5</v>
      </c>
      <c r="P359" s="567">
        <f t="shared" si="16"/>
        <v>2</v>
      </c>
      <c r="Q359" s="568">
        <f t="shared" si="17"/>
        <v>2</v>
      </c>
      <c r="R359" s="688" t="s">
        <v>1954</v>
      </c>
    </row>
    <row r="360" spans="1:18" ht="38.25" x14ac:dyDescent="0.2">
      <c r="A360" s="580" t="s">
        <v>277</v>
      </c>
      <c r="B360" s="581" t="s">
        <v>1017</v>
      </c>
      <c r="C360" s="580" t="s">
        <v>1020</v>
      </c>
      <c r="D360" s="581" t="s">
        <v>109</v>
      </c>
      <c r="E360" s="581" t="s">
        <v>997</v>
      </c>
      <c r="F360" s="590" t="s">
        <v>974</v>
      </c>
      <c r="G360" s="581" t="s">
        <v>919</v>
      </c>
      <c r="H360" s="583" t="s">
        <v>77</v>
      </c>
      <c r="I360" s="513"/>
      <c r="J360" s="583" t="s">
        <v>1023</v>
      </c>
      <c r="K360" s="589">
        <v>100</v>
      </c>
      <c r="L360" s="587"/>
      <c r="M360" s="571">
        <v>4</v>
      </c>
      <c r="N360" s="571">
        <v>3</v>
      </c>
      <c r="O360" s="566">
        <f t="shared" si="15"/>
        <v>0.75</v>
      </c>
      <c r="P360" s="567">
        <f t="shared" si="16"/>
        <v>0.75</v>
      </c>
      <c r="Q360" s="568">
        <f t="shared" si="17"/>
        <v>0.75</v>
      </c>
      <c r="R360" s="688" t="s">
        <v>1954</v>
      </c>
    </row>
    <row r="361" spans="1:18" x14ac:dyDescent="0.2">
      <c r="A361" s="580" t="s">
        <v>277</v>
      </c>
      <c r="B361" s="581" t="s">
        <v>1017</v>
      </c>
      <c r="C361" s="580" t="s">
        <v>1020</v>
      </c>
      <c r="D361" s="581" t="s">
        <v>946</v>
      </c>
      <c r="E361" s="581" t="s">
        <v>998</v>
      </c>
      <c r="F361" s="590" t="s">
        <v>974</v>
      </c>
      <c r="G361" s="581" t="s">
        <v>919</v>
      </c>
      <c r="H361" s="583" t="s">
        <v>77</v>
      </c>
      <c r="I361" s="513"/>
      <c r="J361" s="583" t="s">
        <v>1023</v>
      </c>
      <c r="K361" s="589">
        <v>100</v>
      </c>
      <c r="L361" s="587"/>
      <c r="M361" s="571">
        <v>4</v>
      </c>
      <c r="N361" s="571">
        <v>3</v>
      </c>
      <c r="O361" s="566">
        <f t="shared" si="15"/>
        <v>0.75</v>
      </c>
      <c r="P361" s="567">
        <f t="shared" si="16"/>
        <v>0.75</v>
      </c>
      <c r="Q361" s="568">
        <f t="shared" si="17"/>
        <v>0.75</v>
      </c>
      <c r="R361" s="688" t="s">
        <v>1954</v>
      </c>
    </row>
    <row r="362" spans="1:18" x14ac:dyDescent="0.2">
      <c r="A362" s="580" t="s">
        <v>277</v>
      </c>
      <c r="B362" s="581" t="s">
        <v>1017</v>
      </c>
      <c r="C362" s="580" t="s">
        <v>1020</v>
      </c>
      <c r="D362" s="581" t="s">
        <v>946</v>
      </c>
      <c r="E362" s="581" t="s">
        <v>999</v>
      </c>
      <c r="F362" s="590" t="s">
        <v>974</v>
      </c>
      <c r="G362" s="581" t="s">
        <v>919</v>
      </c>
      <c r="H362" s="583" t="s">
        <v>77</v>
      </c>
      <c r="I362" s="513"/>
      <c r="J362" s="583" t="s">
        <v>1023</v>
      </c>
      <c r="K362" s="589">
        <v>100</v>
      </c>
      <c r="L362" s="587"/>
      <c r="M362" s="571">
        <v>4</v>
      </c>
      <c r="N362" s="571">
        <v>3</v>
      </c>
      <c r="O362" s="566">
        <f t="shared" si="15"/>
        <v>0.75</v>
      </c>
      <c r="P362" s="567">
        <f t="shared" si="16"/>
        <v>0.75</v>
      </c>
      <c r="Q362" s="568">
        <f t="shared" si="17"/>
        <v>0.75</v>
      </c>
      <c r="R362" s="688" t="s">
        <v>1954</v>
      </c>
    </row>
    <row r="363" spans="1:18" ht="25.5" x14ac:dyDescent="0.2">
      <c r="A363" s="580" t="s">
        <v>277</v>
      </c>
      <c r="B363" s="581" t="s">
        <v>1017</v>
      </c>
      <c r="C363" s="580" t="s">
        <v>1020</v>
      </c>
      <c r="D363" s="581" t="s">
        <v>946</v>
      </c>
      <c r="E363" s="581" t="s">
        <v>1000</v>
      </c>
      <c r="F363" s="590" t="s">
        <v>974</v>
      </c>
      <c r="G363" s="581" t="s">
        <v>925</v>
      </c>
      <c r="H363" s="583" t="s">
        <v>77</v>
      </c>
      <c r="I363" s="513"/>
      <c r="J363" s="583" t="s">
        <v>1023</v>
      </c>
      <c r="K363" s="589">
        <v>25</v>
      </c>
      <c r="L363" s="587"/>
      <c r="M363" s="571">
        <v>4</v>
      </c>
      <c r="N363" s="571">
        <v>2</v>
      </c>
      <c r="O363" s="566">
        <f t="shared" si="15"/>
        <v>0.5</v>
      </c>
      <c r="P363" s="567">
        <f t="shared" si="16"/>
        <v>2</v>
      </c>
      <c r="Q363" s="568">
        <f t="shared" si="17"/>
        <v>2</v>
      </c>
      <c r="R363" s="688" t="s">
        <v>1954</v>
      </c>
    </row>
    <row r="364" spans="1:18" ht="25.5" x14ac:dyDescent="0.2">
      <c r="A364" s="580" t="s">
        <v>277</v>
      </c>
      <c r="B364" s="581" t="s">
        <v>1017</v>
      </c>
      <c r="C364" s="580" t="s">
        <v>1020</v>
      </c>
      <c r="D364" s="581" t="s">
        <v>946</v>
      </c>
      <c r="E364" s="581" t="s">
        <v>1001</v>
      </c>
      <c r="F364" s="590" t="s">
        <v>974</v>
      </c>
      <c r="G364" s="581" t="s">
        <v>925</v>
      </c>
      <c r="H364" s="583" t="s">
        <v>77</v>
      </c>
      <c r="I364" s="513"/>
      <c r="J364" s="583" t="s">
        <v>1023</v>
      </c>
      <c r="K364" s="589">
        <v>25</v>
      </c>
      <c r="L364" s="587"/>
      <c r="M364" s="571">
        <v>4</v>
      </c>
      <c r="N364" s="571">
        <v>2</v>
      </c>
      <c r="O364" s="566">
        <f t="shared" si="15"/>
        <v>0.5</v>
      </c>
      <c r="P364" s="567">
        <f t="shared" si="16"/>
        <v>2</v>
      </c>
      <c r="Q364" s="568">
        <f t="shared" si="17"/>
        <v>2</v>
      </c>
      <c r="R364" s="688" t="s">
        <v>1954</v>
      </c>
    </row>
    <row r="365" spans="1:18" ht="25.5" x14ac:dyDescent="0.2">
      <c r="A365" s="580" t="s">
        <v>277</v>
      </c>
      <c r="B365" s="581" t="s">
        <v>1017</v>
      </c>
      <c r="C365" s="580" t="s">
        <v>1020</v>
      </c>
      <c r="D365" s="581" t="s">
        <v>946</v>
      </c>
      <c r="E365" s="581" t="s">
        <v>1002</v>
      </c>
      <c r="F365" s="590" t="s">
        <v>974</v>
      </c>
      <c r="G365" s="581" t="s">
        <v>925</v>
      </c>
      <c r="H365" s="583" t="s">
        <v>77</v>
      </c>
      <c r="I365" s="513"/>
      <c r="J365" s="583" t="s">
        <v>1023</v>
      </c>
      <c r="K365" s="589">
        <v>25</v>
      </c>
      <c r="L365" s="587"/>
      <c r="M365" s="571">
        <v>4</v>
      </c>
      <c r="N365" s="571">
        <v>2</v>
      </c>
      <c r="O365" s="566">
        <f t="shared" si="15"/>
        <v>0.5</v>
      </c>
      <c r="P365" s="567">
        <f t="shared" si="16"/>
        <v>2</v>
      </c>
      <c r="Q365" s="568">
        <f t="shared" si="17"/>
        <v>2</v>
      </c>
      <c r="R365" s="688" t="s">
        <v>1954</v>
      </c>
    </row>
    <row r="366" spans="1:18" ht="25.5" x14ac:dyDescent="0.2">
      <c r="A366" s="580" t="s">
        <v>277</v>
      </c>
      <c r="B366" s="581" t="s">
        <v>1017</v>
      </c>
      <c r="C366" s="580" t="s">
        <v>1020</v>
      </c>
      <c r="D366" s="581" t="s">
        <v>946</v>
      </c>
      <c r="E366" s="581" t="s">
        <v>1003</v>
      </c>
      <c r="F366" s="590" t="s">
        <v>974</v>
      </c>
      <c r="G366" s="581" t="s">
        <v>925</v>
      </c>
      <c r="H366" s="583" t="s">
        <v>77</v>
      </c>
      <c r="I366" s="513"/>
      <c r="J366" s="583" t="s">
        <v>1023</v>
      </c>
      <c r="K366" s="589">
        <v>25</v>
      </c>
      <c r="L366" s="587"/>
      <c r="M366" s="571">
        <v>4</v>
      </c>
      <c r="N366" s="571">
        <v>2</v>
      </c>
      <c r="O366" s="566">
        <f t="shared" si="15"/>
        <v>0.5</v>
      </c>
      <c r="P366" s="567">
        <f t="shared" si="16"/>
        <v>2</v>
      </c>
      <c r="Q366" s="568">
        <f t="shared" si="17"/>
        <v>2</v>
      </c>
      <c r="R366" s="688" t="s">
        <v>1954</v>
      </c>
    </row>
    <row r="367" spans="1:18" ht="25.5" x14ac:dyDescent="0.2">
      <c r="A367" s="580" t="s">
        <v>277</v>
      </c>
      <c r="B367" s="581" t="s">
        <v>1017</v>
      </c>
      <c r="C367" s="580" t="s">
        <v>1020</v>
      </c>
      <c r="D367" s="581" t="s">
        <v>946</v>
      </c>
      <c r="E367" s="581" t="s">
        <v>1004</v>
      </c>
      <c r="F367" s="582" t="s">
        <v>974</v>
      </c>
      <c r="G367" s="581" t="s">
        <v>919</v>
      </c>
      <c r="H367" s="583" t="s">
        <v>77</v>
      </c>
      <c r="I367" s="513"/>
      <c r="J367" s="583" t="s">
        <v>1023</v>
      </c>
      <c r="K367" s="589">
        <v>100</v>
      </c>
      <c r="L367" s="587"/>
      <c r="M367" s="571">
        <v>4</v>
      </c>
      <c r="N367" s="571">
        <v>3</v>
      </c>
      <c r="O367" s="566">
        <f t="shared" si="15"/>
        <v>0.75</v>
      </c>
      <c r="P367" s="567">
        <f t="shared" si="16"/>
        <v>0.75</v>
      </c>
      <c r="Q367" s="568">
        <f t="shared" si="17"/>
        <v>0.75</v>
      </c>
      <c r="R367" s="688" t="s">
        <v>1954</v>
      </c>
    </row>
    <row r="368" spans="1:18" ht="25.5" x14ac:dyDescent="0.2">
      <c r="A368" s="580" t="s">
        <v>277</v>
      </c>
      <c r="B368" s="581" t="s">
        <v>1017</v>
      </c>
      <c r="C368" s="580" t="s">
        <v>1020</v>
      </c>
      <c r="D368" s="581" t="s">
        <v>946</v>
      </c>
      <c r="E368" s="581" t="s">
        <v>1004</v>
      </c>
      <c r="F368" s="582" t="s">
        <v>970</v>
      </c>
      <c r="G368" s="581" t="s">
        <v>1005</v>
      </c>
      <c r="H368" s="583" t="s">
        <v>77</v>
      </c>
      <c r="I368" s="513"/>
      <c r="J368" s="583" t="s">
        <v>1023</v>
      </c>
      <c r="K368" s="589">
        <v>33</v>
      </c>
      <c r="L368" s="587"/>
      <c r="M368" s="571">
        <v>4</v>
      </c>
      <c r="N368" s="571">
        <v>3</v>
      </c>
      <c r="O368" s="566">
        <f t="shared" si="15"/>
        <v>0.75</v>
      </c>
      <c r="P368" s="567">
        <f t="shared" si="16"/>
        <v>2.2727272727272725</v>
      </c>
      <c r="Q368" s="568">
        <f t="shared" si="17"/>
        <v>2.2727272727272725</v>
      </c>
      <c r="R368" s="688" t="s">
        <v>1954</v>
      </c>
    </row>
    <row r="369" spans="1:18" x14ac:dyDescent="0.2">
      <c r="A369" s="580" t="s">
        <v>277</v>
      </c>
      <c r="B369" s="581" t="s">
        <v>1017</v>
      </c>
      <c r="C369" s="580" t="s">
        <v>1020</v>
      </c>
      <c r="D369" s="581" t="s">
        <v>946</v>
      </c>
      <c r="E369" s="581" t="s">
        <v>954</v>
      </c>
      <c r="F369" s="582" t="s">
        <v>974</v>
      </c>
      <c r="G369" s="581" t="s">
        <v>1006</v>
      </c>
      <c r="H369" s="583" t="s">
        <v>77</v>
      </c>
      <c r="I369" s="513"/>
      <c r="J369" s="583" t="s">
        <v>1023</v>
      </c>
      <c r="K369" s="589">
        <v>100</v>
      </c>
      <c r="L369" s="587"/>
      <c r="M369" s="571">
        <v>4</v>
      </c>
      <c r="N369" s="571">
        <v>3</v>
      </c>
      <c r="O369" s="566">
        <f t="shared" si="15"/>
        <v>0.75</v>
      </c>
      <c r="P369" s="567">
        <f t="shared" si="16"/>
        <v>0.75</v>
      </c>
      <c r="Q369" s="568">
        <f t="shared" si="17"/>
        <v>0.75</v>
      </c>
      <c r="R369" s="688" t="s">
        <v>1954</v>
      </c>
    </row>
    <row r="370" spans="1:18" ht="25.5" x14ac:dyDescent="0.2">
      <c r="A370" s="580" t="s">
        <v>277</v>
      </c>
      <c r="B370" s="581" t="s">
        <v>1017</v>
      </c>
      <c r="C370" s="580" t="s">
        <v>1020</v>
      </c>
      <c r="D370" s="581" t="s">
        <v>946</v>
      </c>
      <c r="E370" s="581" t="s">
        <v>954</v>
      </c>
      <c r="F370" s="582" t="s">
        <v>970</v>
      </c>
      <c r="G370" s="581" t="s">
        <v>1005</v>
      </c>
      <c r="H370" s="583" t="s">
        <v>77</v>
      </c>
      <c r="I370" s="513"/>
      <c r="J370" s="583" t="s">
        <v>1023</v>
      </c>
      <c r="K370" s="589">
        <v>33</v>
      </c>
      <c r="L370" s="585" t="s">
        <v>1024</v>
      </c>
      <c r="M370" s="571">
        <v>4</v>
      </c>
      <c r="N370" s="571">
        <v>3</v>
      </c>
      <c r="O370" s="566">
        <f t="shared" si="15"/>
        <v>0.75</v>
      </c>
      <c r="P370" s="567">
        <f t="shared" si="16"/>
        <v>2.2727272727272725</v>
      </c>
      <c r="Q370" s="568">
        <f t="shared" si="17"/>
        <v>2.2727272727272725</v>
      </c>
      <c r="R370" s="688" t="s">
        <v>1954</v>
      </c>
    </row>
    <row r="371" spans="1:18" ht="25.5" x14ac:dyDescent="0.2">
      <c r="A371" s="580" t="s">
        <v>277</v>
      </c>
      <c r="B371" s="581" t="s">
        <v>1017</v>
      </c>
      <c r="C371" s="580" t="s">
        <v>1020</v>
      </c>
      <c r="D371" s="581" t="s">
        <v>946</v>
      </c>
      <c r="E371" s="581" t="s">
        <v>1007</v>
      </c>
      <c r="F371" s="582" t="s">
        <v>974</v>
      </c>
      <c r="G371" s="581" t="s">
        <v>919</v>
      </c>
      <c r="H371" s="583" t="s">
        <v>77</v>
      </c>
      <c r="I371" s="513"/>
      <c r="J371" s="583" t="s">
        <v>1023</v>
      </c>
      <c r="K371" s="589">
        <v>100</v>
      </c>
      <c r="L371" s="587"/>
      <c r="M371" s="571">
        <v>4</v>
      </c>
      <c r="N371" s="571">
        <v>3</v>
      </c>
      <c r="O371" s="566">
        <f t="shared" si="15"/>
        <v>0.75</v>
      </c>
      <c r="P371" s="567">
        <f t="shared" si="16"/>
        <v>0.75</v>
      </c>
      <c r="Q371" s="568">
        <f t="shared" si="17"/>
        <v>0.75</v>
      </c>
      <c r="R371" s="688" t="s">
        <v>1954</v>
      </c>
    </row>
    <row r="372" spans="1:18" ht="25.5" x14ac:dyDescent="0.2">
      <c r="A372" s="580" t="s">
        <v>277</v>
      </c>
      <c r="B372" s="581" t="s">
        <v>1017</v>
      </c>
      <c r="C372" s="580" t="s">
        <v>1020</v>
      </c>
      <c r="D372" s="581" t="s">
        <v>1008</v>
      </c>
      <c r="E372" s="581" t="s">
        <v>1007</v>
      </c>
      <c r="F372" s="582" t="s">
        <v>1009</v>
      </c>
      <c r="G372" s="581" t="s">
        <v>919</v>
      </c>
      <c r="H372" s="583" t="s">
        <v>77</v>
      </c>
      <c r="I372" s="513"/>
      <c r="J372" s="583" t="s">
        <v>1023</v>
      </c>
      <c r="K372" s="589">
        <v>100</v>
      </c>
      <c r="L372" s="587"/>
      <c r="M372" s="571">
        <v>4</v>
      </c>
      <c r="N372" s="571">
        <v>3</v>
      </c>
      <c r="O372" s="566">
        <f t="shared" si="15"/>
        <v>0.75</v>
      </c>
      <c r="P372" s="567">
        <f t="shared" si="16"/>
        <v>0.75</v>
      </c>
      <c r="Q372" s="568">
        <f t="shared" si="17"/>
        <v>0.75</v>
      </c>
      <c r="R372" s="688" t="s">
        <v>1954</v>
      </c>
    </row>
    <row r="373" spans="1:18" x14ac:dyDescent="0.2">
      <c r="A373" s="580" t="s">
        <v>277</v>
      </c>
      <c r="B373" s="581" t="s">
        <v>1017</v>
      </c>
      <c r="C373" s="580" t="s">
        <v>1020</v>
      </c>
      <c r="D373" s="581" t="s">
        <v>1008</v>
      </c>
      <c r="E373" s="581" t="s">
        <v>1010</v>
      </c>
      <c r="F373" s="582" t="s">
        <v>974</v>
      </c>
      <c r="G373" s="581" t="s">
        <v>919</v>
      </c>
      <c r="H373" s="583" t="s">
        <v>77</v>
      </c>
      <c r="I373" s="513"/>
      <c r="J373" s="583" t="s">
        <v>1023</v>
      </c>
      <c r="K373" s="589">
        <v>100</v>
      </c>
      <c r="L373" s="587"/>
      <c r="M373" s="571">
        <v>4</v>
      </c>
      <c r="N373" s="571">
        <v>3</v>
      </c>
      <c r="O373" s="566">
        <f t="shared" si="15"/>
        <v>0.75</v>
      </c>
      <c r="P373" s="567">
        <f t="shared" si="16"/>
        <v>0.75</v>
      </c>
      <c r="Q373" s="568">
        <f t="shared" si="17"/>
        <v>0.75</v>
      </c>
      <c r="R373" s="688" t="s">
        <v>1954</v>
      </c>
    </row>
    <row r="374" spans="1:18" x14ac:dyDescent="0.2">
      <c r="A374" s="580" t="s">
        <v>277</v>
      </c>
      <c r="B374" s="581" t="s">
        <v>1021</v>
      </c>
      <c r="C374" s="580" t="s">
        <v>1022</v>
      </c>
      <c r="D374" s="581" t="s">
        <v>109</v>
      </c>
      <c r="E374" s="581" t="s">
        <v>968</v>
      </c>
      <c r="F374" s="582" t="s">
        <v>969</v>
      </c>
      <c r="G374" s="581" t="s">
        <v>919</v>
      </c>
      <c r="H374" s="583" t="s">
        <v>77</v>
      </c>
      <c r="I374" s="513"/>
      <c r="J374" s="583" t="s">
        <v>1023</v>
      </c>
      <c r="K374" s="584">
        <v>100</v>
      </c>
      <c r="L374" s="587"/>
      <c r="M374" s="571">
        <v>9</v>
      </c>
      <c r="N374" s="571">
        <v>7</v>
      </c>
      <c r="O374" s="566">
        <f t="shared" si="15"/>
        <v>0.77777777777777779</v>
      </c>
      <c r="P374" s="567">
        <f t="shared" si="16"/>
        <v>0.77777777777777779</v>
      </c>
      <c r="Q374" s="568">
        <f t="shared" si="17"/>
        <v>0.77777777777777779</v>
      </c>
      <c r="R374" s="688" t="s">
        <v>1954</v>
      </c>
    </row>
    <row r="375" spans="1:18" ht="25.5" x14ac:dyDescent="0.2">
      <c r="A375" s="580" t="s">
        <v>277</v>
      </c>
      <c r="B375" s="581" t="s">
        <v>1021</v>
      </c>
      <c r="C375" s="580" t="s">
        <v>1022</v>
      </c>
      <c r="D375" s="581" t="s">
        <v>109</v>
      </c>
      <c r="E375" s="581" t="s">
        <v>968</v>
      </c>
      <c r="F375" s="582" t="s">
        <v>970</v>
      </c>
      <c r="G375" s="581" t="s">
        <v>971</v>
      </c>
      <c r="H375" s="583" t="s">
        <v>77</v>
      </c>
      <c r="I375" s="513"/>
      <c r="J375" s="583" t="s">
        <v>1023</v>
      </c>
      <c r="K375" s="584">
        <v>33</v>
      </c>
      <c r="L375" s="585" t="s">
        <v>1024</v>
      </c>
      <c r="M375" s="571">
        <v>9</v>
      </c>
      <c r="N375" s="571">
        <v>7</v>
      </c>
      <c r="O375" s="566">
        <f t="shared" si="15"/>
        <v>0.77777777777777779</v>
      </c>
      <c r="P375" s="567">
        <f t="shared" si="16"/>
        <v>2.3569023569023568</v>
      </c>
      <c r="Q375" s="568">
        <f t="shared" si="17"/>
        <v>2.3569023569023568</v>
      </c>
      <c r="R375" s="688" t="s">
        <v>1954</v>
      </c>
    </row>
    <row r="376" spans="1:18" ht="25.5" x14ac:dyDescent="0.2">
      <c r="A376" s="580" t="s">
        <v>277</v>
      </c>
      <c r="B376" s="581" t="s">
        <v>1021</v>
      </c>
      <c r="C376" s="580" t="s">
        <v>1022</v>
      </c>
      <c r="D376" s="581" t="s">
        <v>109</v>
      </c>
      <c r="E376" s="581" t="s">
        <v>972</v>
      </c>
      <c r="F376" s="582" t="s">
        <v>969</v>
      </c>
      <c r="G376" s="581" t="s">
        <v>925</v>
      </c>
      <c r="H376" s="583" t="s">
        <v>77</v>
      </c>
      <c r="I376" s="513"/>
      <c r="J376" s="583" t="s">
        <v>1023</v>
      </c>
      <c r="K376" s="584">
        <v>25</v>
      </c>
      <c r="L376" s="587"/>
      <c r="M376" s="571">
        <v>9</v>
      </c>
      <c r="N376" s="571">
        <v>3</v>
      </c>
      <c r="O376" s="566">
        <f t="shared" si="15"/>
        <v>0.33333333333333331</v>
      </c>
      <c r="P376" s="567">
        <f t="shared" si="16"/>
        <v>1.3333333333333333</v>
      </c>
      <c r="Q376" s="568">
        <f t="shared" si="17"/>
        <v>1.3333333333333333</v>
      </c>
      <c r="R376" s="688" t="s">
        <v>1954</v>
      </c>
    </row>
    <row r="377" spans="1:18" ht="25.5" x14ac:dyDescent="0.2">
      <c r="A377" s="580" t="s">
        <v>277</v>
      </c>
      <c r="B377" s="581" t="s">
        <v>1021</v>
      </c>
      <c r="C377" s="580" t="s">
        <v>1022</v>
      </c>
      <c r="D377" s="581" t="s">
        <v>109</v>
      </c>
      <c r="E377" s="581" t="s">
        <v>972</v>
      </c>
      <c r="F377" s="582" t="s">
        <v>970</v>
      </c>
      <c r="G377" s="581" t="s">
        <v>925</v>
      </c>
      <c r="H377" s="583" t="s">
        <v>77</v>
      </c>
      <c r="I377" s="513"/>
      <c r="J377" s="583" t="s">
        <v>1023</v>
      </c>
      <c r="K377" s="584">
        <v>25</v>
      </c>
      <c r="L377" s="587"/>
      <c r="M377" s="571">
        <v>9</v>
      </c>
      <c r="N377" s="571">
        <v>3</v>
      </c>
      <c r="O377" s="566">
        <f t="shared" si="15"/>
        <v>0.33333333333333331</v>
      </c>
      <c r="P377" s="567">
        <f t="shared" si="16"/>
        <v>1.3333333333333333</v>
      </c>
      <c r="Q377" s="568">
        <f t="shared" si="17"/>
        <v>1.3333333333333333</v>
      </c>
      <c r="R377" s="688" t="s">
        <v>1954</v>
      </c>
    </row>
    <row r="378" spans="1:18" ht="25.5" x14ac:dyDescent="0.2">
      <c r="A378" s="580" t="s">
        <v>277</v>
      </c>
      <c r="B378" s="581" t="s">
        <v>1021</v>
      </c>
      <c r="C378" s="580" t="s">
        <v>1022</v>
      </c>
      <c r="D378" s="581" t="s">
        <v>109</v>
      </c>
      <c r="E378" s="581" t="s">
        <v>973</v>
      </c>
      <c r="F378" s="582" t="s">
        <v>974</v>
      </c>
      <c r="G378" s="581" t="s">
        <v>925</v>
      </c>
      <c r="H378" s="583" t="s">
        <v>77</v>
      </c>
      <c r="I378" s="513"/>
      <c r="J378" s="583" t="s">
        <v>1023</v>
      </c>
      <c r="K378" s="584">
        <v>25</v>
      </c>
      <c r="L378" s="587"/>
      <c r="M378" s="571">
        <v>9</v>
      </c>
      <c r="N378" s="571">
        <v>3</v>
      </c>
      <c r="O378" s="566">
        <f t="shared" si="15"/>
        <v>0.33333333333333331</v>
      </c>
      <c r="P378" s="567">
        <f t="shared" si="16"/>
        <v>1.3333333333333333</v>
      </c>
      <c r="Q378" s="568">
        <f t="shared" si="17"/>
        <v>1.3333333333333333</v>
      </c>
      <c r="R378" s="688" t="s">
        <v>1954</v>
      </c>
    </row>
    <row r="379" spans="1:18" ht="38.25" x14ac:dyDescent="0.2">
      <c r="A379" s="580" t="s">
        <v>277</v>
      </c>
      <c r="B379" s="581" t="s">
        <v>1021</v>
      </c>
      <c r="C379" s="580" t="s">
        <v>1022</v>
      </c>
      <c r="D379" s="581" t="s">
        <v>109</v>
      </c>
      <c r="E379" s="581" t="s">
        <v>973</v>
      </c>
      <c r="F379" s="582" t="s">
        <v>975</v>
      </c>
      <c r="G379" s="581" t="s">
        <v>925</v>
      </c>
      <c r="H379" s="583" t="s">
        <v>77</v>
      </c>
      <c r="I379" s="513"/>
      <c r="J379" s="583" t="s">
        <v>1023</v>
      </c>
      <c r="K379" s="584">
        <v>33</v>
      </c>
      <c r="L379" s="585" t="s">
        <v>1025</v>
      </c>
      <c r="M379" s="571">
        <v>9</v>
      </c>
      <c r="N379" s="571">
        <v>3</v>
      </c>
      <c r="O379" s="566">
        <f t="shared" si="15"/>
        <v>0.33333333333333331</v>
      </c>
      <c r="P379" s="567">
        <f t="shared" si="16"/>
        <v>1.0101010101010099</v>
      </c>
      <c r="Q379" s="568">
        <f t="shared" si="17"/>
        <v>1.0101010101010099</v>
      </c>
      <c r="R379" s="688" t="s">
        <v>1954</v>
      </c>
    </row>
    <row r="380" spans="1:18" ht="25.5" x14ac:dyDescent="0.2">
      <c r="A380" s="580" t="s">
        <v>277</v>
      </c>
      <c r="B380" s="581" t="s">
        <v>1021</v>
      </c>
      <c r="C380" s="580" t="s">
        <v>1022</v>
      </c>
      <c r="D380" s="581" t="s">
        <v>109</v>
      </c>
      <c r="E380" s="581" t="s">
        <v>976</v>
      </c>
      <c r="F380" s="582" t="s">
        <v>974</v>
      </c>
      <c r="G380" s="581" t="s">
        <v>925</v>
      </c>
      <c r="H380" s="583" t="s">
        <v>77</v>
      </c>
      <c r="I380" s="513"/>
      <c r="J380" s="583" t="s">
        <v>1023</v>
      </c>
      <c r="K380" s="584">
        <v>25</v>
      </c>
      <c r="L380" s="587"/>
      <c r="M380" s="571">
        <v>9</v>
      </c>
      <c r="N380" s="571">
        <v>3</v>
      </c>
      <c r="O380" s="566">
        <f t="shared" si="15"/>
        <v>0.33333333333333331</v>
      </c>
      <c r="P380" s="567">
        <f t="shared" si="16"/>
        <v>1.3333333333333333</v>
      </c>
      <c r="Q380" s="568">
        <f t="shared" si="17"/>
        <v>1.3333333333333333</v>
      </c>
      <c r="R380" s="688" t="s">
        <v>1954</v>
      </c>
    </row>
    <row r="381" spans="1:18" ht="25.5" x14ac:dyDescent="0.2">
      <c r="A381" s="580" t="s">
        <v>277</v>
      </c>
      <c r="B381" s="581" t="s">
        <v>1021</v>
      </c>
      <c r="C381" s="580" t="s">
        <v>1022</v>
      </c>
      <c r="D381" s="581" t="s">
        <v>109</v>
      </c>
      <c r="E381" s="581" t="s">
        <v>977</v>
      </c>
      <c r="F381" s="582" t="s">
        <v>974</v>
      </c>
      <c r="G381" s="581" t="s">
        <v>925</v>
      </c>
      <c r="H381" s="583" t="s">
        <v>77</v>
      </c>
      <c r="I381" s="513"/>
      <c r="J381" s="583" t="s">
        <v>1023</v>
      </c>
      <c r="K381" s="584">
        <v>25</v>
      </c>
      <c r="L381" s="587"/>
      <c r="M381" s="571">
        <v>9</v>
      </c>
      <c r="N381" s="571">
        <v>0</v>
      </c>
      <c r="O381" s="566">
        <f t="shared" si="15"/>
        <v>0</v>
      </c>
      <c r="P381" s="567">
        <f t="shared" si="16"/>
        <v>0</v>
      </c>
      <c r="Q381" s="568">
        <f t="shared" si="17"/>
        <v>0</v>
      </c>
      <c r="R381" s="688" t="s">
        <v>1954</v>
      </c>
    </row>
    <row r="382" spans="1:18" x14ac:dyDescent="0.2">
      <c r="A382" s="580" t="s">
        <v>277</v>
      </c>
      <c r="B382" s="581" t="s">
        <v>1021</v>
      </c>
      <c r="C382" s="580" t="s">
        <v>1022</v>
      </c>
      <c r="D382" s="581" t="s">
        <v>109</v>
      </c>
      <c r="E382" s="581" t="s">
        <v>978</v>
      </c>
      <c r="F382" s="582" t="s">
        <v>974</v>
      </c>
      <c r="G382" s="581" t="s">
        <v>919</v>
      </c>
      <c r="H382" s="583" t="s">
        <v>77</v>
      </c>
      <c r="I382" s="513"/>
      <c r="J382" s="583" t="s">
        <v>1023</v>
      </c>
      <c r="K382" s="584">
        <v>100</v>
      </c>
      <c r="L382" s="587"/>
      <c r="M382" s="571">
        <v>9</v>
      </c>
      <c r="N382" s="571">
        <v>7</v>
      </c>
      <c r="O382" s="566">
        <f t="shared" si="15"/>
        <v>0.77777777777777779</v>
      </c>
      <c r="P382" s="567">
        <f t="shared" si="16"/>
        <v>0.77777777777777779</v>
      </c>
      <c r="Q382" s="568">
        <f t="shared" si="17"/>
        <v>0.77777777777777779</v>
      </c>
      <c r="R382" s="688" t="s">
        <v>1954</v>
      </c>
    </row>
    <row r="383" spans="1:18" x14ac:dyDescent="0.2">
      <c r="A383" s="580" t="s">
        <v>277</v>
      </c>
      <c r="B383" s="581" t="s">
        <v>1021</v>
      </c>
      <c r="C383" s="580" t="s">
        <v>1022</v>
      </c>
      <c r="D383" s="581" t="s">
        <v>109</v>
      </c>
      <c r="E383" s="581" t="s">
        <v>979</v>
      </c>
      <c r="F383" s="582" t="s">
        <v>974</v>
      </c>
      <c r="G383" s="581" t="s">
        <v>919</v>
      </c>
      <c r="H383" s="583" t="s">
        <v>77</v>
      </c>
      <c r="I383" s="513"/>
      <c r="J383" s="583" t="s">
        <v>1023</v>
      </c>
      <c r="K383" s="589">
        <v>100</v>
      </c>
      <c r="L383" s="587"/>
      <c r="M383" s="571">
        <v>9</v>
      </c>
      <c r="N383" s="571">
        <v>7</v>
      </c>
      <c r="O383" s="566">
        <f t="shared" si="15"/>
        <v>0.77777777777777779</v>
      </c>
      <c r="P383" s="567">
        <f t="shared" si="16"/>
        <v>0.77777777777777779</v>
      </c>
      <c r="Q383" s="568">
        <f t="shared" si="17"/>
        <v>0.77777777777777779</v>
      </c>
      <c r="R383" s="688" t="s">
        <v>1954</v>
      </c>
    </row>
    <row r="384" spans="1:18" ht="25.5" x14ac:dyDescent="0.2">
      <c r="A384" s="580" t="s">
        <v>277</v>
      </c>
      <c r="B384" s="581" t="s">
        <v>1021</v>
      </c>
      <c r="C384" s="580" t="s">
        <v>1022</v>
      </c>
      <c r="D384" s="581" t="s">
        <v>109</v>
      </c>
      <c r="E384" s="581" t="s">
        <v>980</v>
      </c>
      <c r="F384" s="582" t="s">
        <v>974</v>
      </c>
      <c r="G384" s="581" t="s">
        <v>925</v>
      </c>
      <c r="H384" s="583" t="s">
        <v>77</v>
      </c>
      <c r="I384" s="513"/>
      <c r="J384" s="583" t="s">
        <v>1023</v>
      </c>
      <c r="K384" s="589">
        <v>25</v>
      </c>
      <c r="L384" s="587"/>
      <c r="M384" s="571">
        <v>9</v>
      </c>
      <c r="N384" s="571">
        <v>0</v>
      </c>
      <c r="O384" s="566">
        <f t="shared" si="15"/>
        <v>0</v>
      </c>
      <c r="P384" s="567">
        <f t="shared" si="16"/>
        <v>0</v>
      </c>
      <c r="Q384" s="568">
        <f t="shared" si="17"/>
        <v>0</v>
      </c>
      <c r="R384" s="688" t="s">
        <v>1954</v>
      </c>
    </row>
    <row r="385" spans="1:18" ht="25.5" x14ac:dyDescent="0.2">
      <c r="A385" s="580" t="s">
        <v>277</v>
      </c>
      <c r="B385" s="581" t="s">
        <v>1021</v>
      </c>
      <c r="C385" s="580" t="s">
        <v>1022</v>
      </c>
      <c r="D385" s="581" t="s">
        <v>109</v>
      </c>
      <c r="E385" s="581" t="s">
        <v>981</v>
      </c>
      <c r="F385" s="582" t="s">
        <v>974</v>
      </c>
      <c r="G385" s="581" t="s">
        <v>925</v>
      </c>
      <c r="H385" s="583" t="s">
        <v>77</v>
      </c>
      <c r="I385" s="513"/>
      <c r="J385" s="583" t="s">
        <v>1023</v>
      </c>
      <c r="K385" s="589">
        <v>25</v>
      </c>
      <c r="L385" s="587"/>
      <c r="M385" s="571">
        <v>9</v>
      </c>
      <c r="N385" s="571">
        <v>0</v>
      </c>
      <c r="O385" s="566">
        <f t="shared" si="15"/>
        <v>0</v>
      </c>
      <c r="P385" s="567">
        <f t="shared" si="16"/>
        <v>0</v>
      </c>
      <c r="Q385" s="568">
        <f t="shared" si="17"/>
        <v>0</v>
      </c>
      <c r="R385" s="688" t="s">
        <v>1954</v>
      </c>
    </row>
    <row r="386" spans="1:18" x14ac:dyDescent="0.2">
      <c r="A386" s="580" t="s">
        <v>277</v>
      </c>
      <c r="B386" s="581" t="s">
        <v>1021</v>
      </c>
      <c r="C386" s="580" t="s">
        <v>1022</v>
      </c>
      <c r="D386" s="581" t="s">
        <v>109</v>
      </c>
      <c r="E386" s="581" t="s">
        <v>982</v>
      </c>
      <c r="F386" s="590" t="s">
        <v>983</v>
      </c>
      <c r="G386" s="581" t="s">
        <v>919</v>
      </c>
      <c r="H386" s="583" t="s">
        <v>77</v>
      </c>
      <c r="I386" s="513"/>
      <c r="J386" s="583" t="s">
        <v>1023</v>
      </c>
      <c r="K386" s="589">
        <v>100</v>
      </c>
      <c r="L386" s="587"/>
      <c r="M386" s="571">
        <v>9</v>
      </c>
      <c r="N386" s="571">
        <v>7</v>
      </c>
      <c r="O386" s="566">
        <f t="shared" si="15"/>
        <v>0.77777777777777779</v>
      </c>
      <c r="P386" s="567">
        <f t="shared" si="16"/>
        <v>0.77777777777777779</v>
      </c>
      <c r="Q386" s="568">
        <f t="shared" si="17"/>
        <v>0.77777777777777779</v>
      </c>
      <c r="R386" s="688" t="s">
        <v>1954</v>
      </c>
    </row>
    <row r="387" spans="1:18" x14ac:dyDescent="0.2">
      <c r="A387" s="580" t="s">
        <v>277</v>
      </c>
      <c r="B387" s="581" t="s">
        <v>1021</v>
      </c>
      <c r="C387" s="580" t="s">
        <v>1022</v>
      </c>
      <c r="D387" s="581" t="s">
        <v>109</v>
      </c>
      <c r="E387" s="581" t="s">
        <v>984</v>
      </c>
      <c r="F387" s="590" t="s">
        <v>983</v>
      </c>
      <c r="G387" s="581" t="s">
        <v>919</v>
      </c>
      <c r="H387" s="583" t="s">
        <v>77</v>
      </c>
      <c r="I387" s="513"/>
      <c r="J387" s="583" t="s">
        <v>1023</v>
      </c>
      <c r="K387" s="589">
        <v>100</v>
      </c>
      <c r="L387" s="587"/>
      <c r="M387" s="571">
        <v>9</v>
      </c>
      <c r="N387" s="571">
        <v>7</v>
      </c>
      <c r="O387" s="566">
        <f t="shared" si="15"/>
        <v>0.77777777777777779</v>
      </c>
      <c r="P387" s="567">
        <f t="shared" si="16"/>
        <v>0.77777777777777779</v>
      </c>
      <c r="Q387" s="568">
        <f t="shared" si="17"/>
        <v>0.77777777777777779</v>
      </c>
      <c r="R387" s="688" t="s">
        <v>1954</v>
      </c>
    </row>
    <row r="388" spans="1:18" ht="25.5" x14ac:dyDescent="0.2">
      <c r="A388" s="580" t="s">
        <v>277</v>
      </c>
      <c r="B388" s="581" t="s">
        <v>1021</v>
      </c>
      <c r="C388" s="580" t="s">
        <v>1022</v>
      </c>
      <c r="D388" s="581" t="s">
        <v>109</v>
      </c>
      <c r="E388" s="581" t="s">
        <v>985</v>
      </c>
      <c r="F388" s="590" t="s">
        <v>970</v>
      </c>
      <c r="G388" s="581" t="s">
        <v>925</v>
      </c>
      <c r="H388" s="583" t="s">
        <v>77</v>
      </c>
      <c r="I388" s="513"/>
      <c r="J388" s="583" t="s">
        <v>1023</v>
      </c>
      <c r="K388" s="589">
        <v>33</v>
      </c>
      <c r="L388" s="587"/>
      <c r="M388" s="571">
        <v>9</v>
      </c>
      <c r="N388" s="571">
        <v>3</v>
      </c>
      <c r="O388" s="566">
        <f t="shared" si="15"/>
        <v>0.33333333333333331</v>
      </c>
      <c r="P388" s="567">
        <f t="shared" si="16"/>
        <v>1.0101010101010099</v>
      </c>
      <c r="Q388" s="568">
        <f t="shared" si="17"/>
        <v>1.0101010101010099</v>
      </c>
      <c r="R388" s="688" t="s">
        <v>1954</v>
      </c>
    </row>
    <row r="389" spans="1:18" ht="25.5" x14ac:dyDescent="0.2">
      <c r="A389" s="580" t="s">
        <v>277</v>
      </c>
      <c r="B389" s="581" t="s">
        <v>1021</v>
      </c>
      <c r="C389" s="580" t="s">
        <v>1022</v>
      </c>
      <c r="D389" s="581" t="s">
        <v>109</v>
      </c>
      <c r="E389" s="581" t="s">
        <v>986</v>
      </c>
      <c r="F389" s="590" t="s">
        <v>970</v>
      </c>
      <c r="G389" s="581" t="s">
        <v>925</v>
      </c>
      <c r="H389" s="583" t="s">
        <v>77</v>
      </c>
      <c r="I389" s="513"/>
      <c r="J389" s="583" t="s">
        <v>1023</v>
      </c>
      <c r="K389" s="589">
        <v>33</v>
      </c>
      <c r="L389" s="587"/>
      <c r="M389" s="571">
        <v>9</v>
      </c>
      <c r="N389" s="571">
        <v>4</v>
      </c>
      <c r="O389" s="566">
        <f t="shared" si="15"/>
        <v>0.44444444444444442</v>
      </c>
      <c r="P389" s="567">
        <f t="shared" si="16"/>
        <v>1.3468013468013467</v>
      </c>
      <c r="Q389" s="568">
        <f t="shared" si="17"/>
        <v>1.3468013468013467</v>
      </c>
      <c r="R389" s="688" t="s">
        <v>1954</v>
      </c>
    </row>
    <row r="390" spans="1:18" ht="25.5" x14ac:dyDescent="0.2">
      <c r="A390" s="580" t="s">
        <v>277</v>
      </c>
      <c r="B390" s="581" t="s">
        <v>1021</v>
      </c>
      <c r="C390" s="580" t="s">
        <v>1022</v>
      </c>
      <c r="D390" s="581" t="s">
        <v>109</v>
      </c>
      <c r="E390" s="581" t="s">
        <v>987</v>
      </c>
      <c r="F390" s="590" t="s">
        <v>970</v>
      </c>
      <c r="G390" s="581" t="s">
        <v>925</v>
      </c>
      <c r="H390" s="583" t="s">
        <v>77</v>
      </c>
      <c r="I390" s="513"/>
      <c r="J390" s="583" t="s">
        <v>1023</v>
      </c>
      <c r="K390" s="589">
        <v>33</v>
      </c>
      <c r="L390" s="587"/>
      <c r="M390" s="571">
        <v>9</v>
      </c>
      <c r="N390" s="571">
        <v>4</v>
      </c>
      <c r="O390" s="566">
        <f t="shared" ref="O390:O414" si="18">IFERROR(N390/M390,0)</f>
        <v>0.44444444444444442</v>
      </c>
      <c r="P390" s="567">
        <f t="shared" ref="P390:P414" si="19">IFERROR(N390/(M390*(K390/100)),0)</f>
        <v>1.3468013468013467</v>
      </c>
      <c r="Q390" s="568">
        <f t="shared" ref="Q390:Q414" si="20">N390/(M390*K390/100)</f>
        <v>1.3468013468013467</v>
      </c>
      <c r="R390" s="688" t="s">
        <v>1954</v>
      </c>
    </row>
    <row r="391" spans="1:18" ht="25.5" x14ac:dyDescent="0.2">
      <c r="A391" s="580" t="s">
        <v>277</v>
      </c>
      <c r="B391" s="581" t="s">
        <v>1021</v>
      </c>
      <c r="C391" s="580" t="s">
        <v>1022</v>
      </c>
      <c r="D391" s="581" t="s">
        <v>109</v>
      </c>
      <c r="E391" s="581" t="s">
        <v>988</v>
      </c>
      <c r="F391" s="590" t="s">
        <v>970</v>
      </c>
      <c r="G391" s="581" t="s">
        <v>925</v>
      </c>
      <c r="H391" s="583" t="s">
        <v>77</v>
      </c>
      <c r="I391" s="513"/>
      <c r="J391" s="583" t="s">
        <v>1023</v>
      </c>
      <c r="K391" s="589">
        <v>33</v>
      </c>
      <c r="L391" s="587"/>
      <c r="M391" s="571">
        <v>9</v>
      </c>
      <c r="N391" s="571">
        <v>4</v>
      </c>
      <c r="O391" s="566">
        <f t="shared" si="18"/>
        <v>0.44444444444444442</v>
      </c>
      <c r="P391" s="567">
        <f t="shared" si="19"/>
        <v>1.3468013468013467</v>
      </c>
      <c r="Q391" s="568">
        <f t="shared" si="20"/>
        <v>1.3468013468013467</v>
      </c>
      <c r="R391" s="688" t="s">
        <v>1954</v>
      </c>
    </row>
    <row r="392" spans="1:18" ht="25.5" x14ac:dyDescent="0.2">
      <c r="A392" s="580" t="s">
        <v>277</v>
      </c>
      <c r="B392" s="581" t="s">
        <v>1021</v>
      </c>
      <c r="C392" s="580" t="s">
        <v>1022</v>
      </c>
      <c r="D392" s="581" t="s">
        <v>109</v>
      </c>
      <c r="E392" s="581" t="s">
        <v>989</v>
      </c>
      <c r="F392" s="590" t="s">
        <v>970</v>
      </c>
      <c r="G392" s="581" t="s">
        <v>925</v>
      </c>
      <c r="H392" s="583" t="s">
        <v>77</v>
      </c>
      <c r="I392" s="513"/>
      <c r="J392" s="583" t="s">
        <v>1023</v>
      </c>
      <c r="K392" s="589">
        <v>33</v>
      </c>
      <c r="L392" s="587"/>
      <c r="M392" s="571">
        <v>9</v>
      </c>
      <c r="N392" s="571">
        <v>4</v>
      </c>
      <c r="O392" s="566">
        <f t="shared" si="18"/>
        <v>0.44444444444444442</v>
      </c>
      <c r="P392" s="567">
        <f t="shared" si="19"/>
        <v>1.3468013468013467</v>
      </c>
      <c r="Q392" s="568">
        <f t="shared" si="20"/>
        <v>1.3468013468013467</v>
      </c>
      <c r="R392" s="688" t="s">
        <v>1954</v>
      </c>
    </row>
    <row r="393" spans="1:18" ht="25.5" x14ac:dyDescent="0.2">
      <c r="A393" s="580" t="s">
        <v>277</v>
      </c>
      <c r="B393" s="581" t="s">
        <v>1021</v>
      </c>
      <c r="C393" s="580" t="s">
        <v>1022</v>
      </c>
      <c r="D393" s="581" t="s">
        <v>109</v>
      </c>
      <c r="E393" s="581" t="s">
        <v>990</v>
      </c>
      <c r="F393" s="590" t="s">
        <v>970</v>
      </c>
      <c r="G393" s="581" t="s">
        <v>925</v>
      </c>
      <c r="H393" s="583" t="s">
        <v>77</v>
      </c>
      <c r="I393" s="513"/>
      <c r="J393" s="583" t="s">
        <v>1023</v>
      </c>
      <c r="K393" s="589">
        <v>33</v>
      </c>
      <c r="L393" s="587"/>
      <c r="M393" s="571">
        <v>9</v>
      </c>
      <c r="N393" s="571">
        <v>4</v>
      </c>
      <c r="O393" s="566">
        <f t="shared" si="18"/>
        <v>0.44444444444444442</v>
      </c>
      <c r="P393" s="567">
        <f t="shared" si="19"/>
        <v>1.3468013468013467</v>
      </c>
      <c r="Q393" s="568">
        <f t="shared" si="20"/>
        <v>1.3468013468013467</v>
      </c>
      <c r="R393" s="688" t="s">
        <v>1954</v>
      </c>
    </row>
    <row r="394" spans="1:18" x14ac:dyDescent="0.2">
      <c r="A394" s="580" t="s">
        <v>277</v>
      </c>
      <c r="B394" s="581" t="s">
        <v>1021</v>
      </c>
      <c r="C394" s="580" t="s">
        <v>1022</v>
      </c>
      <c r="D394" s="581" t="s">
        <v>109</v>
      </c>
      <c r="E394" s="581" t="s">
        <v>991</v>
      </c>
      <c r="F394" s="590" t="s">
        <v>974</v>
      </c>
      <c r="G394" s="581" t="s">
        <v>919</v>
      </c>
      <c r="H394" s="583" t="s">
        <v>77</v>
      </c>
      <c r="I394" s="513"/>
      <c r="J394" s="583" t="s">
        <v>1023</v>
      </c>
      <c r="K394" s="589">
        <v>100</v>
      </c>
      <c r="L394" s="587"/>
      <c r="M394" s="571">
        <v>9</v>
      </c>
      <c r="N394" s="571">
        <v>7</v>
      </c>
      <c r="O394" s="566">
        <f t="shared" si="18"/>
        <v>0.77777777777777779</v>
      </c>
      <c r="P394" s="567">
        <f t="shared" si="19"/>
        <v>0.77777777777777779</v>
      </c>
      <c r="Q394" s="568">
        <f t="shared" si="20"/>
        <v>0.77777777777777779</v>
      </c>
      <c r="R394" s="688" t="s">
        <v>1954</v>
      </c>
    </row>
    <row r="395" spans="1:18" x14ac:dyDescent="0.2">
      <c r="A395" s="580" t="s">
        <v>277</v>
      </c>
      <c r="B395" s="581" t="s">
        <v>1021</v>
      </c>
      <c r="C395" s="580" t="s">
        <v>1022</v>
      </c>
      <c r="D395" s="581" t="s">
        <v>109</v>
      </c>
      <c r="E395" s="581" t="s">
        <v>992</v>
      </c>
      <c r="F395" s="590" t="s">
        <v>974</v>
      </c>
      <c r="G395" s="581" t="s">
        <v>919</v>
      </c>
      <c r="H395" s="583" t="s">
        <v>77</v>
      </c>
      <c r="I395" s="513"/>
      <c r="J395" s="583" t="s">
        <v>1023</v>
      </c>
      <c r="K395" s="589">
        <v>100</v>
      </c>
      <c r="L395" s="587"/>
      <c r="M395" s="571">
        <v>9</v>
      </c>
      <c r="N395" s="571">
        <v>7</v>
      </c>
      <c r="O395" s="566">
        <f t="shared" si="18"/>
        <v>0.77777777777777779</v>
      </c>
      <c r="P395" s="567">
        <f t="shared" si="19"/>
        <v>0.77777777777777779</v>
      </c>
      <c r="Q395" s="568">
        <f t="shared" si="20"/>
        <v>0.77777777777777779</v>
      </c>
      <c r="R395" s="688" t="s">
        <v>1954</v>
      </c>
    </row>
    <row r="396" spans="1:18" ht="25.5" x14ac:dyDescent="0.2">
      <c r="A396" s="580" t="s">
        <v>277</v>
      </c>
      <c r="B396" s="581" t="s">
        <v>1021</v>
      </c>
      <c r="C396" s="580" t="s">
        <v>1022</v>
      </c>
      <c r="D396" s="581" t="s">
        <v>109</v>
      </c>
      <c r="E396" s="581" t="s">
        <v>993</v>
      </c>
      <c r="F396" s="590" t="s">
        <v>974</v>
      </c>
      <c r="G396" s="581" t="s">
        <v>919</v>
      </c>
      <c r="H396" s="583" t="s">
        <v>77</v>
      </c>
      <c r="I396" s="513"/>
      <c r="J396" s="583" t="s">
        <v>1023</v>
      </c>
      <c r="K396" s="589">
        <v>100</v>
      </c>
      <c r="L396" s="587"/>
      <c r="M396" s="571">
        <v>9</v>
      </c>
      <c r="N396" s="571">
        <v>7</v>
      </c>
      <c r="O396" s="566">
        <f t="shared" si="18"/>
        <v>0.77777777777777779</v>
      </c>
      <c r="P396" s="567">
        <f t="shared" si="19"/>
        <v>0.77777777777777779</v>
      </c>
      <c r="Q396" s="568">
        <f t="shared" si="20"/>
        <v>0.77777777777777779</v>
      </c>
      <c r="R396" s="688" t="s">
        <v>1954</v>
      </c>
    </row>
    <row r="397" spans="1:18" x14ac:dyDescent="0.2">
      <c r="A397" s="580" t="s">
        <v>277</v>
      </c>
      <c r="B397" s="581" t="s">
        <v>1021</v>
      </c>
      <c r="C397" s="580" t="s">
        <v>1022</v>
      </c>
      <c r="D397" s="581" t="s">
        <v>109</v>
      </c>
      <c r="E397" s="581" t="s">
        <v>994</v>
      </c>
      <c r="F397" s="582" t="s">
        <v>969</v>
      </c>
      <c r="G397" s="581" t="s">
        <v>919</v>
      </c>
      <c r="H397" s="583" t="s">
        <v>77</v>
      </c>
      <c r="I397" s="513"/>
      <c r="J397" s="583" t="s">
        <v>1023</v>
      </c>
      <c r="K397" s="589">
        <v>100</v>
      </c>
      <c r="L397" s="587"/>
      <c r="M397" s="571">
        <v>9</v>
      </c>
      <c r="N397" s="571">
        <v>7</v>
      </c>
      <c r="O397" s="566">
        <f t="shared" si="18"/>
        <v>0.77777777777777779</v>
      </c>
      <c r="P397" s="567">
        <f t="shared" si="19"/>
        <v>0.77777777777777779</v>
      </c>
      <c r="Q397" s="568">
        <f t="shared" si="20"/>
        <v>0.77777777777777779</v>
      </c>
      <c r="R397" s="688" t="s">
        <v>1954</v>
      </c>
    </row>
    <row r="398" spans="1:18" ht="25.5" x14ac:dyDescent="0.2">
      <c r="A398" s="580" t="s">
        <v>277</v>
      </c>
      <c r="B398" s="581" t="s">
        <v>1021</v>
      </c>
      <c r="C398" s="580" t="s">
        <v>1022</v>
      </c>
      <c r="D398" s="581" t="s">
        <v>109</v>
      </c>
      <c r="E398" s="581" t="s">
        <v>994</v>
      </c>
      <c r="F398" s="582" t="s">
        <v>970</v>
      </c>
      <c r="G398" s="581" t="s">
        <v>925</v>
      </c>
      <c r="H398" s="583" t="s">
        <v>77</v>
      </c>
      <c r="I398" s="513"/>
      <c r="J398" s="583" t="s">
        <v>1023</v>
      </c>
      <c r="K398" s="589">
        <v>33</v>
      </c>
      <c r="L398" s="585" t="s">
        <v>1024</v>
      </c>
      <c r="M398" s="571">
        <v>9</v>
      </c>
      <c r="N398" s="571">
        <v>7</v>
      </c>
      <c r="O398" s="566">
        <f t="shared" si="18"/>
        <v>0.77777777777777779</v>
      </c>
      <c r="P398" s="567">
        <f t="shared" si="19"/>
        <v>2.3569023569023568</v>
      </c>
      <c r="Q398" s="568">
        <f t="shared" si="20"/>
        <v>2.3569023569023568</v>
      </c>
      <c r="R398" s="688" t="s">
        <v>1954</v>
      </c>
    </row>
    <row r="399" spans="1:18" ht="25.5" x14ac:dyDescent="0.2">
      <c r="A399" s="580" t="s">
        <v>277</v>
      </c>
      <c r="B399" s="581" t="s">
        <v>1021</v>
      </c>
      <c r="C399" s="580" t="s">
        <v>1022</v>
      </c>
      <c r="D399" s="581" t="s">
        <v>109</v>
      </c>
      <c r="E399" s="581" t="s">
        <v>995</v>
      </c>
      <c r="F399" s="590" t="s">
        <v>974</v>
      </c>
      <c r="G399" s="581" t="s">
        <v>925</v>
      </c>
      <c r="H399" s="583" t="s">
        <v>77</v>
      </c>
      <c r="I399" s="513"/>
      <c r="J399" s="583" t="s">
        <v>1023</v>
      </c>
      <c r="K399" s="589">
        <v>25</v>
      </c>
      <c r="L399" s="587"/>
      <c r="M399" s="571">
        <v>9</v>
      </c>
      <c r="N399" s="571">
        <v>0</v>
      </c>
      <c r="O399" s="566">
        <f t="shared" si="18"/>
        <v>0</v>
      </c>
      <c r="P399" s="567">
        <f t="shared" si="19"/>
        <v>0</v>
      </c>
      <c r="Q399" s="568">
        <f t="shared" si="20"/>
        <v>0</v>
      </c>
      <c r="R399" s="688" t="s">
        <v>1954</v>
      </c>
    </row>
    <row r="400" spans="1:18" ht="38.25" x14ac:dyDescent="0.2">
      <c r="A400" s="580" t="s">
        <v>277</v>
      </c>
      <c r="B400" s="581" t="s">
        <v>1021</v>
      </c>
      <c r="C400" s="580" t="s">
        <v>1022</v>
      </c>
      <c r="D400" s="581" t="s">
        <v>109</v>
      </c>
      <c r="E400" s="581" t="s">
        <v>996</v>
      </c>
      <c r="F400" s="590" t="s">
        <v>974</v>
      </c>
      <c r="G400" s="581" t="s">
        <v>925</v>
      </c>
      <c r="H400" s="583" t="s">
        <v>77</v>
      </c>
      <c r="I400" s="513"/>
      <c r="J400" s="583" t="s">
        <v>1023</v>
      </c>
      <c r="K400" s="589">
        <v>25</v>
      </c>
      <c r="L400" s="587"/>
      <c r="M400" s="571">
        <v>9</v>
      </c>
      <c r="N400" s="571">
        <v>0</v>
      </c>
      <c r="O400" s="566">
        <f t="shared" si="18"/>
        <v>0</v>
      </c>
      <c r="P400" s="567">
        <f t="shared" si="19"/>
        <v>0</v>
      </c>
      <c r="Q400" s="568">
        <f t="shared" si="20"/>
        <v>0</v>
      </c>
      <c r="R400" s="688" t="s">
        <v>1954</v>
      </c>
    </row>
    <row r="401" spans="1:18" ht="38.25" x14ac:dyDescent="0.2">
      <c r="A401" s="580" t="s">
        <v>277</v>
      </c>
      <c r="B401" s="581" t="s">
        <v>1021</v>
      </c>
      <c r="C401" s="580" t="s">
        <v>1022</v>
      </c>
      <c r="D401" s="581" t="s">
        <v>109</v>
      </c>
      <c r="E401" s="581" t="s">
        <v>997</v>
      </c>
      <c r="F401" s="590" t="s">
        <v>974</v>
      </c>
      <c r="G401" s="581" t="s">
        <v>919</v>
      </c>
      <c r="H401" s="583" t="s">
        <v>77</v>
      </c>
      <c r="I401" s="513"/>
      <c r="J401" s="583" t="s">
        <v>1023</v>
      </c>
      <c r="K401" s="589">
        <v>100</v>
      </c>
      <c r="L401" s="587"/>
      <c r="M401" s="571">
        <v>9</v>
      </c>
      <c r="N401" s="571">
        <v>7</v>
      </c>
      <c r="O401" s="566">
        <f t="shared" si="18"/>
        <v>0.77777777777777779</v>
      </c>
      <c r="P401" s="567">
        <f t="shared" si="19"/>
        <v>0.77777777777777779</v>
      </c>
      <c r="Q401" s="568">
        <f t="shared" si="20"/>
        <v>0.77777777777777779</v>
      </c>
      <c r="R401" s="688" t="s">
        <v>1954</v>
      </c>
    </row>
    <row r="402" spans="1:18" x14ac:dyDescent="0.2">
      <c r="A402" s="580" t="s">
        <v>277</v>
      </c>
      <c r="B402" s="581" t="s">
        <v>1021</v>
      </c>
      <c r="C402" s="580" t="s">
        <v>1022</v>
      </c>
      <c r="D402" s="581" t="s">
        <v>946</v>
      </c>
      <c r="E402" s="581" t="s">
        <v>998</v>
      </c>
      <c r="F402" s="590" t="s">
        <v>974</v>
      </c>
      <c r="G402" s="581" t="s">
        <v>919</v>
      </c>
      <c r="H402" s="583" t="s">
        <v>77</v>
      </c>
      <c r="I402" s="513"/>
      <c r="J402" s="583" t="s">
        <v>1023</v>
      </c>
      <c r="K402" s="589">
        <v>100</v>
      </c>
      <c r="L402" s="587"/>
      <c r="M402" s="571">
        <v>9</v>
      </c>
      <c r="N402" s="571">
        <v>7</v>
      </c>
      <c r="O402" s="566">
        <f t="shared" si="18"/>
        <v>0.77777777777777779</v>
      </c>
      <c r="P402" s="567">
        <f t="shared" si="19"/>
        <v>0.77777777777777779</v>
      </c>
      <c r="Q402" s="568">
        <f t="shared" si="20"/>
        <v>0.77777777777777779</v>
      </c>
      <c r="R402" s="688" t="s">
        <v>1954</v>
      </c>
    </row>
    <row r="403" spans="1:18" x14ac:dyDescent="0.2">
      <c r="A403" s="580" t="s">
        <v>277</v>
      </c>
      <c r="B403" s="581" t="s">
        <v>1021</v>
      </c>
      <c r="C403" s="580" t="s">
        <v>1022</v>
      </c>
      <c r="D403" s="581" t="s">
        <v>946</v>
      </c>
      <c r="E403" s="581" t="s">
        <v>999</v>
      </c>
      <c r="F403" s="590" t="s">
        <v>974</v>
      </c>
      <c r="G403" s="581" t="s">
        <v>919</v>
      </c>
      <c r="H403" s="583" t="s">
        <v>77</v>
      </c>
      <c r="I403" s="513"/>
      <c r="J403" s="583" t="s">
        <v>1023</v>
      </c>
      <c r="K403" s="589">
        <v>100</v>
      </c>
      <c r="L403" s="587"/>
      <c r="M403" s="571">
        <v>9</v>
      </c>
      <c r="N403" s="571">
        <v>7</v>
      </c>
      <c r="O403" s="566">
        <f t="shared" si="18"/>
        <v>0.77777777777777779</v>
      </c>
      <c r="P403" s="567">
        <f t="shared" si="19"/>
        <v>0.77777777777777779</v>
      </c>
      <c r="Q403" s="568">
        <f t="shared" si="20"/>
        <v>0.77777777777777779</v>
      </c>
      <c r="R403" s="688" t="s">
        <v>1954</v>
      </c>
    </row>
    <row r="404" spans="1:18" ht="25.5" x14ac:dyDescent="0.2">
      <c r="A404" s="580" t="s">
        <v>277</v>
      </c>
      <c r="B404" s="581" t="s">
        <v>1021</v>
      </c>
      <c r="C404" s="580" t="s">
        <v>1022</v>
      </c>
      <c r="D404" s="581" t="s">
        <v>946</v>
      </c>
      <c r="E404" s="581" t="s">
        <v>1000</v>
      </c>
      <c r="F404" s="590" t="s">
        <v>974</v>
      </c>
      <c r="G404" s="581" t="s">
        <v>925</v>
      </c>
      <c r="H404" s="583" t="s">
        <v>77</v>
      </c>
      <c r="I404" s="513"/>
      <c r="J404" s="583" t="s">
        <v>1023</v>
      </c>
      <c r="K404" s="589">
        <v>25</v>
      </c>
      <c r="L404" s="587"/>
      <c r="M404" s="571">
        <v>9</v>
      </c>
      <c r="N404" s="571">
        <v>0</v>
      </c>
      <c r="O404" s="566">
        <f t="shared" si="18"/>
        <v>0</v>
      </c>
      <c r="P404" s="567">
        <f t="shared" si="19"/>
        <v>0</v>
      </c>
      <c r="Q404" s="568">
        <f t="shared" si="20"/>
        <v>0</v>
      </c>
      <c r="R404" s="688" t="s">
        <v>1954</v>
      </c>
    </row>
    <row r="405" spans="1:18" ht="25.5" x14ac:dyDescent="0.2">
      <c r="A405" s="580" t="s">
        <v>277</v>
      </c>
      <c r="B405" s="581" t="s">
        <v>1021</v>
      </c>
      <c r="C405" s="580" t="s">
        <v>1022</v>
      </c>
      <c r="D405" s="581" t="s">
        <v>946</v>
      </c>
      <c r="E405" s="581" t="s">
        <v>1001</v>
      </c>
      <c r="F405" s="590" t="s">
        <v>974</v>
      </c>
      <c r="G405" s="581" t="s">
        <v>925</v>
      </c>
      <c r="H405" s="583" t="s">
        <v>77</v>
      </c>
      <c r="I405" s="513"/>
      <c r="J405" s="583" t="s">
        <v>1023</v>
      </c>
      <c r="K405" s="589">
        <v>25</v>
      </c>
      <c r="L405" s="587"/>
      <c r="M405" s="571">
        <v>9</v>
      </c>
      <c r="N405" s="571">
        <v>0</v>
      </c>
      <c r="O405" s="566">
        <f t="shared" si="18"/>
        <v>0</v>
      </c>
      <c r="P405" s="567">
        <f t="shared" si="19"/>
        <v>0</v>
      </c>
      <c r="Q405" s="568">
        <f t="shared" si="20"/>
        <v>0</v>
      </c>
      <c r="R405" s="688" t="s">
        <v>1954</v>
      </c>
    </row>
    <row r="406" spans="1:18" ht="25.5" x14ac:dyDescent="0.2">
      <c r="A406" s="580" t="s">
        <v>277</v>
      </c>
      <c r="B406" s="581" t="s">
        <v>1021</v>
      </c>
      <c r="C406" s="580" t="s">
        <v>1022</v>
      </c>
      <c r="D406" s="581" t="s">
        <v>946</v>
      </c>
      <c r="E406" s="581" t="s">
        <v>1002</v>
      </c>
      <c r="F406" s="590" t="s">
        <v>974</v>
      </c>
      <c r="G406" s="581" t="s">
        <v>925</v>
      </c>
      <c r="H406" s="583" t="s">
        <v>77</v>
      </c>
      <c r="I406" s="513"/>
      <c r="J406" s="583" t="s">
        <v>1023</v>
      </c>
      <c r="K406" s="589">
        <v>25</v>
      </c>
      <c r="L406" s="587"/>
      <c r="M406" s="571">
        <v>9</v>
      </c>
      <c r="N406" s="571">
        <v>0</v>
      </c>
      <c r="O406" s="566">
        <f t="shared" si="18"/>
        <v>0</v>
      </c>
      <c r="P406" s="567">
        <f t="shared" si="19"/>
        <v>0</v>
      </c>
      <c r="Q406" s="568">
        <f t="shared" si="20"/>
        <v>0</v>
      </c>
      <c r="R406" s="688" t="s">
        <v>1954</v>
      </c>
    </row>
    <row r="407" spans="1:18" ht="25.5" x14ac:dyDescent="0.2">
      <c r="A407" s="580" t="s">
        <v>277</v>
      </c>
      <c r="B407" s="581" t="s">
        <v>1021</v>
      </c>
      <c r="C407" s="580" t="s">
        <v>1022</v>
      </c>
      <c r="D407" s="581" t="s">
        <v>946</v>
      </c>
      <c r="E407" s="581" t="s">
        <v>1003</v>
      </c>
      <c r="F407" s="590" t="s">
        <v>974</v>
      </c>
      <c r="G407" s="581" t="s">
        <v>925</v>
      </c>
      <c r="H407" s="583" t="s">
        <v>77</v>
      </c>
      <c r="I407" s="513"/>
      <c r="J407" s="583" t="s">
        <v>1023</v>
      </c>
      <c r="K407" s="589">
        <v>25</v>
      </c>
      <c r="L407" s="587"/>
      <c r="M407" s="571">
        <v>9</v>
      </c>
      <c r="N407" s="571">
        <v>0</v>
      </c>
      <c r="O407" s="566">
        <f t="shared" si="18"/>
        <v>0</v>
      </c>
      <c r="P407" s="567">
        <f t="shared" si="19"/>
        <v>0</v>
      </c>
      <c r="Q407" s="568">
        <f t="shared" si="20"/>
        <v>0</v>
      </c>
      <c r="R407" s="688" t="s">
        <v>1954</v>
      </c>
    </row>
    <row r="408" spans="1:18" ht="25.5" x14ac:dyDescent="0.2">
      <c r="A408" s="580" t="s">
        <v>277</v>
      </c>
      <c r="B408" s="581" t="s">
        <v>1021</v>
      </c>
      <c r="C408" s="580" t="s">
        <v>1022</v>
      </c>
      <c r="D408" s="581" t="s">
        <v>946</v>
      </c>
      <c r="E408" s="581" t="s">
        <v>1004</v>
      </c>
      <c r="F408" s="582" t="s">
        <v>974</v>
      </c>
      <c r="G408" s="581" t="s">
        <v>919</v>
      </c>
      <c r="H408" s="583" t="s">
        <v>77</v>
      </c>
      <c r="I408" s="513"/>
      <c r="J408" s="583" t="s">
        <v>1023</v>
      </c>
      <c r="K408" s="589">
        <v>100</v>
      </c>
      <c r="L408" s="587"/>
      <c r="M408" s="571">
        <v>9</v>
      </c>
      <c r="N408" s="571">
        <v>7</v>
      </c>
      <c r="O408" s="566">
        <f t="shared" si="18"/>
        <v>0.77777777777777779</v>
      </c>
      <c r="P408" s="567">
        <f t="shared" si="19"/>
        <v>0.77777777777777779</v>
      </c>
      <c r="Q408" s="568">
        <f t="shared" si="20"/>
        <v>0.77777777777777779</v>
      </c>
      <c r="R408" s="688" t="s">
        <v>1954</v>
      </c>
    </row>
    <row r="409" spans="1:18" ht="25.5" x14ac:dyDescent="0.2">
      <c r="A409" s="580" t="s">
        <v>277</v>
      </c>
      <c r="B409" s="581" t="s">
        <v>1021</v>
      </c>
      <c r="C409" s="580" t="s">
        <v>1022</v>
      </c>
      <c r="D409" s="581" t="s">
        <v>946</v>
      </c>
      <c r="E409" s="581" t="s">
        <v>1004</v>
      </c>
      <c r="F409" s="582" t="s">
        <v>970</v>
      </c>
      <c r="G409" s="581" t="s">
        <v>1005</v>
      </c>
      <c r="H409" s="583" t="s">
        <v>77</v>
      </c>
      <c r="I409" s="513"/>
      <c r="J409" s="583" t="s">
        <v>1023</v>
      </c>
      <c r="K409" s="589">
        <v>33</v>
      </c>
      <c r="L409" s="587"/>
      <c r="M409" s="571">
        <v>9</v>
      </c>
      <c r="N409" s="571">
        <v>7</v>
      </c>
      <c r="O409" s="566">
        <f t="shared" si="18"/>
        <v>0.77777777777777779</v>
      </c>
      <c r="P409" s="567">
        <f t="shared" si="19"/>
        <v>2.3569023569023568</v>
      </c>
      <c r="Q409" s="568">
        <f t="shared" si="20"/>
        <v>2.3569023569023568</v>
      </c>
      <c r="R409" s="688" t="s">
        <v>1954</v>
      </c>
    </row>
    <row r="410" spans="1:18" x14ac:dyDescent="0.2">
      <c r="A410" s="580" t="s">
        <v>277</v>
      </c>
      <c r="B410" s="581" t="s">
        <v>1021</v>
      </c>
      <c r="C410" s="580" t="s">
        <v>1022</v>
      </c>
      <c r="D410" s="581" t="s">
        <v>946</v>
      </c>
      <c r="E410" s="581" t="s">
        <v>954</v>
      </c>
      <c r="F410" s="582" t="s">
        <v>974</v>
      </c>
      <c r="G410" s="581" t="s">
        <v>1006</v>
      </c>
      <c r="H410" s="583" t="s">
        <v>77</v>
      </c>
      <c r="I410" s="513"/>
      <c r="J410" s="583" t="s">
        <v>1023</v>
      </c>
      <c r="K410" s="589">
        <v>100</v>
      </c>
      <c r="L410" s="587"/>
      <c r="M410" s="571">
        <v>9</v>
      </c>
      <c r="N410" s="571">
        <v>7</v>
      </c>
      <c r="O410" s="566">
        <f t="shared" si="18"/>
        <v>0.77777777777777779</v>
      </c>
      <c r="P410" s="567">
        <f t="shared" si="19"/>
        <v>0.77777777777777779</v>
      </c>
      <c r="Q410" s="568">
        <f t="shared" si="20"/>
        <v>0.77777777777777779</v>
      </c>
      <c r="R410" s="688" t="s">
        <v>1954</v>
      </c>
    </row>
    <row r="411" spans="1:18" ht="25.5" x14ac:dyDescent="0.2">
      <c r="A411" s="580" t="s">
        <v>277</v>
      </c>
      <c r="B411" s="581" t="s">
        <v>1021</v>
      </c>
      <c r="C411" s="580" t="s">
        <v>1022</v>
      </c>
      <c r="D411" s="581" t="s">
        <v>946</v>
      </c>
      <c r="E411" s="581" t="s">
        <v>954</v>
      </c>
      <c r="F411" s="582" t="s">
        <v>970</v>
      </c>
      <c r="G411" s="581" t="s">
        <v>1005</v>
      </c>
      <c r="H411" s="583" t="s">
        <v>77</v>
      </c>
      <c r="I411" s="513"/>
      <c r="J411" s="583" t="s">
        <v>1023</v>
      </c>
      <c r="K411" s="589">
        <v>33</v>
      </c>
      <c r="L411" s="585" t="s">
        <v>1024</v>
      </c>
      <c r="M411" s="571">
        <v>9</v>
      </c>
      <c r="N411" s="571">
        <v>7</v>
      </c>
      <c r="O411" s="566">
        <f t="shared" si="18"/>
        <v>0.77777777777777779</v>
      </c>
      <c r="P411" s="567">
        <f t="shared" si="19"/>
        <v>2.3569023569023568</v>
      </c>
      <c r="Q411" s="568">
        <f t="shared" si="20"/>
        <v>2.3569023569023568</v>
      </c>
      <c r="R411" s="688" t="s">
        <v>1954</v>
      </c>
    </row>
    <row r="412" spans="1:18" ht="25.5" x14ac:dyDescent="0.2">
      <c r="A412" s="580" t="s">
        <v>277</v>
      </c>
      <c r="B412" s="581" t="s">
        <v>1021</v>
      </c>
      <c r="C412" s="580" t="s">
        <v>1022</v>
      </c>
      <c r="D412" s="581" t="s">
        <v>946</v>
      </c>
      <c r="E412" s="581" t="s">
        <v>1007</v>
      </c>
      <c r="F412" s="582" t="s">
        <v>974</v>
      </c>
      <c r="G412" s="581" t="s">
        <v>919</v>
      </c>
      <c r="H412" s="583" t="s">
        <v>77</v>
      </c>
      <c r="I412" s="513"/>
      <c r="J412" s="583" t="s">
        <v>1023</v>
      </c>
      <c r="K412" s="589">
        <v>100</v>
      </c>
      <c r="L412" s="587"/>
      <c r="M412" s="571">
        <v>9</v>
      </c>
      <c r="N412" s="571">
        <v>7</v>
      </c>
      <c r="O412" s="566">
        <f t="shared" si="18"/>
        <v>0.77777777777777779</v>
      </c>
      <c r="P412" s="567">
        <f t="shared" si="19"/>
        <v>0.77777777777777779</v>
      </c>
      <c r="Q412" s="568">
        <f t="shared" si="20"/>
        <v>0.77777777777777779</v>
      </c>
      <c r="R412" s="688" t="s">
        <v>1954</v>
      </c>
    </row>
    <row r="413" spans="1:18" ht="25.5" x14ac:dyDescent="0.2">
      <c r="A413" s="580" t="s">
        <v>277</v>
      </c>
      <c r="B413" s="581" t="s">
        <v>1021</v>
      </c>
      <c r="C413" s="580" t="s">
        <v>1022</v>
      </c>
      <c r="D413" s="581" t="s">
        <v>1008</v>
      </c>
      <c r="E413" s="581" t="s">
        <v>1007</v>
      </c>
      <c r="F413" s="582" t="s">
        <v>1009</v>
      </c>
      <c r="G413" s="581" t="s">
        <v>919</v>
      </c>
      <c r="H413" s="583" t="s">
        <v>77</v>
      </c>
      <c r="I413" s="513"/>
      <c r="J413" s="583" t="s">
        <v>1023</v>
      </c>
      <c r="K413" s="589">
        <v>100</v>
      </c>
      <c r="L413" s="587"/>
      <c r="M413" s="571">
        <v>9</v>
      </c>
      <c r="N413" s="571">
        <v>7</v>
      </c>
      <c r="O413" s="566">
        <f t="shared" si="18"/>
        <v>0.77777777777777779</v>
      </c>
      <c r="P413" s="567">
        <f t="shared" si="19"/>
        <v>0.77777777777777779</v>
      </c>
      <c r="Q413" s="568">
        <f t="shared" si="20"/>
        <v>0.77777777777777779</v>
      </c>
      <c r="R413" s="688" t="s">
        <v>1954</v>
      </c>
    </row>
    <row r="414" spans="1:18" x14ac:dyDescent="0.2">
      <c r="A414" s="580" t="s">
        <v>277</v>
      </c>
      <c r="B414" s="581" t="s">
        <v>1021</v>
      </c>
      <c r="C414" s="580" t="s">
        <v>1022</v>
      </c>
      <c r="D414" s="581" t="s">
        <v>1008</v>
      </c>
      <c r="E414" s="581" t="s">
        <v>1010</v>
      </c>
      <c r="F414" s="582" t="s">
        <v>974</v>
      </c>
      <c r="G414" s="581" t="s">
        <v>919</v>
      </c>
      <c r="H414" s="583" t="s">
        <v>77</v>
      </c>
      <c r="I414" s="513"/>
      <c r="J414" s="583" t="s">
        <v>1023</v>
      </c>
      <c r="K414" s="589">
        <v>100</v>
      </c>
      <c r="L414" s="587"/>
      <c r="M414" s="571">
        <v>9</v>
      </c>
      <c r="N414" s="571">
        <v>7</v>
      </c>
      <c r="O414" s="566">
        <f t="shared" si="18"/>
        <v>0.77777777777777779</v>
      </c>
      <c r="P414" s="567">
        <f t="shared" si="19"/>
        <v>0.77777777777777779</v>
      </c>
      <c r="Q414" s="568">
        <f t="shared" si="20"/>
        <v>0.77777777777777779</v>
      </c>
      <c r="R414" s="688" t="s">
        <v>1954</v>
      </c>
    </row>
    <row r="415" spans="1:18" x14ac:dyDescent="0.2">
      <c r="A415" s="273"/>
      <c r="B415" s="273"/>
      <c r="C415" s="273"/>
      <c r="D415" s="273"/>
      <c r="E415" s="273"/>
      <c r="F415" s="273"/>
      <c r="G415" s="273"/>
      <c r="H415" s="273"/>
      <c r="J415" s="273"/>
      <c r="K415" s="273"/>
      <c r="L415" s="273"/>
      <c r="M415" s="273"/>
      <c r="N415" s="273"/>
      <c r="O415" s="273"/>
      <c r="P415" s="273"/>
      <c r="Q415" s="273"/>
      <c r="R415" s="594" t="s">
        <v>1852</v>
      </c>
    </row>
    <row r="416" spans="1:18" x14ac:dyDescent="0.2">
      <c r="J416" s="273"/>
      <c r="K416" s="273"/>
      <c r="L416" s="340"/>
      <c r="M416" s="30"/>
      <c r="N416" s="30"/>
      <c r="O416" s="30"/>
      <c r="P416" s="30"/>
      <c r="Q416" s="30"/>
    </row>
    <row r="417" spans="13:17" x14ac:dyDescent="0.2">
      <c r="M417" s="30"/>
      <c r="N417" s="30"/>
      <c r="O417" s="30"/>
      <c r="P417" s="30"/>
      <c r="Q417" s="30"/>
    </row>
    <row r="418" spans="13:17" x14ac:dyDescent="0.2">
      <c r="M418" s="30"/>
      <c r="N418" s="30"/>
      <c r="O418" s="30"/>
      <c r="P418" s="30"/>
      <c r="Q418" s="30"/>
    </row>
    <row r="419" spans="13:17" x14ac:dyDescent="0.2">
      <c r="M419" s="30"/>
      <c r="N419" s="30"/>
      <c r="O419" s="30"/>
      <c r="P419" s="30"/>
      <c r="Q419" s="30"/>
    </row>
    <row r="420" spans="13:17" x14ac:dyDescent="0.2">
      <c r="M420" s="30"/>
      <c r="N420" s="30"/>
      <c r="O420" s="30"/>
      <c r="P420" s="30"/>
      <c r="Q420" s="30"/>
    </row>
    <row r="421" spans="13:17" x14ac:dyDescent="0.2">
      <c r="M421" s="30"/>
      <c r="N421" s="30"/>
      <c r="O421" s="30"/>
      <c r="P421" s="30"/>
      <c r="Q421" s="30"/>
    </row>
    <row r="422" spans="13:17" x14ac:dyDescent="0.2">
      <c r="M422" s="30"/>
      <c r="N422" s="30"/>
      <c r="O422" s="30"/>
      <c r="P422" s="30"/>
      <c r="Q422" s="30"/>
    </row>
    <row r="423" spans="13:17" x14ac:dyDescent="0.2">
      <c r="M423" s="30"/>
      <c r="N423" s="30"/>
      <c r="O423" s="30"/>
      <c r="P423" s="30"/>
      <c r="Q423" s="30"/>
    </row>
    <row r="424" spans="13:17" x14ac:dyDescent="0.2">
      <c r="M424" s="30"/>
      <c r="N424" s="30"/>
      <c r="O424" s="30"/>
      <c r="P424" s="30"/>
      <c r="Q424" s="30"/>
    </row>
    <row r="425" spans="13:17" x14ac:dyDescent="0.2">
      <c r="M425" s="30"/>
      <c r="N425" s="30"/>
      <c r="O425" s="30"/>
      <c r="P425" s="30"/>
      <c r="Q425" s="30"/>
    </row>
    <row r="426" spans="13:17" x14ac:dyDescent="0.2">
      <c r="M426" s="30"/>
      <c r="N426" s="30"/>
      <c r="O426" s="30"/>
      <c r="P426" s="30"/>
      <c r="Q426" s="30"/>
    </row>
    <row r="427" spans="13:17" x14ac:dyDescent="0.2">
      <c r="M427" s="30"/>
      <c r="N427" s="30"/>
      <c r="O427" s="30"/>
      <c r="P427" s="30"/>
      <c r="Q427" s="30"/>
    </row>
    <row r="428" spans="13:17" x14ac:dyDescent="0.2">
      <c r="M428" s="30"/>
      <c r="N428" s="30"/>
      <c r="O428" s="30"/>
      <c r="P428" s="30"/>
      <c r="Q428" s="30"/>
    </row>
    <row r="429" spans="13:17" x14ac:dyDescent="0.2">
      <c r="M429" s="30"/>
      <c r="N429" s="30"/>
      <c r="O429" s="30"/>
      <c r="P429" s="30"/>
      <c r="Q429" s="30"/>
    </row>
    <row r="430" spans="13:17" x14ac:dyDescent="0.2">
      <c r="M430" s="30"/>
      <c r="N430" s="30"/>
      <c r="O430" s="30"/>
      <c r="P430" s="30"/>
      <c r="Q430" s="30"/>
    </row>
    <row r="431" spans="13:17" x14ac:dyDescent="0.2">
      <c r="M431" s="30"/>
      <c r="N431" s="30"/>
      <c r="O431" s="30"/>
      <c r="P431" s="30"/>
      <c r="Q431" s="30"/>
    </row>
    <row r="432" spans="13:17" x14ac:dyDescent="0.2">
      <c r="M432" s="30"/>
      <c r="N432" s="30"/>
      <c r="O432" s="30"/>
      <c r="P432" s="30"/>
      <c r="Q432" s="30"/>
    </row>
    <row r="433" spans="13:17" x14ac:dyDescent="0.2">
      <c r="M433" s="30"/>
      <c r="N433" s="30"/>
      <c r="O433" s="30"/>
      <c r="P433" s="30"/>
      <c r="Q433" s="30"/>
    </row>
    <row r="434" spans="13:17" x14ac:dyDescent="0.2">
      <c r="M434" s="30"/>
      <c r="N434" s="30"/>
      <c r="O434" s="30"/>
      <c r="P434" s="30"/>
      <c r="Q434" s="30"/>
    </row>
    <row r="435" spans="13:17" x14ac:dyDescent="0.2">
      <c r="M435" s="30"/>
      <c r="N435" s="30"/>
      <c r="O435" s="30"/>
      <c r="P435" s="30"/>
      <c r="Q435" s="30"/>
    </row>
    <row r="436" spans="13:17" x14ac:dyDescent="0.2">
      <c r="M436" s="30"/>
      <c r="N436" s="30"/>
      <c r="O436" s="30"/>
      <c r="P436" s="30"/>
      <c r="Q436" s="30"/>
    </row>
    <row r="437" spans="13:17" x14ac:dyDescent="0.2">
      <c r="M437" s="30"/>
      <c r="N437" s="30"/>
      <c r="O437" s="30"/>
      <c r="P437" s="30"/>
      <c r="Q437" s="30"/>
    </row>
    <row r="438" spans="13:17" x14ac:dyDescent="0.2">
      <c r="M438" s="30"/>
      <c r="N438" s="30"/>
      <c r="O438" s="30"/>
      <c r="P438" s="30"/>
      <c r="Q438" s="30"/>
    </row>
    <row r="439" spans="13:17" x14ac:dyDescent="0.2">
      <c r="M439" s="30"/>
      <c r="N439" s="30"/>
      <c r="O439" s="30"/>
      <c r="P439" s="30"/>
      <c r="Q439" s="30"/>
    </row>
    <row r="440" spans="13:17" x14ac:dyDescent="0.2">
      <c r="M440" s="30"/>
      <c r="N440" s="30"/>
      <c r="O440" s="30"/>
      <c r="P440" s="30"/>
      <c r="Q440" s="30"/>
    </row>
    <row r="441" spans="13:17" x14ac:dyDescent="0.2">
      <c r="M441" s="30"/>
      <c r="N441" s="30"/>
      <c r="O441" s="30"/>
      <c r="P441" s="30"/>
      <c r="Q441" s="30"/>
    </row>
    <row r="442" spans="13:17" x14ac:dyDescent="0.2">
      <c r="M442" s="30"/>
      <c r="N442" s="30"/>
      <c r="O442" s="30"/>
      <c r="P442" s="30"/>
      <c r="Q442" s="30"/>
    </row>
    <row r="443" spans="13:17" x14ac:dyDescent="0.2">
      <c r="M443" s="30"/>
      <c r="N443" s="30"/>
      <c r="O443" s="30"/>
      <c r="P443" s="30"/>
      <c r="Q443" s="30"/>
    </row>
    <row r="444" spans="13:17" x14ac:dyDescent="0.2">
      <c r="M444" s="30"/>
      <c r="N444" s="30"/>
      <c r="O444" s="30"/>
      <c r="P444" s="30"/>
      <c r="Q444" s="30"/>
    </row>
    <row r="445" spans="13:17" x14ac:dyDescent="0.2">
      <c r="M445" s="30"/>
      <c r="N445" s="30"/>
      <c r="O445" s="30"/>
      <c r="P445" s="30"/>
      <c r="Q445" s="30"/>
    </row>
    <row r="446" spans="13:17" x14ac:dyDescent="0.2">
      <c r="M446" s="30"/>
      <c r="N446" s="30"/>
      <c r="O446" s="30"/>
      <c r="P446" s="30"/>
      <c r="Q446" s="30"/>
    </row>
    <row r="447" spans="13:17" x14ac:dyDescent="0.2">
      <c r="M447" s="30"/>
      <c r="N447" s="30"/>
      <c r="O447" s="30"/>
      <c r="P447" s="30"/>
      <c r="Q447" s="30"/>
    </row>
    <row r="448" spans="13:17" x14ac:dyDescent="0.2">
      <c r="M448" s="30"/>
      <c r="N448" s="30"/>
      <c r="O448" s="30"/>
      <c r="P448" s="30"/>
      <c r="Q448" s="30"/>
    </row>
    <row r="449" spans="13:17" x14ac:dyDescent="0.2">
      <c r="M449" s="30"/>
      <c r="N449" s="30"/>
      <c r="O449" s="30"/>
      <c r="P449" s="30"/>
      <c r="Q449" s="30"/>
    </row>
    <row r="450" spans="13:17" x14ac:dyDescent="0.2">
      <c r="M450" s="30"/>
      <c r="N450" s="30"/>
      <c r="O450" s="30"/>
      <c r="P450" s="30"/>
      <c r="Q450" s="30"/>
    </row>
    <row r="451" spans="13:17" x14ac:dyDescent="0.2">
      <c r="M451" s="30"/>
      <c r="N451" s="30"/>
      <c r="O451" s="30"/>
      <c r="P451" s="30"/>
      <c r="Q451" s="30"/>
    </row>
    <row r="452" spans="13:17" x14ac:dyDescent="0.2">
      <c r="M452" s="30"/>
      <c r="N452" s="30"/>
      <c r="O452" s="30"/>
      <c r="P452" s="30"/>
      <c r="Q452" s="30"/>
    </row>
    <row r="453" spans="13:17" x14ac:dyDescent="0.2">
      <c r="M453" s="30"/>
      <c r="N453" s="30"/>
      <c r="O453" s="30"/>
      <c r="P453" s="30"/>
      <c r="Q453" s="30"/>
    </row>
    <row r="454" spans="13:17" x14ac:dyDescent="0.2">
      <c r="M454" s="30"/>
      <c r="N454" s="30"/>
      <c r="O454" s="30"/>
      <c r="P454" s="30"/>
      <c r="Q454" s="30"/>
    </row>
    <row r="455" spans="13:17" x14ac:dyDescent="0.2">
      <c r="M455" s="30"/>
      <c r="N455" s="30"/>
      <c r="O455" s="30"/>
      <c r="P455" s="30"/>
      <c r="Q455" s="30"/>
    </row>
    <row r="456" spans="13:17" x14ac:dyDescent="0.2">
      <c r="M456" s="30"/>
      <c r="N456" s="30"/>
      <c r="O456" s="30"/>
      <c r="P456" s="30"/>
      <c r="Q456" s="30"/>
    </row>
    <row r="457" spans="13:17" x14ac:dyDescent="0.2">
      <c r="M457" s="30"/>
      <c r="N457" s="30"/>
      <c r="O457" s="30"/>
      <c r="P457" s="30"/>
      <c r="Q457" s="30"/>
    </row>
    <row r="458" spans="13:17" x14ac:dyDescent="0.2">
      <c r="M458" s="30"/>
      <c r="N458" s="30"/>
      <c r="O458" s="30"/>
      <c r="P458" s="30"/>
      <c r="Q458" s="30"/>
    </row>
    <row r="459" spans="13:17" x14ac:dyDescent="0.2">
      <c r="M459" s="30"/>
      <c r="N459" s="30"/>
      <c r="O459" s="30"/>
      <c r="P459" s="30"/>
      <c r="Q459" s="30"/>
    </row>
    <row r="460" spans="13:17" x14ac:dyDescent="0.2">
      <c r="M460" s="30"/>
      <c r="N460" s="30"/>
      <c r="O460" s="30"/>
      <c r="P460" s="30"/>
      <c r="Q460" s="30"/>
    </row>
    <row r="461" spans="13:17" x14ac:dyDescent="0.2">
      <c r="M461" s="30"/>
      <c r="N461" s="30"/>
      <c r="O461" s="30"/>
      <c r="P461" s="30"/>
      <c r="Q461" s="30"/>
    </row>
    <row r="462" spans="13:17" x14ac:dyDescent="0.2">
      <c r="M462" s="30"/>
      <c r="N462" s="30"/>
      <c r="O462" s="30"/>
      <c r="P462" s="30"/>
      <c r="Q462" s="30"/>
    </row>
    <row r="463" spans="13:17" x14ac:dyDescent="0.2">
      <c r="M463" s="30"/>
      <c r="N463" s="30"/>
      <c r="O463" s="30"/>
      <c r="P463" s="30"/>
      <c r="Q463" s="30"/>
    </row>
  </sheetData>
  <pageMargins left="0.25" right="0.25" top="0.75" bottom="0.75" header="0.3" footer="0.3"/>
  <pageSetup paperSize="9" scale="42" firstPageNumber="0"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Y463"/>
  <sheetViews>
    <sheetView topLeftCell="H1" zoomScale="70" zoomScaleNormal="70" workbookViewId="0">
      <selection activeCell="N6" sqref="N6"/>
    </sheetView>
  </sheetViews>
  <sheetFormatPr defaultRowHeight="12.75" x14ac:dyDescent="0.2"/>
  <cols>
    <col min="1" max="1" width="30.140625" customWidth="1"/>
    <col min="2" max="2" width="17.42578125" bestFit="1" customWidth="1"/>
    <col min="3" max="3" width="12.5703125" customWidth="1"/>
    <col min="4" max="4" width="18.5703125" customWidth="1"/>
    <col min="5" max="5" width="23.28515625" customWidth="1"/>
    <col min="6" max="6" width="27.85546875" customWidth="1"/>
    <col min="7" max="7" width="29.140625" customWidth="1"/>
    <col min="8" max="8" width="15.5703125" customWidth="1"/>
    <col min="9" max="9" width="25.85546875" customWidth="1"/>
    <col min="10" max="10" width="20.7109375" customWidth="1"/>
    <col min="11" max="11" width="18.7109375" customWidth="1"/>
    <col min="12" max="12" width="30.28515625" customWidth="1"/>
    <col min="13" max="13" width="20.7109375" customWidth="1"/>
    <col min="14" max="14" width="22" bestFit="1" customWidth="1"/>
    <col min="15" max="15" width="75" bestFit="1" customWidth="1"/>
    <col min="25" max="25" width="52.7109375" customWidth="1"/>
  </cols>
  <sheetData>
    <row r="1" spans="1:25" ht="13.5" thickBot="1" x14ac:dyDescent="0.25">
      <c r="A1" s="6" t="s">
        <v>116</v>
      </c>
    </row>
    <row r="2" spans="1:25" x14ac:dyDescent="0.2">
      <c r="A2" s="44"/>
      <c r="B2" s="44"/>
      <c r="C2" s="44"/>
      <c r="D2" s="44"/>
      <c r="E2" s="44"/>
      <c r="F2" s="44"/>
      <c r="G2" s="44"/>
      <c r="H2" s="44"/>
      <c r="I2" s="44"/>
      <c r="J2" s="44"/>
      <c r="K2" s="44"/>
      <c r="L2" s="44"/>
      <c r="N2" s="96" t="s">
        <v>56</v>
      </c>
      <c r="O2" s="88" t="s">
        <v>50</v>
      </c>
    </row>
    <row r="3" spans="1:25" ht="13.5" thickBot="1" x14ac:dyDescent="0.25">
      <c r="A3" s="44"/>
      <c r="B3" s="44"/>
      <c r="C3" s="44"/>
      <c r="D3" s="44"/>
      <c r="E3" s="44"/>
      <c r="F3" s="44"/>
      <c r="G3" s="44"/>
      <c r="H3" s="44"/>
      <c r="I3" s="44"/>
      <c r="J3" s="44"/>
      <c r="K3" s="44"/>
      <c r="L3" s="44"/>
      <c r="M3">
        <v>2019</v>
      </c>
      <c r="N3" s="418" t="s">
        <v>55</v>
      </c>
      <c r="O3" s="150"/>
      <c r="W3">
        <v>2019</v>
      </c>
    </row>
    <row r="4" spans="1:25" ht="48.95" customHeight="1" thickBot="1" x14ac:dyDescent="0.25">
      <c r="A4" s="113" t="s">
        <v>0</v>
      </c>
      <c r="B4" s="114" t="s">
        <v>117</v>
      </c>
      <c r="C4" s="104" t="s">
        <v>103</v>
      </c>
      <c r="D4" s="115" t="s">
        <v>118</v>
      </c>
      <c r="E4" s="115" t="s">
        <v>3</v>
      </c>
      <c r="F4" s="113" t="s">
        <v>105</v>
      </c>
      <c r="G4" s="116" t="s">
        <v>9</v>
      </c>
      <c r="H4" s="555" t="s">
        <v>106</v>
      </c>
      <c r="I4" s="117" t="s">
        <v>4</v>
      </c>
      <c r="J4" s="169" t="s">
        <v>239</v>
      </c>
      <c r="K4" s="169" t="s">
        <v>240</v>
      </c>
      <c r="L4" s="166" t="s">
        <v>107</v>
      </c>
      <c r="M4" s="166" t="s">
        <v>241</v>
      </c>
      <c r="N4" s="178" t="s">
        <v>242</v>
      </c>
      <c r="O4" s="170" t="s">
        <v>154</v>
      </c>
    </row>
    <row r="5" spans="1:25" ht="26.25" thickBot="1" x14ac:dyDescent="0.25">
      <c r="A5" s="341" t="s">
        <v>277</v>
      </c>
      <c r="B5" s="342" t="s">
        <v>119</v>
      </c>
      <c r="C5" s="343" t="s">
        <v>109</v>
      </c>
      <c r="D5" s="344" t="s">
        <v>115</v>
      </c>
      <c r="E5" s="344" t="s">
        <v>1026</v>
      </c>
      <c r="F5" s="345" t="s">
        <v>925</v>
      </c>
      <c r="G5" s="346" t="s">
        <v>757</v>
      </c>
      <c r="H5" s="347">
        <v>0.1</v>
      </c>
      <c r="I5" s="595"/>
      <c r="J5" s="596">
        <v>86</v>
      </c>
      <c r="K5" s="596">
        <v>8</v>
      </c>
      <c r="L5" s="566">
        <f>IFERROR(K5/J5,0)</f>
        <v>9.3023255813953487E-2</v>
      </c>
      <c r="M5" s="567">
        <f>IFERROR(K5/(J5*(H5)),0)</f>
        <v>0.93023255813953487</v>
      </c>
      <c r="N5" s="597">
        <f>K5/(J5*H5/100)</f>
        <v>93.023255813953497</v>
      </c>
      <c r="O5" s="598" t="s">
        <v>1857</v>
      </c>
    </row>
    <row r="6" spans="1:25" ht="30.75" customHeight="1" thickBot="1" x14ac:dyDescent="0.25">
      <c r="A6" s="341" t="s">
        <v>277</v>
      </c>
      <c r="B6" s="342" t="s">
        <v>119</v>
      </c>
      <c r="C6" s="343" t="s">
        <v>109</v>
      </c>
      <c r="D6" s="344" t="s">
        <v>972</v>
      </c>
      <c r="E6" s="344" t="s">
        <v>1026</v>
      </c>
      <c r="F6" s="345" t="s">
        <v>925</v>
      </c>
      <c r="G6" s="346" t="s">
        <v>757</v>
      </c>
      <c r="H6" s="347">
        <v>0.1</v>
      </c>
      <c r="I6" s="599"/>
      <c r="J6" s="596">
        <v>86</v>
      </c>
      <c r="K6" s="596">
        <v>8</v>
      </c>
      <c r="L6" s="566">
        <f t="shared" ref="L6:L69" si="0">IFERROR(K6/J6,0)</f>
        <v>9.3023255813953487E-2</v>
      </c>
      <c r="M6" s="567">
        <f t="shared" ref="M6:M69" si="1">IFERROR(K6/(J6*(H6)),0)</f>
        <v>0.93023255813953487</v>
      </c>
      <c r="N6" s="597">
        <f t="shared" ref="N6:N69" si="2">K6/(J6*H6/100)</f>
        <v>93.023255813953497</v>
      </c>
      <c r="O6" s="598" t="s">
        <v>1857</v>
      </c>
    </row>
    <row r="7" spans="1:25" ht="26.25" thickBot="1" x14ac:dyDescent="0.25">
      <c r="A7" s="341" t="s">
        <v>277</v>
      </c>
      <c r="B7" s="342" t="s">
        <v>119</v>
      </c>
      <c r="C7" s="343" t="s">
        <v>109</v>
      </c>
      <c r="D7" s="344" t="s">
        <v>973</v>
      </c>
      <c r="E7" s="344" t="s">
        <v>1026</v>
      </c>
      <c r="F7" s="345" t="s">
        <v>925</v>
      </c>
      <c r="G7" s="346" t="s">
        <v>757</v>
      </c>
      <c r="H7" s="347">
        <v>0.1</v>
      </c>
      <c r="I7" s="599"/>
      <c r="J7" s="596">
        <v>86</v>
      </c>
      <c r="K7" s="596">
        <v>8</v>
      </c>
      <c r="L7" s="566">
        <f t="shared" si="0"/>
        <v>9.3023255813953487E-2</v>
      </c>
      <c r="M7" s="567">
        <f t="shared" si="1"/>
        <v>0.93023255813953487</v>
      </c>
      <c r="N7" s="597">
        <f t="shared" si="2"/>
        <v>93.023255813953497</v>
      </c>
      <c r="O7" s="598" t="s">
        <v>1857</v>
      </c>
    </row>
    <row r="8" spans="1:25" ht="26.25" thickBot="1" x14ac:dyDescent="0.25">
      <c r="A8" s="341" t="s">
        <v>277</v>
      </c>
      <c r="B8" s="342" t="s">
        <v>119</v>
      </c>
      <c r="C8" s="343" t="s">
        <v>109</v>
      </c>
      <c r="D8" s="344" t="s">
        <v>976</v>
      </c>
      <c r="E8" s="344" t="s">
        <v>1026</v>
      </c>
      <c r="F8" s="345" t="s">
        <v>925</v>
      </c>
      <c r="G8" s="346" t="s">
        <v>757</v>
      </c>
      <c r="H8" s="347">
        <v>0.1</v>
      </c>
      <c r="I8" s="599"/>
      <c r="J8" s="596">
        <v>86</v>
      </c>
      <c r="K8" s="596">
        <v>8</v>
      </c>
      <c r="L8" s="566">
        <f t="shared" si="0"/>
        <v>9.3023255813953487E-2</v>
      </c>
      <c r="M8" s="567">
        <f t="shared" si="1"/>
        <v>0.93023255813953487</v>
      </c>
      <c r="N8" s="597">
        <f t="shared" si="2"/>
        <v>93.023255813953497</v>
      </c>
      <c r="O8" s="598" t="s">
        <v>1857</v>
      </c>
    </row>
    <row r="9" spans="1:25" ht="39" thickBot="1" x14ac:dyDescent="0.25">
      <c r="A9" s="341" t="s">
        <v>277</v>
      </c>
      <c r="B9" s="342" t="s">
        <v>119</v>
      </c>
      <c r="C9" s="343" t="s">
        <v>109</v>
      </c>
      <c r="D9" s="344" t="s">
        <v>1027</v>
      </c>
      <c r="E9" s="344" t="s">
        <v>1026</v>
      </c>
      <c r="F9" s="345" t="s">
        <v>925</v>
      </c>
      <c r="G9" s="346" t="s">
        <v>757</v>
      </c>
      <c r="H9" s="347">
        <v>0.1</v>
      </c>
      <c r="I9" s="599"/>
      <c r="J9" s="596">
        <v>86</v>
      </c>
      <c r="K9" s="596">
        <v>8</v>
      </c>
      <c r="L9" s="566">
        <f t="shared" si="0"/>
        <v>9.3023255813953487E-2</v>
      </c>
      <c r="M9" s="567">
        <f t="shared" si="1"/>
        <v>0.93023255813953487</v>
      </c>
      <c r="N9" s="597">
        <f t="shared" si="2"/>
        <v>93.023255813953497</v>
      </c>
      <c r="O9" s="598" t="s">
        <v>1857</v>
      </c>
    </row>
    <row r="10" spans="1:25" ht="26.25" thickBot="1" x14ac:dyDescent="0.25">
      <c r="A10" s="341" t="s">
        <v>277</v>
      </c>
      <c r="B10" s="342" t="s">
        <v>119</v>
      </c>
      <c r="C10" s="343" t="s">
        <v>109</v>
      </c>
      <c r="D10" s="344" t="s">
        <v>977</v>
      </c>
      <c r="E10" s="344" t="s">
        <v>1026</v>
      </c>
      <c r="F10" s="345" t="s">
        <v>925</v>
      </c>
      <c r="G10" s="346" t="s">
        <v>757</v>
      </c>
      <c r="H10" s="347">
        <v>0.1</v>
      </c>
      <c r="I10" s="599"/>
      <c r="J10" s="596">
        <v>86</v>
      </c>
      <c r="K10" s="596">
        <v>8</v>
      </c>
      <c r="L10" s="566">
        <f t="shared" si="0"/>
        <v>9.3023255813953487E-2</v>
      </c>
      <c r="M10" s="567">
        <f t="shared" si="1"/>
        <v>0.93023255813953487</v>
      </c>
      <c r="N10" s="597">
        <f t="shared" si="2"/>
        <v>93.023255813953497</v>
      </c>
      <c r="O10" s="598" t="s">
        <v>1857</v>
      </c>
      <c r="P10" s="227"/>
      <c r="Q10" s="227"/>
      <c r="R10" s="227"/>
      <c r="S10" s="227"/>
      <c r="T10" s="227"/>
      <c r="U10" s="227"/>
      <c r="V10" s="227"/>
      <c r="W10" s="227"/>
      <c r="X10" s="227"/>
      <c r="Y10" s="227"/>
    </row>
    <row r="11" spans="1:25" ht="39" thickBot="1" x14ac:dyDescent="0.25">
      <c r="A11" s="341" t="s">
        <v>277</v>
      </c>
      <c r="B11" s="342" t="s">
        <v>119</v>
      </c>
      <c r="C11" s="343" t="s">
        <v>109</v>
      </c>
      <c r="D11" s="344" t="s">
        <v>1028</v>
      </c>
      <c r="E11" s="344" t="s">
        <v>1026</v>
      </c>
      <c r="F11" s="345" t="s">
        <v>925</v>
      </c>
      <c r="G11" s="346" t="s">
        <v>757</v>
      </c>
      <c r="H11" s="347">
        <v>0.1</v>
      </c>
      <c r="I11" s="599"/>
      <c r="J11" s="596">
        <v>86</v>
      </c>
      <c r="K11" s="596">
        <v>8</v>
      </c>
      <c r="L11" s="566">
        <f t="shared" si="0"/>
        <v>9.3023255813953487E-2</v>
      </c>
      <c r="M11" s="567">
        <f t="shared" si="1"/>
        <v>0.93023255813953487</v>
      </c>
      <c r="N11" s="597">
        <f t="shared" si="2"/>
        <v>93.023255813953497</v>
      </c>
      <c r="O11" s="598" t="s">
        <v>1857</v>
      </c>
      <c r="P11" s="227"/>
      <c r="Q11" s="227"/>
      <c r="R11" s="227"/>
      <c r="S11" s="227"/>
      <c r="T11" s="227"/>
      <c r="U11" s="227"/>
      <c r="V11" s="227"/>
      <c r="W11" s="227"/>
      <c r="X11" s="227"/>
      <c r="Y11" s="227"/>
    </row>
    <row r="12" spans="1:25" ht="26.25" thickBot="1" x14ac:dyDescent="0.25">
      <c r="A12" s="341" t="s">
        <v>277</v>
      </c>
      <c r="B12" s="342" t="s">
        <v>119</v>
      </c>
      <c r="C12" s="343" t="s">
        <v>109</v>
      </c>
      <c r="D12" s="344" t="s">
        <v>1029</v>
      </c>
      <c r="E12" s="344" t="s">
        <v>1026</v>
      </c>
      <c r="F12" s="345" t="s">
        <v>925</v>
      </c>
      <c r="G12" s="346" t="s">
        <v>757</v>
      </c>
      <c r="H12" s="347">
        <v>0.1</v>
      </c>
      <c r="I12" s="599"/>
      <c r="J12" s="596">
        <v>86</v>
      </c>
      <c r="K12" s="596">
        <v>8</v>
      </c>
      <c r="L12" s="566">
        <f t="shared" si="0"/>
        <v>9.3023255813953487E-2</v>
      </c>
      <c r="M12" s="567">
        <f t="shared" si="1"/>
        <v>0.93023255813953487</v>
      </c>
      <c r="N12" s="597">
        <f t="shared" si="2"/>
        <v>93.023255813953497</v>
      </c>
      <c r="O12" s="598" t="s">
        <v>1857</v>
      </c>
      <c r="P12" s="227"/>
      <c r="Q12" s="227"/>
      <c r="R12" s="227"/>
      <c r="S12" s="227"/>
      <c r="T12" s="227"/>
      <c r="U12" s="227"/>
      <c r="V12" s="227"/>
      <c r="W12" s="227"/>
      <c r="X12" s="227"/>
      <c r="Y12" s="227"/>
    </row>
    <row r="13" spans="1:25" ht="26.25" thickBot="1" x14ac:dyDescent="0.25">
      <c r="A13" s="341" t="s">
        <v>277</v>
      </c>
      <c r="B13" s="342" t="s">
        <v>119</v>
      </c>
      <c r="C13" s="343" t="s">
        <v>109</v>
      </c>
      <c r="D13" s="344" t="s">
        <v>982</v>
      </c>
      <c r="E13" s="344" t="s">
        <v>1026</v>
      </c>
      <c r="F13" s="345" t="s">
        <v>925</v>
      </c>
      <c r="G13" s="346" t="s">
        <v>757</v>
      </c>
      <c r="H13" s="347">
        <v>0.1</v>
      </c>
      <c r="I13" s="599"/>
      <c r="J13" s="596">
        <v>86</v>
      </c>
      <c r="K13" s="596">
        <v>8</v>
      </c>
      <c r="L13" s="566">
        <f t="shared" si="0"/>
        <v>9.3023255813953487E-2</v>
      </c>
      <c r="M13" s="567">
        <f t="shared" si="1"/>
        <v>0.93023255813953487</v>
      </c>
      <c r="N13" s="597">
        <f t="shared" si="2"/>
        <v>93.023255813953497</v>
      </c>
      <c r="O13" s="598" t="s">
        <v>1857</v>
      </c>
      <c r="P13" s="227"/>
      <c r="Q13" s="227"/>
      <c r="R13" s="227"/>
      <c r="S13" s="227"/>
      <c r="T13" s="227"/>
      <c r="U13" s="227"/>
      <c r="V13" s="227"/>
      <c r="W13" s="227"/>
      <c r="X13" s="227"/>
      <c r="Y13" s="227"/>
    </row>
    <row r="14" spans="1:25" ht="26.25" thickBot="1" x14ac:dyDescent="0.25">
      <c r="A14" s="341" t="s">
        <v>277</v>
      </c>
      <c r="B14" s="342" t="s">
        <v>119</v>
      </c>
      <c r="C14" s="343" t="s">
        <v>109</v>
      </c>
      <c r="D14" s="344" t="s">
        <v>984</v>
      </c>
      <c r="E14" s="344" t="s">
        <v>1026</v>
      </c>
      <c r="F14" s="345" t="s">
        <v>925</v>
      </c>
      <c r="G14" s="346" t="s">
        <v>757</v>
      </c>
      <c r="H14" s="347">
        <v>0.1</v>
      </c>
      <c r="I14" s="599"/>
      <c r="J14" s="596">
        <v>86</v>
      </c>
      <c r="K14" s="596">
        <v>8</v>
      </c>
      <c r="L14" s="566">
        <f t="shared" si="0"/>
        <v>9.3023255813953487E-2</v>
      </c>
      <c r="M14" s="567">
        <f t="shared" si="1"/>
        <v>0.93023255813953487</v>
      </c>
      <c r="N14" s="597">
        <f t="shared" si="2"/>
        <v>93.023255813953497</v>
      </c>
      <c r="O14" s="598" t="s">
        <v>1857</v>
      </c>
      <c r="P14" s="227"/>
      <c r="Q14" s="227"/>
      <c r="R14" s="227"/>
      <c r="S14" s="227"/>
      <c r="T14" s="227"/>
      <c r="U14" s="227"/>
      <c r="V14" s="227"/>
      <c r="W14" s="227"/>
      <c r="X14" s="227"/>
      <c r="Y14" s="227"/>
    </row>
    <row r="15" spans="1:25" ht="26.25" thickBot="1" x14ac:dyDescent="0.25">
      <c r="A15" s="341" t="s">
        <v>277</v>
      </c>
      <c r="B15" s="342" t="s">
        <v>119</v>
      </c>
      <c r="C15" s="343" t="s">
        <v>109</v>
      </c>
      <c r="D15" s="344" t="s">
        <v>985</v>
      </c>
      <c r="E15" s="344" t="s">
        <v>1026</v>
      </c>
      <c r="F15" s="345" t="s">
        <v>925</v>
      </c>
      <c r="G15" s="346" t="s">
        <v>757</v>
      </c>
      <c r="H15" s="347">
        <v>0.1</v>
      </c>
      <c r="I15" s="599"/>
      <c r="J15" s="596">
        <v>86</v>
      </c>
      <c r="K15" s="596">
        <v>8</v>
      </c>
      <c r="L15" s="566">
        <f t="shared" si="0"/>
        <v>9.3023255813953487E-2</v>
      </c>
      <c r="M15" s="567">
        <f t="shared" si="1"/>
        <v>0.93023255813953487</v>
      </c>
      <c r="N15" s="597">
        <f t="shared" si="2"/>
        <v>93.023255813953497</v>
      </c>
      <c r="O15" s="598" t="s">
        <v>1857</v>
      </c>
      <c r="P15" s="227"/>
      <c r="Q15" s="227"/>
      <c r="R15" s="227"/>
      <c r="S15" s="227"/>
      <c r="T15" s="227"/>
      <c r="U15" s="227"/>
      <c r="V15" s="227"/>
      <c r="W15" s="227"/>
      <c r="X15" s="227"/>
      <c r="Y15" s="227"/>
    </row>
    <row r="16" spans="1:25" ht="26.25" thickBot="1" x14ac:dyDescent="0.25">
      <c r="A16" s="341" t="s">
        <v>277</v>
      </c>
      <c r="B16" s="342" t="s">
        <v>119</v>
      </c>
      <c r="C16" s="343" t="s">
        <v>109</v>
      </c>
      <c r="D16" s="344" t="s">
        <v>986</v>
      </c>
      <c r="E16" s="344" t="s">
        <v>1026</v>
      </c>
      <c r="F16" s="345" t="s">
        <v>925</v>
      </c>
      <c r="G16" s="346" t="s">
        <v>757</v>
      </c>
      <c r="H16" s="347">
        <v>0.1</v>
      </c>
      <c r="I16" s="599"/>
      <c r="J16" s="596">
        <v>86</v>
      </c>
      <c r="K16" s="596">
        <v>8</v>
      </c>
      <c r="L16" s="566">
        <f t="shared" si="0"/>
        <v>9.3023255813953487E-2</v>
      </c>
      <c r="M16" s="567">
        <f t="shared" si="1"/>
        <v>0.93023255813953487</v>
      </c>
      <c r="N16" s="597">
        <f t="shared" si="2"/>
        <v>93.023255813953497</v>
      </c>
      <c r="O16" s="598" t="s">
        <v>1857</v>
      </c>
      <c r="P16" s="227"/>
      <c r="Q16" s="227"/>
      <c r="R16" s="227"/>
      <c r="S16" s="227"/>
      <c r="T16" s="227"/>
      <c r="U16" s="227"/>
      <c r="V16" s="227"/>
      <c r="W16" s="227"/>
      <c r="X16" s="227"/>
      <c r="Y16" s="227"/>
    </row>
    <row r="17" spans="1:25" ht="26.25" thickBot="1" x14ac:dyDescent="0.25">
      <c r="A17" s="341" t="s">
        <v>277</v>
      </c>
      <c r="B17" s="342" t="s">
        <v>119</v>
      </c>
      <c r="C17" s="343" t="s">
        <v>109</v>
      </c>
      <c r="D17" s="344" t="s">
        <v>987</v>
      </c>
      <c r="E17" s="344" t="s">
        <v>1026</v>
      </c>
      <c r="F17" s="345" t="s">
        <v>925</v>
      </c>
      <c r="G17" s="346" t="s">
        <v>757</v>
      </c>
      <c r="H17" s="347">
        <v>0.1</v>
      </c>
      <c r="I17" s="599"/>
      <c r="J17" s="596">
        <v>86</v>
      </c>
      <c r="K17" s="596">
        <v>8</v>
      </c>
      <c r="L17" s="566">
        <f t="shared" si="0"/>
        <v>9.3023255813953487E-2</v>
      </c>
      <c r="M17" s="567">
        <f t="shared" si="1"/>
        <v>0.93023255813953487</v>
      </c>
      <c r="N17" s="597">
        <f t="shared" si="2"/>
        <v>93.023255813953497</v>
      </c>
      <c r="O17" s="598" t="s">
        <v>1857</v>
      </c>
      <c r="P17" s="227"/>
      <c r="Q17" s="227"/>
      <c r="R17" s="227"/>
      <c r="S17" s="227"/>
      <c r="T17" s="227"/>
      <c r="U17" s="227"/>
      <c r="V17" s="227"/>
      <c r="W17" s="227"/>
      <c r="X17" s="227"/>
      <c r="Y17" s="227"/>
    </row>
    <row r="18" spans="1:25" ht="26.25" thickBot="1" x14ac:dyDescent="0.25">
      <c r="A18" s="341" t="s">
        <v>277</v>
      </c>
      <c r="B18" s="342" t="s">
        <v>119</v>
      </c>
      <c r="C18" s="343" t="s">
        <v>109</v>
      </c>
      <c r="D18" s="344" t="s">
        <v>1030</v>
      </c>
      <c r="E18" s="344" t="s">
        <v>1026</v>
      </c>
      <c r="F18" s="345" t="s">
        <v>925</v>
      </c>
      <c r="G18" s="346" t="s">
        <v>757</v>
      </c>
      <c r="H18" s="347">
        <v>0.1</v>
      </c>
      <c r="I18" s="599"/>
      <c r="J18" s="596">
        <v>86</v>
      </c>
      <c r="K18" s="596">
        <v>8</v>
      </c>
      <c r="L18" s="566">
        <f t="shared" si="0"/>
        <v>9.3023255813953487E-2</v>
      </c>
      <c r="M18" s="567">
        <f t="shared" si="1"/>
        <v>0.93023255813953487</v>
      </c>
      <c r="N18" s="597">
        <f t="shared" si="2"/>
        <v>93.023255813953497</v>
      </c>
      <c r="O18" s="598" t="s">
        <v>1857</v>
      </c>
      <c r="P18" s="227"/>
      <c r="Q18" s="227"/>
      <c r="R18" s="227"/>
      <c r="S18" s="227"/>
      <c r="T18" s="227"/>
      <c r="U18" s="227"/>
      <c r="V18" s="227"/>
      <c r="W18" s="227"/>
      <c r="X18" s="227"/>
      <c r="Y18" s="227"/>
    </row>
    <row r="19" spans="1:25" ht="26.25" thickBot="1" x14ac:dyDescent="0.25">
      <c r="A19" s="341" t="s">
        <v>277</v>
      </c>
      <c r="B19" s="342" t="s">
        <v>119</v>
      </c>
      <c r="C19" s="343" t="s">
        <v>109</v>
      </c>
      <c r="D19" s="344" t="s">
        <v>1031</v>
      </c>
      <c r="E19" s="344" t="s">
        <v>1026</v>
      </c>
      <c r="F19" s="345" t="s">
        <v>925</v>
      </c>
      <c r="G19" s="346" t="s">
        <v>757</v>
      </c>
      <c r="H19" s="347">
        <v>0.1</v>
      </c>
      <c r="I19" s="599"/>
      <c r="J19" s="596">
        <v>86</v>
      </c>
      <c r="K19" s="596">
        <v>8</v>
      </c>
      <c r="L19" s="566">
        <f t="shared" si="0"/>
        <v>9.3023255813953487E-2</v>
      </c>
      <c r="M19" s="567">
        <f t="shared" si="1"/>
        <v>0.93023255813953487</v>
      </c>
      <c r="N19" s="597">
        <f t="shared" si="2"/>
        <v>93.023255813953497</v>
      </c>
      <c r="O19" s="598" t="s">
        <v>1857</v>
      </c>
      <c r="P19" s="227"/>
      <c r="Q19" s="227"/>
      <c r="R19" s="227"/>
      <c r="S19" s="227"/>
      <c r="T19" s="227"/>
      <c r="U19" s="227"/>
      <c r="V19" s="227"/>
      <c r="W19" s="227"/>
      <c r="X19" s="227"/>
      <c r="Y19" s="227"/>
    </row>
    <row r="20" spans="1:25" ht="26.25" thickBot="1" x14ac:dyDescent="0.25">
      <c r="A20" s="341" t="s">
        <v>277</v>
      </c>
      <c r="B20" s="342" t="s">
        <v>119</v>
      </c>
      <c r="C20" s="343" t="s">
        <v>109</v>
      </c>
      <c r="D20" s="344" t="s">
        <v>990</v>
      </c>
      <c r="E20" s="344" t="s">
        <v>1026</v>
      </c>
      <c r="F20" s="345" t="s">
        <v>925</v>
      </c>
      <c r="G20" s="346" t="s">
        <v>757</v>
      </c>
      <c r="H20" s="347">
        <v>0.1</v>
      </c>
      <c r="I20" s="599"/>
      <c r="J20" s="596">
        <v>86</v>
      </c>
      <c r="K20" s="596">
        <v>8</v>
      </c>
      <c r="L20" s="566">
        <f t="shared" si="0"/>
        <v>9.3023255813953487E-2</v>
      </c>
      <c r="M20" s="567">
        <f t="shared" si="1"/>
        <v>0.93023255813953487</v>
      </c>
      <c r="N20" s="597">
        <f t="shared" si="2"/>
        <v>93.023255813953497</v>
      </c>
      <c r="O20" s="598" t="s">
        <v>1857</v>
      </c>
      <c r="P20" s="227"/>
      <c r="Q20" s="227"/>
      <c r="R20" s="227"/>
      <c r="S20" s="227"/>
      <c r="T20" s="227"/>
      <c r="U20" s="227"/>
      <c r="V20" s="227"/>
      <c r="W20" s="227"/>
      <c r="X20" s="227"/>
      <c r="Y20" s="227"/>
    </row>
    <row r="21" spans="1:25" ht="26.25" thickBot="1" x14ac:dyDescent="0.25">
      <c r="A21" s="341" t="s">
        <v>277</v>
      </c>
      <c r="B21" s="342" t="s">
        <v>119</v>
      </c>
      <c r="C21" s="343" t="s">
        <v>109</v>
      </c>
      <c r="D21" s="344" t="s">
        <v>1032</v>
      </c>
      <c r="E21" s="344" t="s">
        <v>1026</v>
      </c>
      <c r="F21" s="345" t="s">
        <v>925</v>
      </c>
      <c r="G21" s="346" t="s">
        <v>757</v>
      </c>
      <c r="H21" s="347">
        <v>0.1</v>
      </c>
      <c r="I21" s="599"/>
      <c r="J21" s="596">
        <v>86</v>
      </c>
      <c r="K21" s="596">
        <v>8</v>
      </c>
      <c r="L21" s="566">
        <f t="shared" si="0"/>
        <v>9.3023255813953487E-2</v>
      </c>
      <c r="M21" s="567">
        <f t="shared" si="1"/>
        <v>0.93023255813953487</v>
      </c>
      <c r="N21" s="597">
        <f t="shared" si="2"/>
        <v>93.023255813953497</v>
      </c>
      <c r="O21" s="598" t="s">
        <v>1857</v>
      </c>
      <c r="P21" s="227"/>
      <c r="Q21" s="227"/>
      <c r="R21" s="227"/>
      <c r="S21" s="227"/>
      <c r="T21" s="227"/>
      <c r="U21" s="227"/>
      <c r="V21" s="227"/>
      <c r="W21" s="227"/>
      <c r="X21" s="227"/>
      <c r="Y21" s="227"/>
    </row>
    <row r="22" spans="1:25" ht="26.25" thickBot="1" x14ac:dyDescent="0.25">
      <c r="A22" s="341" t="s">
        <v>277</v>
      </c>
      <c r="B22" s="342" t="s">
        <v>119</v>
      </c>
      <c r="C22" s="343" t="s">
        <v>109</v>
      </c>
      <c r="D22" s="344" t="s">
        <v>954</v>
      </c>
      <c r="E22" s="344" t="s">
        <v>1026</v>
      </c>
      <c r="F22" s="345" t="s">
        <v>925</v>
      </c>
      <c r="G22" s="346" t="s">
        <v>757</v>
      </c>
      <c r="H22" s="347">
        <v>0.1</v>
      </c>
      <c r="I22" s="599"/>
      <c r="J22" s="596">
        <v>86</v>
      </c>
      <c r="K22" s="596">
        <v>8</v>
      </c>
      <c r="L22" s="566">
        <f t="shared" si="0"/>
        <v>9.3023255813953487E-2</v>
      </c>
      <c r="M22" s="567">
        <f t="shared" si="1"/>
        <v>0.93023255813953487</v>
      </c>
      <c r="N22" s="597">
        <f t="shared" si="2"/>
        <v>93.023255813953497</v>
      </c>
      <c r="O22" s="598" t="s">
        <v>1857</v>
      </c>
      <c r="P22" s="227"/>
      <c r="Q22" s="227"/>
      <c r="R22" s="227"/>
      <c r="S22" s="227"/>
      <c r="T22" s="227"/>
      <c r="U22" s="227"/>
      <c r="V22" s="227"/>
      <c r="W22" s="227"/>
      <c r="X22" s="227"/>
      <c r="Y22" s="227"/>
    </row>
    <row r="23" spans="1:25" ht="26.25" thickBot="1" x14ac:dyDescent="0.25">
      <c r="A23" s="341" t="s">
        <v>277</v>
      </c>
      <c r="B23" s="342" t="s">
        <v>119</v>
      </c>
      <c r="C23" s="343" t="s">
        <v>109</v>
      </c>
      <c r="D23" s="344" t="s">
        <v>1033</v>
      </c>
      <c r="E23" s="344" t="s">
        <v>1026</v>
      </c>
      <c r="F23" s="345" t="s">
        <v>925</v>
      </c>
      <c r="G23" s="346" t="s">
        <v>757</v>
      </c>
      <c r="H23" s="347">
        <v>0.1</v>
      </c>
      <c r="I23" s="599"/>
      <c r="J23" s="596">
        <v>86</v>
      </c>
      <c r="K23" s="596">
        <v>8</v>
      </c>
      <c r="L23" s="566">
        <f t="shared" si="0"/>
        <v>9.3023255813953487E-2</v>
      </c>
      <c r="M23" s="567">
        <f t="shared" si="1"/>
        <v>0.93023255813953487</v>
      </c>
      <c r="N23" s="597">
        <f t="shared" si="2"/>
        <v>93.023255813953497</v>
      </c>
      <c r="O23" s="598" t="s">
        <v>1857</v>
      </c>
      <c r="P23" s="227"/>
      <c r="Q23" s="227"/>
      <c r="R23" s="227"/>
      <c r="S23" s="227"/>
      <c r="T23" s="227"/>
      <c r="U23" s="227"/>
    </row>
    <row r="24" spans="1:25" ht="51.75" thickBot="1" x14ac:dyDescent="0.25">
      <c r="A24" s="341" t="s">
        <v>277</v>
      </c>
      <c r="B24" s="342" t="s">
        <v>119</v>
      </c>
      <c r="C24" s="343" t="s">
        <v>109</v>
      </c>
      <c r="D24" s="344" t="s">
        <v>996</v>
      </c>
      <c r="E24" s="344" t="s">
        <v>1026</v>
      </c>
      <c r="F24" s="345" t="s">
        <v>925</v>
      </c>
      <c r="G24" s="346" t="s">
        <v>757</v>
      </c>
      <c r="H24" s="347">
        <v>0.1</v>
      </c>
      <c r="I24" s="599"/>
      <c r="J24" s="596">
        <v>86</v>
      </c>
      <c r="K24" s="596">
        <v>8</v>
      </c>
      <c r="L24" s="566">
        <f t="shared" si="0"/>
        <v>9.3023255813953487E-2</v>
      </c>
      <c r="M24" s="567">
        <f t="shared" si="1"/>
        <v>0.93023255813953487</v>
      </c>
      <c r="N24" s="597">
        <f t="shared" si="2"/>
        <v>93.023255813953497</v>
      </c>
      <c r="O24" s="598" t="s">
        <v>1857</v>
      </c>
      <c r="P24" s="227"/>
      <c r="Q24" s="227"/>
      <c r="R24" s="227"/>
      <c r="S24" s="227"/>
      <c r="T24" s="227"/>
      <c r="U24" s="227"/>
    </row>
    <row r="25" spans="1:25" ht="26.25" thickBot="1" x14ac:dyDescent="0.25">
      <c r="A25" s="341" t="s">
        <v>277</v>
      </c>
      <c r="B25" s="342" t="s">
        <v>119</v>
      </c>
      <c r="C25" s="343" t="s">
        <v>109</v>
      </c>
      <c r="D25" s="344" t="s">
        <v>1034</v>
      </c>
      <c r="E25" s="344" t="s">
        <v>1026</v>
      </c>
      <c r="F25" s="345" t="s">
        <v>925</v>
      </c>
      <c r="G25" s="346" t="s">
        <v>757</v>
      </c>
      <c r="H25" s="347">
        <v>0.1</v>
      </c>
      <c r="I25" s="599"/>
      <c r="J25" s="596">
        <v>86</v>
      </c>
      <c r="K25" s="596">
        <v>8</v>
      </c>
      <c r="L25" s="566">
        <f t="shared" si="0"/>
        <v>9.3023255813953487E-2</v>
      </c>
      <c r="M25" s="567">
        <f t="shared" si="1"/>
        <v>0.93023255813953487</v>
      </c>
      <c r="N25" s="597">
        <f t="shared" si="2"/>
        <v>93.023255813953497</v>
      </c>
      <c r="O25" s="598" t="s">
        <v>1857</v>
      </c>
      <c r="P25" s="227"/>
      <c r="Q25" s="227"/>
      <c r="R25" s="227"/>
      <c r="S25" s="227"/>
      <c r="T25" s="227"/>
      <c r="U25" s="227"/>
    </row>
    <row r="26" spans="1:25" ht="26.25" thickBot="1" x14ac:dyDescent="0.25">
      <c r="A26" s="341" t="s">
        <v>277</v>
      </c>
      <c r="B26" s="342" t="s">
        <v>119</v>
      </c>
      <c r="C26" s="348" t="s">
        <v>946</v>
      </c>
      <c r="D26" s="344" t="s">
        <v>998</v>
      </c>
      <c r="E26" s="344" t="s">
        <v>1026</v>
      </c>
      <c r="F26" s="345" t="s">
        <v>925</v>
      </c>
      <c r="G26" s="346" t="s">
        <v>757</v>
      </c>
      <c r="H26" s="347">
        <v>0.1</v>
      </c>
      <c r="I26" s="599"/>
      <c r="J26" s="596">
        <v>86</v>
      </c>
      <c r="K26" s="596">
        <v>8</v>
      </c>
      <c r="L26" s="566">
        <f t="shared" si="0"/>
        <v>9.3023255813953487E-2</v>
      </c>
      <c r="M26" s="567">
        <f t="shared" si="1"/>
        <v>0.93023255813953487</v>
      </c>
      <c r="N26" s="597">
        <f t="shared" si="2"/>
        <v>93.023255813953497</v>
      </c>
      <c r="O26" s="598" t="s">
        <v>1857</v>
      </c>
      <c r="P26" s="227"/>
      <c r="Q26" s="227"/>
      <c r="R26" s="227"/>
      <c r="S26" s="227"/>
      <c r="T26" s="227"/>
      <c r="U26" s="227"/>
    </row>
    <row r="27" spans="1:25" ht="26.25" thickBot="1" x14ac:dyDescent="0.25">
      <c r="A27" s="341" t="s">
        <v>277</v>
      </c>
      <c r="B27" s="342" t="s">
        <v>119</v>
      </c>
      <c r="C27" s="348" t="s">
        <v>946</v>
      </c>
      <c r="D27" s="344" t="s">
        <v>1001</v>
      </c>
      <c r="E27" s="344" t="s">
        <v>1026</v>
      </c>
      <c r="F27" s="345" t="s">
        <v>925</v>
      </c>
      <c r="G27" s="346" t="s">
        <v>757</v>
      </c>
      <c r="H27" s="347">
        <v>0.1</v>
      </c>
      <c r="I27" s="599"/>
      <c r="J27" s="596">
        <v>86</v>
      </c>
      <c r="K27" s="596">
        <v>8</v>
      </c>
      <c r="L27" s="566">
        <f t="shared" si="0"/>
        <v>9.3023255813953487E-2</v>
      </c>
      <c r="M27" s="567">
        <f t="shared" si="1"/>
        <v>0.93023255813953487</v>
      </c>
      <c r="N27" s="597">
        <f t="shared" si="2"/>
        <v>93.023255813953497</v>
      </c>
      <c r="O27" s="598" t="s">
        <v>1857</v>
      </c>
      <c r="P27" s="227"/>
      <c r="Q27" s="227"/>
      <c r="R27" s="227"/>
      <c r="S27" s="227"/>
      <c r="T27" s="227"/>
      <c r="U27" s="227"/>
    </row>
    <row r="28" spans="1:25" ht="26.25" thickBot="1" x14ac:dyDescent="0.25">
      <c r="A28" s="341" t="s">
        <v>277</v>
      </c>
      <c r="B28" s="342" t="s">
        <v>119</v>
      </c>
      <c r="C28" s="348" t="s">
        <v>946</v>
      </c>
      <c r="D28" s="344" t="s">
        <v>1002</v>
      </c>
      <c r="E28" s="344" t="s">
        <v>1026</v>
      </c>
      <c r="F28" s="345" t="s">
        <v>925</v>
      </c>
      <c r="G28" s="346" t="s">
        <v>757</v>
      </c>
      <c r="H28" s="347">
        <v>0.1</v>
      </c>
      <c r="I28" s="599"/>
      <c r="J28" s="596">
        <v>86</v>
      </c>
      <c r="K28" s="596">
        <v>8</v>
      </c>
      <c r="L28" s="566">
        <f t="shared" si="0"/>
        <v>9.3023255813953487E-2</v>
      </c>
      <c r="M28" s="567">
        <f t="shared" si="1"/>
        <v>0.93023255813953487</v>
      </c>
      <c r="N28" s="597">
        <f t="shared" si="2"/>
        <v>93.023255813953497</v>
      </c>
      <c r="O28" s="598" t="s">
        <v>1857</v>
      </c>
      <c r="P28" s="227"/>
      <c r="Q28" s="227"/>
      <c r="R28" s="227"/>
      <c r="S28" s="227"/>
      <c r="T28" s="227"/>
      <c r="U28" s="227"/>
    </row>
    <row r="29" spans="1:25" ht="26.25" thickBot="1" x14ac:dyDescent="0.25">
      <c r="A29" s="341" t="s">
        <v>277</v>
      </c>
      <c r="B29" s="342" t="s">
        <v>119</v>
      </c>
      <c r="C29" s="348" t="s">
        <v>946</v>
      </c>
      <c r="D29" s="344" t="s">
        <v>1003</v>
      </c>
      <c r="E29" s="344" t="s">
        <v>1026</v>
      </c>
      <c r="F29" s="345" t="s">
        <v>925</v>
      </c>
      <c r="G29" s="346" t="s">
        <v>757</v>
      </c>
      <c r="H29" s="347">
        <v>0.1</v>
      </c>
      <c r="I29" s="599"/>
      <c r="J29" s="596">
        <v>86</v>
      </c>
      <c r="K29" s="596">
        <v>8</v>
      </c>
      <c r="L29" s="566">
        <f t="shared" si="0"/>
        <v>9.3023255813953487E-2</v>
      </c>
      <c r="M29" s="567">
        <f t="shared" si="1"/>
        <v>0.93023255813953487</v>
      </c>
      <c r="N29" s="597">
        <f t="shared" si="2"/>
        <v>93.023255813953497</v>
      </c>
      <c r="O29" s="598" t="s">
        <v>1857</v>
      </c>
      <c r="P29" s="227"/>
      <c r="Q29" s="227"/>
      <c r="R29" s="227"/>
      <c r="S29" s="227"/>
      <c r="T29" s="227"/>
      <c r="U29" s="227"/>
    </row>
    <row r="30" spans="1:25" ht="26.25" thickBot="1" x14ac:dyDescent="0.25">
      <c r="A30" s="341" t="s">
        <v>277</v>
      </c>
      <c r="B30" s="342" t="s">
        <v>119</v>
      </c>
      <c r="C30" s="348" t="s">
        <v>946</v>
      </c>
      <c r="D30" s="344" t="s">
        <v>954</v>
      </c>
      <c r="E30" s="344" t="s">
        <v>1026</v>
      </c>
      <c r="F30" s="345" t="s">
        <v>925</v>
      </c>
      <c r="G30" s="346" t="s">
        <v>757</v>
      </c>
      <c r="H30" s="347">
        <v>0.1</v>
      </c>
      <c r="I30" s="599"/>
      <c r="J30" s="596">
        <v>86</v>
      </c>
      <c r="K30" s="596">
        <v>8</v>
      </c>
      <c r="L30" s="566">
        <f t="shared" si="0"/>
        <v>9.3023255813953487E-2</v>
      </c>
      <c r="M30" s="567">
        <f t="shared" si="1"/>
        <v>0.93023255813953487</v>
      </c>
      <c r="N30" s="597">
        <f t="shared" si="2"/>
        <v>93.023255813953497</v>
      </c>
      <c r="O30" s="598" t="s">
        <v>1857</v>
      </c>
      <c r="P30" s="227"/>
      <c r="Q30" s="227"/>
      <c r="R30" s="227"/>
      <c r="S30" s="227"/>
      <c r="T30" s="227"/>
      <c r="U30" s="227"/>
    </row>
    <row r="31" spans="1:25" ht="26.25" thickBot="1" x14ac:dyDescent="0.25">
      <c r="A31" s="341" t="s">
        <v>277</v>
      </c>
      <c r="B31" s="342" t="s">
        <v>1035</v>
      </c>
      <c r="C31" s="343" t="s">
        <v>109</v>
      </c>
      <c r="D31" s="344" t="s">
        <v>115</v>
      </c>
      <c r="E31" s="344" t="s">
        <v>1026</v>
      </c>
      <c r="F31" s="345" t="s">
        <v>925</v>
      </c>
      <c r="G31" s="346" t="s">
        <v>757</v>
      </c>
      <c r="H31" s="347">
        <v>0.3</v>
      </c>
      <c r="I31" s="599"/>
      <c r="J31" s="596">
        <v>46</v>
      </c>
      <c r="K31" s="596">
        <v>5</v>
      </c>
      <c r="L31" s="566">
        <f t="shared" si="0"/>
        <v>0.10869565217391304</v>
      </c>
      <c r="M31" s="567">
        <f t="shared" si="1"/>
        <v>0.3623188405797102</v>
      </c>
      <c r="N31" s="597">
        <f t="shared" si="2"/>
        <v>36.231884057971016</v>
      </c>
      <c r="O31" s="598" t="s">
        <v>1857</v>
      </c>
      <c r="P31" s="227"/>
      <c r="Q31" s="227"/>
    </row>
    <row r="32" spans="1:25" ht="26.25" thickBot="1" x14ac:dyDescent="0.25">
      <c r="A32" s="341" t="s">
        <v>277</v>
      </c>
      <c r="B32" s="342" t="s">
        <v>1035</v>
      </c>
      <c r="C32" s="343" t="s">
        <v>109</v>
      </c>
      <c r="D32" s="344" t="s">
        <v>972</v>
      </c>
      <c r="E32" s="344" t="s">
        <v>1026</v>
      </c>
      <c r="F32" s="345" t="s">
        <v>925</v>
      </c>
      <c r="G32" s="346" t="s">
        <v>757</v>
      </c>
      <c r="H32" s="347">
        <v>0.3</v>
      </c>
      <c r="I32" s="599"/>
      <c r="J32" s="596">
        <v>46</v>
      </c>
      <c r="K32" s="596">
        <v>5</v>
      </c>
      <c r="L32" s="566">
        <f t="shared" si="0"/>
        <v>0.10869565217391304</v>
      </c>
      <c r="M32" s="567">
        <f t="shared" si="1"/>
        <v>0.3623188405797102</v>
      </c>
      <c r="N32" s="597">
        <f t="shared" si="2"/>
        <v>36.231884057971016</v>
      </c>
      <c r="O32" s="598" t="s">
        <v>1857</v>
      </c>
      <c r="P32" s="227"/>
      <c r="Q32" s="227"/>
    </row>
    <row r="33" spans="1:17" ht="26.25" thickBot="1" x14ac:dyDescent="0.25">
      <c r="A33" s="341" t="s">
        <v>277</v>
      </c>
      <c r="B33" s="342" t="s">
        <v>1035</v>
      </c>
      <c r="C33" s="343" t="s">
        <v>109</v>
      </c>
      <c r="D33" s="344" t="s">
        <v>973</v>
      </c>
      <c r="E33" s="344" t="s">
        <v>1026</v>
      </c>
      <c r="F33" s="345" t="s">
        <v>925</v>
      </c>
      <c r="G33" s="346" t="s">
        <v>757</v>
      </c>
      <c r="H33" s="347">
        <v>0.3</v>
      </c>
      <c r="I33" s="599"/>
      <c r="J33" s="596">
        <v>46</v>
      </c>
      <c r="K33" s="596">
        <v>5</v>
      </c>
      <c r="L33" s="566">
        <f t="shared" si="0"/>
        <v>0.10869565217391304</v>
      </c>
      <c r="M33" s="567">
        <f t="shared" si="1"/>
        <v>0.3623188405797102</v>
      </c>
      <c r="N33" s="597">
        <f t="shared" si="2"/>
        <v>36.231884057971016</v>
      </c>
      <c r="O33" s="598" t="s">
        <v>1857</v>
      </c>
      <c r="P33" s="227"/>
      <c r="Q33" s="227"/>
    </row>
    <row r="34" spans="1:17" ht="26.25" thickBot="1" x14ac:dyDescent="0.25">
      <c r="A34" s="341" t="s">
        <v>277</v>
      </c>
      <c r="B34" s="342" t="s">
        <v>1035</v>
      </c>
      <c r="C34" s="343" t="s">
        <v>109</v>
      </c>
      <c r="D34" s="344" t="s">
        <v>976</v>
      </c>
      <c r="E34" s="344" t="s">
        <v>1026</v>
      </c>
      <c r="F34" s="345" t="s">
        <v>925</v>
      </c>
      <c r="G34" s="346" t="s">
        <v>757</v>
      </c>
      <c r="H34" s="347">
        <v>0.3</v>
      </c>
      <c r="I34" s="599"/>
      <c r="J34" s="596">
        <v>46</v>
      </c>
      <c r="K34" s="596">
        <v>5</v>
      </c>
      <c r="L34" s="566">
        <f t="shared" si="0"/>
        <v>0.10869565217391304</v>
      </c>
      <c r="M34" s="567">
        <f t="shared" si="1"/>
        <v>0.3623188405797102</v>
      </c>
      <c r="N34" s="597">
        <f t="shared" si="2"/>
        <v>36.231884057971016</v>
      </c>
      <c r="O34" s="598" t="s">
        <v>1857</v>
      </c>
      <c r="P34" s="227"/>
      <c r="Q34" s="227"/>
    </row>
    <row r="35" spans="1:17" ht="39" thickBot="1" x14ac:dyDescent="0.25">
      <c r="A35" s="341" t="s">
        <v>277</v>
      </c>
      <c r="B35" s="342" t="s">
        <v>1035</v>
      </c>
      <c r="C35" s="343" t="s">
        <v>109</v>
      </c>
      <c r="D35" s="344" t="s">
        <v>1027</v>
      </c>
      <c r="E35" s="344" t="s">
        <v>1026</v>
      </c>
      <c r="F35" s="345" t="s">
        <v>925</v>
      </c>
      <c r="G35" s="346" t="s">
        <v>757</v>
      </c>
      <c r="H35" s="347">
        <v>0.3</v>
      </c>
      <c r="I35" s="599"/>
      <c r="J35" s="596">
        <v>46</v>
      </c>
      <c r="K35" s="596">
        <v>5</v>
      </c>
      <c r="L35" s="566">
        <f t="shared" si="0"/>
        <v>0.10869565217391304</v>
      </c>
      <c r="M35" s="567">
        <f t="shared" si="1"/>
        <v>0.3623188405797102</v>
      </c>
      <c r="N35" s="597">
        <f t="shared" si="2"/>
        <v>36.231884057971016</v>
      </c>
      <c r="O35" s="598" t="s">
        <v>1857</v>
      </c>
      <c r="P35" s="227"/>
      <c r="Q35" s="227"/>
    </row>
    <row r="36" spans="1:17" ht="26.25" thickBot="1" x14ac:dyDescent="0.25">
      <c r="A36" s="341" t="s">
        <v>277</v>
      </c>
      <c r="B36" s="342" t="s">
        <v>1035</v>
      </c>
      <c r="C36" s="343" t="s">
        <v>109</v>
      </c>
      <c r="D36" s="344" t="s">
        <v>977</v>
      </c>
      <c r="E36" s="344" t="s">
        <v>1026</v>
      </c>
      <c r="F36" s="345" t="s">
        <v>925</v>
      </c>
      <c r="G36" s="346" t="s">
        <v>757</v>
      </c>
      <c r="H36" s="347">
        <v>0.3</v>
      </c>
      <c r="I36" s="599"/>
      <c r="J36" s="596">
        <v>46</v>
      </c>
      <c r="K36" s="596">
        <v>5</v>
      </c>
      <c r="L36" s="566">
        <f t="shared" si="0"/>
        <v>0.10869565217391304</v>
      </c>
      <c r="M36" s="567">
        <f t="shared" si="1"/>
        <v>0.3623188405797102</v>
      </c>
      <c r="N36" s="597">
        <f t="shared" si="2"/>
        <v>36.231884057971016</v>
      </c>
      <c r="O36" s="598" t="s">
        <v>1857</v>
      </c>
      <c r="P36" s="227"/>
      <c r="Q36" s="227"/>
    </row>
    <row r="37" spans="1:17" ht="39" thickBot="1" x14ac:dyDescent="0.25">
      <c r="A37" s="341" t="s">
        <v>277</v>
      </c>
      <c r="B37" s="342" t="s">
        <v>1035</v>
      </c>
      <c r="C37" s="343" t="s">
        <v>109</v>
      </c>
      <c r="D37" s="344" t="s">
        <v>1028</v>
      </c>
      <c r="E37" s="344" t="s">
        <v>1026</v>
      </c>
      <c r="F37" s="345" t="s">
        <v>925</v>
      </c>
      <c r="G37" s="346" t="s">
        <v>757</v>
      </c>
      <c r="H37" s="347">
        <v>0.3</v>
      </c>
      <c r="I37" s="599"/>
      <c r="J37" s="596">
        <v>46</v>
      </c>
      <c r="K37" s="596">
        <v>5</v>
      </c>
      <c r="L37" s="566">
        <f t="shared" si="0"/>
        <v>0.10869565217391304</v>
      </c>
      <c r="M37" s="567">
        <f t="shared" si="1"/>
        <v>0.3623188405797102</v>
      </c>
      <c r="N37" s="597">
        <f t="shared" si="2"/>
        <v>36.231884057971016</v>
      </c>
      <c r="O37" s="598" t="s">
        <v>1857</v>
      </c>
      <c r="P37" s="227"/>
      <c r="Q37" s="227"/>
    </row>
    <row r="38" spans="1:17" ht="26.25" thickBot="1" x14ac:dyDescent="0.25">
      <c r="A38" s="341" t="s">
        <v>277</v>
      </c>
      <c r="B38" s="342" t="s">
        <v>1035</v>
      </c>
      <c r="C38" s="343" t="s">
        <v>109</v>
      </c>
      <c r="D38" s="344" t="s">
        <v>1029</v>
      </c>
      <c r="E38" s="344" t="s">
        <v>1026</v>
      </c>
      <c r="F38" s="345" t="s">
        <v>925</v>
      </c>
      <c r="G38" s="346" t="s">
        <v>757</v>
      </c>
      <c r="H38" s="347">
        <v>0.3</v>
      </c>
      <c r="I38" s="599"/>
      <c r="J38" s="596">
        <v>46</v>
      </c>
      <c r="K38" s="596">
        <v>5</v>
      </c>
      <c r="L38" s="566">
        <f t="shared" si="0"/>
        <v>0.10869565217391304</v>
      </c>
      <c r="M38" s="567">
        <f t="shared" si="1"/>
        <v>0.3623188405797102</v>
      </c>
      <c r="N38" s="597">
        <f t="shared" si="2"/>
        <v>36.231884057971016</v>
      </c>
      <c r="O38" s="598" t="s">
        <v>1857</v>
      </c>
      <c r="P38" s="227"/>
      <c r="Q38" s="227"/>
    </row>
    <row r="39" spans="1:17" ht="26.25" thickBot="1" x14ac:dyDescent="0.25">
      <c r="A39" s="341" t="s">
        <v>277</v>
      </c>
      <c r="B39" s="342" t="s">
        <v>1035</v>
      </c>
      <c r="C39" s="343" t="s">
        <v>109</v>
      </c>
      <c r="D39" s="344" t="s">
        <v>982</v>
      </c>
      <c r="E39" s="344" t="s">
        <v>1026</v>
      </c>
      <c r="F39" s="345" t="s">
        <v>925</v>
      </c>
      <c r="G39" s="346" t="s">
        <v>757</v>
      </c>
      <c r="H39" s="347">
        <v>0.3</v>
      </c>
      <c r="I39" s="599"/>
      <c r="J39" s="596">
        <v>46</v>
      </c>
      <c r="K39" s="596">
        <v>5</v>
      </c>
      <c r="L39" s="566">
        <f t="shared" si="0"/>
        <v>0.10869565217391304</v>
      </c>
      <c r="M39" s="567">
        <f t="shared" si="1"/>
        <v>0.3623188405797102</v>
      </c>
      <c r="N39" s="597">
        <f t="shared" si="2"/>
        <v>36.231884057971016</v>
      </c>
      <c r="O39" s="598" t="s">
        <v>1857</v>
      </c>
      <c r="P39" s="227"/>
      <c r="Q39" s="227"/>
    </row>
    <row r="40" spans="1:17" ht="26.25" thickBot="1" x14ac:dyDescent="0.25">
      <c r="A40" s="341" t="s">
        <v>277</v>
      </c>
      <c r="B40" s="342" t="s">
        <v>1035</v>
      </c>
      <c r="C40" s="343" t="s">
        <v>109</v>
      </c>
      <c r="D40" s="344" t="s">
        <v>984</v>
      </c>
      <c r="E40" s="344" t="s">
        <v>1026</v>
      </c>
      <c r="F40" s="345" t="s">
        <v>925</v>
      </c>
      <c r="G40" s="346" t="s">
        <v>757</v>
      </c>
      <c r="H40" s="347">
        <v>0.3</v>
      </c>
      <c r="I40" s="599"/>
      <c r="J40" s="596">
        <v>46</v>
      </c>
      <c r="K40" s="596">
        <v>5</v>
      </c>
      <c r="L40" s="566">
        <f t="shared" si="0"/>
        <v>0.10869565217391304</v>
      </c>
      <c r="M40" s="567">
        <f t="shared" si="1"/>
        <v>0.3623188405797102</v>
      </c>
      <c r="N40" s="597">
        <f t="shared" si="2"/>
        <v>36.231884057971016</v>
      </c>
      <c r="O40" s="598" t="s">
        <v>1857</v>
      </c>
      <c r="P40" s="227"/>
      <c r="Q40" s="227"/>
    </row>
    <row r="41" spans="1:17" ht="26.25" thickBot="1" x14ac:dyDescent="0.25">
      <c r="A41" s="341" t="s">
        <v>277</v>
      </c>
      <c r="B41" s="342" t="s">
        <v>1035</v>
      </c>
      <c r="C41" s="343" t="s">
        <v>109</v>
      </c>
      <c r="D41" s="344" t="s">
        <v>985</v>
      </c>
      <c r="E41" s="344" t="s">
        <v>1026</v>
      </c>
      <c r="F41" s="345" t="s">
        <v>925</v>
      </c>
      <c r="G41" s="346" t="s">
        <v>757</v>
      </c>
      <c r="H41" s="347">
        <v>0.3</v>
      </c>
      <c r="I41" s="599"/>
      <c r="J41" s="596">
        <v>46</v>
      </c>
      <c r="K41" s="596">
        <v>5</v>
      </c>
      <c r="L41" s="566">
        <f t="shared" si="0"/>
        <v>0.10869565217391304</v>
      </c>
      <c r="M41" s="567">
        <f t="shared" si="1"/>
        <v>0.3623188405797102</v>
      </c>
      <c r="N41" s="597">
        <f t="shared" si="2"/>
        <v>36.231884057971016</v>
      </c>
      <c r="O41" s="598" t="s">
        <v>1857</v>
      </c>
      <c r="P41" s="227"/>
      <c r="Q41" s="227"/>
    </row>
    <row r="42" spans="1:17" ht="26.25" thickBot="1" x14ac:dyDescent="0.25">
      <c r="A42" s="341" t="s">
        <v>277</v>
      </c>
      <c r="B42" s="342" t="s">
        <v>1035</v>
      </c>
      <c r="C42" s="343" t="s">
        <v>109</v>
      </c>
      <c r="D42" s="344" t="s">
        <v>986</v>
      </c>
      <c r="E42" s="344" t="s">
        <v>1026</v>
      </c>
      <c r="F42" s="345" t="s">
        <v>925</v>
      </c>
      <c r="G42" s="346" t="s">
        <v>757</v>
      </c>
      <c r="H42" s="347">
        <v>0.3</v>
      </c>
      <c r="I42" s="599"/>
      <c r="J42" s="596">
        <v>46</v>
      </c>
      <c r="K42" s="596">
        <v>5</v>
      </c>
      <c r="L42" s="566">
        <f t="shared" si="0"/>
        <v>0.10869565217391304</v>
      </c>
      <c r="M42" s="567">
        <f t="shared" si="1"/>
        <v>0.3623188405797102</v>
      </c>
      <c r="N42" s="597">
        <f t="shared" si="2"/>
        <v>36.231884057971016</v>
      </c>
      <c r="O42" s="598" t="s">
        <v>1857</v>
      </c>
      <c r="P42" s="227"/>
      <c r="Q42" s="227"/>
    </row>
    <row r="43" spans="1:17" ht="26.25" thickBot="1" x14ac:dyDescent="0.25">
      <c r="A43" s="341" t="s">
        <v>277</v>
      </c>
      <c r="B43" s="342" t="s">
        <v>1035</v>
      </c>
      <c r="C43" s="343" t="s">
        <v>109</v>
      </c>
      <c r="D43" s="344" t="s">
        <v>987</v>
      </c>
      <c r="E43" s="344" t="s">
        <v>1026</v>
      </c>
      <c r="F43" s="345" t="s">
        <v>925</v>
      </c>
      <c r="G43" s="346" t="s">
        <v>757</v>
      </c>
      <c r="H43" s="347">
        <v>0.3</v>
      </c>
      <c r="I43" s="599"/>
      <c r="J43" s="596">
        <v>46</v>
      </c>
      <c r="K43" s="596">
        <v>5</v>
      </c>
      <c r="L43" s="566">
        <f t="shared" si="0"/>
        <v>0.10869565217391304</v>
      </c>
      <c r="M43" s="567">
        <f t="shared" si="1"/>
        <v>0.3623188405797102</v>
      </c>
      <c r="N43" s="597">
        <f t="shared" si="2"/>
        <v>36.231884057971016</v>
      </c>
      <c r="O43" s="598" t="s">
        <v>1857</v>
      </c>
      <c r="P43" s="227"/>
      <c r="Q43" s="227"/>
    </row>
    <row r="44" spans="1:17" ht="26.25" thickBot="1" x14ac:dyDescent="0.25">
      <c r="A44" s="341" t="s">
        <v>277</v>
      </c>
      <c r="B44" s="342" t="s">
        <v>1035</v>
      </c>
      <c r="C44" s="343" t="s">
        <v>109</v>
      </c>
      <c r="D44" s="344" t="s">
        <v>1030</v>
      </c>
      <c r="E44" s="344" t="s">
        <v>1026</v>
      </c>
      <c r="F44" s="345" t="s">
        <v>925</v>
      </c>
      <c r="G44" s="346" t="s">
        <v>757</v>
      </c>
      <c r="H44" s="347">
        <v>0.3</v>
      </c>
      <c r="I44" s="599"/>
      <c r="J44" s="596">
        <v>46</v>
      </c>
      <c r="K44" s="596">
        <v>5</v>
      </c>
      <c r="L44" s="566">
        <f t="shared" si="0"/>
        <v>0.10869565217391304</v>
      </c>
      <c r="M44" s="567">
        <f t="shared" si="1"/>
        <v>0.3623188405797102</v>
      </c>
      <c r="N44" s="597">
        <f t="shared" si="2"/>
        <v>36.231884057971016</v>
      </c>
      <c r="O44" s="598" t="s">
        <v>1857</v>
      </c>
      <c r="P44" s="227"/>
      <c r="Q44" s="227"/>
    </row>
    <row r="45" spans="1:17" ht="26.25" thickBot="1" x14ac:dyDescent="0.25">
      <c r="A45" s="341" t="s">
        <v>277</v>
      </c>
      <c r="B45" s="342" t="s">
        <v>1035</v>
      </c>
      <c r="C45" s="343" t="s">
        <v>109</v>
      </c>
      <c r="D45" s="344" t="s">
        <v>1031</v>
      </c>
      <c r="E45" s="344" t="s">
        <v>1026</v>
      </c>
      <c r="F45" s="345" t="s">
        <v>925</v>
      </c>
      <c r="G45" s="346" t="s">
        <v>757</v>
      </c>
      <c r="H45" s="347">
        <v>0.3</v>
      </c>
      <c r="I45" s="599"/>
      <c r="J45" s="596">
        <v>46</v>
      </c>
      <c r="K45" s="596">
        <v>5</v>
      </c>
      <c r="L45" s="566">
        <f t="shared" si="0"/>
        <v>0.10869565217391304</v>
      </c>
      <c r="M45" s="567">
        <f t="shared" si="1"/>
        <v>0.3623188405797102</v>
      </c>
      <c r="N45" s="597">
        <f t="shared" si="2"/>
        <v>36.231884057971016</v>
      </c>
      <c r="O45" s="598" t="s">
        <v>1857</v>
      </c>
      <c r="P45" s="227"/>
      <c r="Q45" s="227"/>
    </row>
    <row r="46" spans="1:17" ht="26.25" thickBot="1" x14ac:dyDescent="0.25">
      <c r="A46" s="341" t="s">
        <v>277</v>
      </c>
      <c r="B46" s="342" t="s">
        <v>1035</v>
      </c>
      <c r="C46" s="343" t="s">
        <v>109</v>
      </c>
      <c r="D46" s="344" t="s">
        <v>990</v>
      </c>
      <c r="E46" s="344" t="s">
        <v>1026</v>
      </c>
      <c r="F46" s="345" t="s">
        <v>925</v>
      </c>
      <c r="G46" s="346" t="s">
        <v>757</v>
      </c>
      <c r="H46" s="347">
        <v>0.3</v>
      </c>
      <c r="I46" s="599"/>
      <c r="J46" s="596">
        <v>46</v>
      </c>
      <c r="K46" s="596">
        <v>5</v>
      </c>
      <c r="L46" s="566">
        <f t="shared" si="0"/>
        <v>0.10869565217391304</v>
      </c>
      <c r="M46" s="567">
        <f t="shared" si="1"/>
        <v>0.3623188405797102</v>
      </c>
      <c r="N46" s="597">
        <f t="shared" si="2"/>
        <v>36.231884057971016</v>
      </c>
      <c r="O46" s="598" t="s">
        <v>1857</v>
      </c>
      <c r="P46" s="227"/>
      <c r="Q46" s="227"/>
    </row>
    <row r="47" spans="1:17" ht="26.25" thickBot="1" x14ac:dyDescent="0.25">
      <c r="A47" s="341" t="s">
        <v>277</v>
      </c>
      <c r="B47" s="342" t="s">
        <v>1035</v>
      </c>
      <c r="C47" s="343" t="s">
        <v>109</v>
      </c>
      <c r="D47" s="344" t="s">
        <v>1032</v>
      </c>
      <c r="E47" s="344" t="s">
        <v>1026</v>
      </c>
      <c r="F47" s="345" t="s">
        <v>925</v>
      </c>
      <c r="G47" s="346" t="s">
        <v>757</v>
      </c>
      <c r="H47" s="347">
        <v>0.3</v>
      </c>
      <c r="I47" s="599"/>
      <c r="J47" s="596">
        <v>46</v>
      </c>
      <c r="K47" s="596">
        <v>5</v>
      </c>
      <c r="L47" s="566">
        <f t="shared" si="0"/>
        <v>0.10869565217391304</v>
      </c>
      <c r="M47" s="567">
        <f t="shared" si="1"/>
        <v>0.3623188405797102</v>
      </c>
      <c r="N47" s="597">
        <f t="shared" si="2"/>
        <v>36.231884057971016</v>
      </c>
      <c r="O47" s="598" t="s">
        <v>1857</v>
      </c>
      <c r="P47" s="227"/>
      <c r="Q47" s="227"/>
    </row>
    <row r="48" spans="1:17" ht="26.25" thickBot="1" x14ac:dyDescent="0.25">
      <c r="A48" s="341" t="s">
        <v>277</v>
      </c>
      <c r="B48" s="342" t="s">
        <v>1035</v>
      </c>
      <c r="C48" s="343" t="s">
        <v>109</v>
      </c>
      <c r="D48" s="344" t="s">
        <v>954</v>
      </c>
      <c r="E48" s="344" t="s">
        <v>1026</v>
      </c>
      <c r="F48" s="345" t="s">
        <v>925</v>
      </c>
      <c r="G48" s="346" t="s">
        <v>757</v>
      </c>
      <c r="H48" s="347">
        <v>0.3</v>
      </c>
      <c r="I48" s="599"/>
      <c r="J48" s="596">
        <v>46</v>
      </c>
      <c r="K48" s="596">
        <v>5</v>
      </c>
      <c r="L48" s="566">
        <f t="shared" si="0"/>
        <v>0.10869565217391304</v>
      </c>
      <c r="M48" s="567">
        <f t="shared" si="1"/>
        <v>0.3623188405797102</v>
      </c>
      <c r="N48" s="597">
        <f t="shared" si="2"/>
        <v>36.231884057971016</v>
      </c>
      <c r="O48" s="598" t="s">
        <v>1857</v>
      </c>
      <c r="P48" s="227"/>
      <c r="Q48" s="227"/>
    </row>
    <row r="49" spans="1:17" ht="26.25" thickBot="1" x14ac:dyDescent="0.25">
      <c r="A49" s="341" t="s">
        <v>277</v>
      </c>
      <c r="B49" s="342" t="s">
        <v>1035</v>
      </c>
      <c r="C49" s="343" t="s">
        <v>109</v>
      </c>
      <c r="D49" s="344" t="s">
        <v>1033</v>
      </c>
      <c r="E49" s="344" t="s">
        <v>1026</v>
      </c>
      <c r="F49" s="345" t="s">
        <v>925</v>
      </c>
      <c r="G49" s="346" t="s">
        <v>757</v>
      </c>
      <c r="H49" s="347">
        <v>0.3</v>
      </c>
      <c r="I49" s="599"/>
      <c r="J49" s="596">
        <v>46</v>
      </c>
      <c r="K49" s="596">
        <v>5</v>
      </c>
      <c r="L49" s="566">
        <f t="shared" si="0"/>
        <v>0.10869565217391304</v>
      </c>
      <c r="M49" s="567">
        <f t="shared" si="1"/>
        <v>0.3623188405797102</v>
      </c>
      <c r="N49" s="597">
        <f t="shared" si="2"/>
        <v>36.231884057971016</v>
      </c>
      <c r="O49" s="598" t="s">
        <v>1857</v>
      </c>
      <c r="P49" s="227"/>
      <c r="Q49" s="227"/>
    </row>
    <row r="50" spans="1:17" ht="51.75" thickBot="1" x14ac:dyDescent="0.25">
      <c r="A50" s="341" t="s">
        <v>277</v>
      </c>
      <c r="B50" s="342" t="s">
        <v>1035</v>
      </c>
      <c r="C50" s="343" t="s">
        <v>109</v>
      </c>
      <c r="D50" s="344" t="s">
        <v>996</v>
      </c>
      <c r="E50" s="344" t="s">
        <v>1026</v>
      </c>
      <c r="F50" s="345" t="s">
        <v>925</v>
      </c>
      <c r="G50" s="346" t="s">
        <v>757</v>
      </c>
      <c r="H50" s="347">
        <v>0.3</v>
      </c>
      <c r="I50" s="599"/>
      <c r="J50" s="596">
        <v>46</v>
      </c>
      <c r="K50" s="596">
        <v>5</v>
      </c>
      <c r="L50" s="566">
        <f t="shared" si="0"/>
        <v>0.10869565217391304</v>
      </c>
      <c r="M50" s="567">
        <f t="shared" si="1"/>
        <v>0.3623188405797102</v>
      </c>
      <c r="N50" s="597">
        <f t="shared" si="2"/>
        <v>36.231884057971016</v>
      </c>
      <c r="O50" s="598" t="s">
        <v>1857</v>
      </c>
      <c r="P50" s="227"/>
      <c r="Q50" s="227"/>
    </row>
    <row r="51" spans="1:17" ht="26.25" thickBot="1" x14ac:dyDescent="0.25">
      <c r="A51" s="341" t="s">
        <v>277</v>
      </c>
      <c r="B51" s="342" t="s">
        <v>1035</v>
      </c>
      <c r="C51" s="343" t="s">
        <v>109</v>
      </c>
      <c r="D51" s="344" t="s">
        <v>1034</v>
      </c>
      <c r="E51" s="344" t="s">
        <v>1026</v>
      </c>
      <c r="F51" s="345" t="s">
        <v>925</v>
      </c>
      <c r="G51" s="346" t="s">
        <v>757</v>
      </c>
      <c r="H51" s="347">
        <v>0.3</v>
      </c>
      <c r="I51" s="599"/>
      <c r="J51" s="596">
        <v>46</v>
      </c>
      <c r="K51" s="596">
        <v>5</v>
      </c>
      <c r="L51" s="566">
        <f t="shared" si="0"/>
        <v>0.10869565217391304</v>
      </c>
      <c r="M51" s="567">
        <f t="shared" si="1"/>
        <v>0.3623188405797102</v>
      </c>
      <c r="N51" s="597">
        <f t="shared" si="2"/>
        <v>36.231884057971016</v>
      </c>
      <c r="O51" s="598" t="s">
        <v>1857</v>
      </c>
      <c r="P51" s="227"/>
      <c r="Q51" s="227"/>
    </row>
    <row r="52" spans="1:17" ht="26.25" thickBot="1" x14ac:dyDescent="0.25">
      <c r="A52" s="341" t="s">
        <v>277</v>
      </c>
      <c r="B52" s="342" t="s">
        <v>1035</v>
      </c>
      <c r="C52" s="348" t="s">
        <v>946</v>
      </c>
      <c r="D52" s="344" t="s">
        <v>998</v>
      </c>
      <c r="E52" s="344" t="s">
        <v>1026</v>
      </c>
      <c r="F52" s="345" t="s">
        <v>925</v>
      </c>
      <c r="G52" s="346" t="s">
        <v>757</v>
      </c>
      <c r="H52" s="347">
        <v>0.3</v>
      </c>
      <c r="I52" s="599"/>
      <c r="J52" s="596">
        <v>46</v>
      </c>
      <c r="K52" s="596">
        <v>5</v>
      </c>
      <c r="L52" s="566">
        <f t="shared" si="0"/>
        <v>0.10869565217391304</v>
      </c>
      <c r="M52" s="567">
        <f t="shared" si="1"/>
        <v>0.3623188405797102</v>
      </c>
      <c r="N52" s="597">
        <f t="shared" si="2"/>
        <v>36.231884057971016</v>
      </c>
      <c r="O52" s="598" t="s">
        <v>1857</v>
      </c>
      <c r="P52" s="227"/>
      <c r="Q52" s="227"/>
    </row>
    <row r="53" spans="1:17" ht="26.25" thickBot="1" x14ac:dyDescent="0.25">
      <c r="A53" s="341" t="s">
        <v>277</v>
      </c>
      <c r="B53" s="342" t="s">
        <v>1035</v>
      </c>
      <c r="C53" s="348" t="s">
        <v>946</v>
      </c>
      <c r="D53" s="344" t="s">
        <v>1001</v>
      </c>
      <c r="E53" s="344" t="s">
        <v>1026</v>
      </c>
      <c r="F53" s="345" t="s">
        <v>925</v>
      </c>
      <c r="G53" s="346" t="s">
        <v>757</v>
      </c>
      <c r="H53" s="347">
        <v>0.3</v>
      </c>
      <c r="I53" s="599"/>
      <c r="J53" s="596">
        <v>46</v>
      </c>
      <c r="K53" s="596">
        <v>5</v>
      </c>
      <c r="L53" s="566">
        <f t="shared" si="0"/>
        <v>0.10869565217391304</v>
      </c>
      <c r="M53" s="567">
        <f t="shared" si="1"/>
        <v>0.3623188405797102</v>
      </c>
      <c r="N53" s="597">
        <f t="shared" si="2"/>
        <v>36.231884057971016</v>
      </c>
      <c r="O53" s="598" t="s">
        <v>1857</v>
      </c>
      <c r="P53" s="227"/>
      <c r="Q53" s="227"/>
    </row>
    <row r="54" spans="1:17" ht="26.25" thickBot="1" x14ac:dyDescent="0.25">
      <c r="A54" s="341" t="s">
        <v>277</v>
      </c>
      <c r="B54" s="342" t="s">
        <v>1035</v>
      </c>
      <c r="C54" s="348" t="s">
        <v>946</v>
      </c>
      <c r="D54" s="344" t="s">
        <v>1002</v>
      </c>
      <c r="E54" s="344" t="s">
        <v>1026</v>
      </c>
      <c r="F54" s="345" t="s">
        <v>925</v>
      </c>
      <c r="G54" s="346" t="s">
        <v>757</v>
      </c>
      <c r="H54" s="347">
        <v>0.3</v>
      </c>
      <c r="I54" s="599"/>
      <c r="J54" s="596">
        <v>46</v>
      </c>
      <c r="K54" s="596">
        <v>5</v>
      </c>
      <c r="L54" s="566">
        <f t="shared" si="0"/>
        <v>0.10869565217391304</v>
      </c>
      <c r="M54" s="567">
        <f t="shared" si="1"/>
        <v>0.3623188405797102</v>
      </c>
      <c r="N54" s="597">
        <f t="shared" si="2"/>
        <v>36.231884057971016</v>
      </c>
      <c r="O54" s="598" t="s">
        <v>1857</v>
      </c>
      <c r="P54" s="227"/>
      <c r="Q54" s="227"/>
    </row>
    <row r="55" spans="1:17" ht="26.25" thickBot="1" x14ac:dyDescent="0.25">
      <c r="A55" s="341" t="s">
        <v>277</v>
      </c>
      <c r="B55" s="342" t="s">
        <v>1035</v>
      </c>
      <c r="C55" s="348" t="s">
        <v>946</v>
      </c>
      <c r="D55" s="344" t="s">
        <v>1003</v>
      </c>
      <c r="E55" s="344" t="s">
        <v>1026</v>
      </c>
      <c r="F55" s="345" t="s">
        <v>925</v>
      </c>
      <c r="G55" s="346" t="s">
        <v>757</v>
      </c>
      <c r="H55" s="347">
        <v>0.3</v>
      </c>
      <c r="I55" s="599"/>
      <c r="J55" s="596">
        <v>46</v>
      </c>
      <c r="K55" s="596">
        <v>5</v>
      </c>
      <c r="L55" s="566">
        <f t="shared" si="0"/>
        <v>0.10869565217391304</v>
      </c>
      <c r="M55" s="567">
        <f t="shared" si="1"/>
        <v>0.3623188405797102</v>
      </c>
      <c r="N55" s="597">
        <f t="shared" si="2"/>
        <v>36.231884057971016</v>
      </c>
      <c r="O55" s="598" t="s">
        <v>1857</v>
      </c>
      <c r="P55" s="227"/>
      <c r="Q55" s="227"/>
    </row>
    <row r="56" spans="1:17" ht="26.25" thickBot="1" x14ac:dyDescent="0.25">
      <c r="A56" s="341" t="s">
        <v>277</v>
      </c>
      <c r="B56" s="342" t="s">
        <v>1035</v>
      </c>
      <c r="C56" s="348" t="s">
        <v>946</v>
      </c>
      <c r="D56" s="344" t="s">
        <v>954</v>
      </c>
      <c r="E56" s="344" t="s">
        <v>1026</v>
      </c>
      <c r="F56" s="345" t="s">
        <v>925</v>
      </c>
      <c r="G56" s="346" t="s">
        <v>757</v>
      </c>
      <c r="H56" s="347">
        <v>0.3</v>
      </c>
      <c r="I56" s="599"/>
      <c r="J56" s="596">
        <v>46</v>
      </c>
      <c r="K56" s="596">
        <v>5</v>
      </c>
      <c r="L56" s="566">
        <f t="shared" si="0"/>
        <v>0.10869565217391304</v>
      </c>
      <c r="M56" s="567">
        <f t="shared" si="1"/>
        <v>0.3623188405797102</v>
      </c>
      <c r="N56" s="597">
        <f t="shared" si="2"/>
        <v>36.231884057971016</v>
      </c>
      <c r="O56" s="598" t="s">
        <v>1857</v>
      </c>
      <c r="P56" s="227"/>
      <c r="Q56" s="227"/>
    </row>
    <row r="57" spans="1:17" ht="26.25" thickBot="1" x14ac:dyDescent="0.25">
      <c r="A57" s="341" t="s">
        <v>277</v>
      </c>
      <c r="B57" s="342" t="s">
        <v>1036</v>
      </c>
      <c r="C57" s="343" t="s">
        <v>109</v>
      </c>
      <c r="D57" s="344" t="s">
        <v>115</v>
      </c>
      <c r="E57" s="344" t="s">
        <v>1026</v>
      </c>
      <c r="F57" s="345" t="s">
        <v>925</v>
      </c>
      <c r="G57" s="346" t="s">
        <v>757</v>
      </c>
      <c r="H57" s="347">
        <v>0.35</v>
      </c>
      <c r="I57" s="599"/>
      <c r="J57" s="596">
        <v>28</v>
      </c>
      <c r="K57" s="596">
        <v>3</v>
      </c>
      <c r="L57" s="566">
        <f t="shared" si="0"/>
        <v>0.10714285714285714</v>
      </c>
      <c r="M57" s="567">
        <f t="shared" si="1"/>
        <v>0.30612244897959184</v>
      </c>
      <c r="N57" s="597">
        <f t="shared" si="2"/>
        <v>30.612244897959187</v>
      </c>
      <c r="O57" s="598" t="s">
        <v>1857</v>
      </c>
      <c r="P57" s="227"/>
      <c r="Q57" s="227"/>
    </row>
    <row r="58" spans="1:17" ht="26.25" thickBot="1" x14ac:dyDescent="0.25">
      <c r="A58" s="341" t="s">
        <v>277</v>
      </c>
      <c r="B58" s="342" t="s">
        <v>1036</v>
      </c>
      <c r="C58" s="343" t="s">
        <v>109</v>
      </c>
      <c r="D58" s="344" t="s">
        <v>972</v>
      </c>
      <c r="E58" s="344" t="s">
        <v>1026</v>
      </c>
      <c r="F58" s="345" t="s">
        <v>925</v>
      </c>
      <c r="G58" s="346" t="s">
        <v>757</v>
      </c>
      <c r="H58" s="347">
        <v>0.35</v>
      </c>
      <c r="I58" s="599"/>
      <c r="J58" s="596">
        <v>28</v>
      </c>
      <c r="K58" s="596">
        <v>3</v>
      </c>
      <c r="L58" s="566">
        <f t="shared" si="0"/>
        <v>0.10714285714285714</v>
      </c>
      <c r="M58" s="567">
        <f t="shared" si="1"/>
        <v>0.30612244897959184</v>
      </c>
      <c r="N58" s="597">
        <f t="shared" si="2"/>
        <v>30.612244897959187</v>
      </c>
      <c r="O58" s="598" t="s">
        <v>1857</v>
      </c>
      <c r="P58" s="227"/>
      <c r="Q58" s="227"/>
    </row>
    <row r="59" spans="1:17" ht="26.25" thickBot="1" x14ac:dyDescent="0.25">
      <c r="A59" s="341" t="s">
        <v>277</v>
      </c>
      <c r="B59" s="342" t="s">
        <v>1036</v>
      </c>
      <c r="C59" s="343" t="s">
        <v>109</v>
      </c>
      <c r="D59" s="344" t="s">
        <v>973</v>
      </c>
      <c r="E59" s="344" t="s">
        <v>1026</v>
      </c>
      <c r="F59" s="345" t="s">
        <v>925</v>
      </c>
      <c r="G59" s="346" t="s">
        <v>757</v>
      </c>
      <c r="H59" s="347">
        <v>0.35</v>
      </c>
      <c r="I59" s="599"/>
      <c r="J59" s="596">
        <v>28</v>
      </c>
      <c r="K59" s="596">
        <v>3</v>
      </c>
      <c r="L59" s="566">
        <f t="shared" si="0"/>
        <v>0.10714285714285714</v>
      </c>
      <c r="M59" s="567">
        <f t="shared" si="1"/>
        <v>0.30612244897959184</v>
      </c>
      <c r="N59" s="597">
        <f t="shared" si="2"/>
        <v>30.612244897959187</v>
      </c>
      <c r="O59" s="598" t="s">
        <v>1857</v>
      </c>
      <c r="P59" s="227"/>
      <c r="Q59" s="227"/>
    </row>
    <row r="60" spans="1:17" ht="26.25" thickBot="1" x14ac:dyDescent="0.25">
      <c r="A60" s="341" t="s">
        <v>277</v>
      </c>
      <c r="B60" s="342" t="s">
        <v>1036</v>
      </c>
      <c r="C60" s="343" t="s">
        <v>109</v>
      </c>
      <c r="D60" s="344" t="s">
        <v>976</v>
      </c>
      <c r="E60" s="344" t="s">
        <v>1026</v>
      </c>
      <c r="F60" s="345" t="s">
        <v>925</v>
      </c>
      <c r="G60" s="346" t="s">
        <v>757</v>
      </c>
      <c r="H60" s="347">
        <v>0.35</v>
      </c>
      <c r="I60" s="599"/>
      <c r="J60" s="596">
        <v>28</v>
      </c>
      <c r="K60" s="596">
        <v>3</v>
      </c>
      <c r="L60" s="566">
        <f t="shared" si="0"/>
        <v>0.10714285714285714</v>
      </c>
      <c r="M60" s="567">
        <f t="shared" si="1"/>
        <v>0.30612244897959184</v>
      </c>
      <c r="N60" s="597">
        <f t="shared" si="2"/>
        <v>30.612244897959187</v>
      </c>
      <c r="O60" s="598" t="s">
        <v>1857</v>
      </c>
      <c r="P60" s="227"/>
      <c r="Q60" s="227"/>
    </row>
    <row r="61" spans="1:17" ht="39" thickBot="1" x14ac:dyDescent="0.25">
      <c r="A61" s="341" t="s">
        <v>277</v>
      </c>
      <c r="B61" s="342" t="s">
        <v>1036</v>
      </c>
      <c r="C61" s="343" t="s">
        <v>109</v>
      </c>
      <c r="D61" s="344" t="s">
        <v>1027</v>
      </c>
      <c r="E61" s="344" t="s">
        <v>1026</v>
      </c>
      <c r="F61" s="345" t="s">
        <v>925</v>
      </c>
      <c r="G61" s="346" t="s">
        <v>757</v>
      </c>
      <c r="H61" s="347">
        <v>0.35</v>
      </c>
      <c r="I61" s="599"/>
      <c r="J61" s="596">
        <v>28</v>
      </c>
      <c r="K61" s="596">
        <v>3</v>
      </c>
      <c r="L61" s="566">
        <f t="shared" si="0"/>
        <v>0.10714285714285714</v>
      </c>
      <c r="M61" s="567">
        <f t="shared" si="1"/>
        <v>0.30612244897959184</v>
      </c>
      <c r="N61" s="597">
        <f t="shared" si="2"/>
        <v>30.612244897959187</v>
      </c>
      <c r="O61" s="598" t="s">
        <v>1857</v>
      </c>
      <c r="P61" s="227"/>
      <c r="Q61" s="227"/>
    </row>
    <row r="62" spans="1:17" ht="26.25" thickBot="1" x14ac:dyDescent="0.25">
      <c r="A62" s="341" t="s">
        <v>277</v>
      </c>
      <c r="B62" s="342" t="s">
        <v>1036</v>
      </c>
      <c r="C62" s="343" t="s">
        <v>109</v>
      </c>
      <c r="D62" s="344" t="s">
        <v>977</v>
      </c>
      <c r="E62" s="344" t="s">
        <v>1026</v>
      </c>
      <c r="F62" s="345" t="s">
        <v>925</v>
      </c>
      <c r="G62" s="346" t="s">
        <v>757</v>
      </c>
      <c r="H62" s="347">
        <v>0.35</v>
      </c>
      <c r="I62" s="599"/>
      <c r="J62" s="596">
        <v>28</v>
      </c>
      <c r="K62" s="596">
        <v>3</v>
      </c>
      <c r="L62" s="566">
        <f t="shared" si="0"/>
        <v>0.10714285714285714</v>
      </c>
      <c r="M62" s="567">
        <f t="shared" si="1"/>
        <v>0.30612244897959184</v>
      </c>
      <c r="N62" s="597">
        <f t="shared" si="2"/>
        <v>30.612244897959187</v>
      </c>
      <c r="O62" s="598" t="s">
        <v>1857</v>
      </c>
      <c r="P62" s="227"/>
      <c r="Q62" s="227"/>
    </row>
    <row r="63" spans="1:17" ht="39" thickBot="1" x14ac:dyDescent="0.25">
      <c r="A63" s="341" t="s">
        <v>277</v>
      </c>
      <c r="B63" s="342" t="s">
        <v>1036</v>
      </c>
      <c r="C63" s="343" t="s">
        <v>109</v>
      </c>
      <c r="D63" s="344" t="s">
        <v>1028</v>
      </c>
      <c r="E63" s="344" t="s">
        <v>1026</v>
      </c>
      <c r="F63" s="345" t="s">
        <v>925</v>
      </c>
      <c r="G63" s="346" t="s">
        <v>757</v>
      </c>
      <c r="H63" s="347">
        <v>0.35</v>
      </c>
      <c r="I63" s="599"/>
      <c r="J63" s="596">
        <v>28</v>
      </c>
      <c r="K63" s="596">
        <v>3</v>
      </c>
      <c r="L63" s="566">
        <f t="shared" si="0"/>
        <v>0.10714285714285714</v>
      </c>
      <c r="M63" s="567">
        <f t="shared" si="1"/>
        <v>0.30612244897959184</v>
      </c>
      <c r="N63" s="597">
        <f t="shared" si="2"/>
        <v>30.612244897959187</v>
      </c>
      <c r="O63" s="598" t="s">
        <v>1857</v>
      </c>
      <c r="P63" s="227"/>
      <c r="Q63" s="227"/>
    </row>
    <row r="64" spans="1:17" ht="26.25" thickBot="1" x14ac:dyDescent="0.25">
      <c r="A64" s="341" t="s">
        <v>277</v>
      </c>
      <c r="B64" s="342" t="s">
        <v>1036</v>
      </c>
      <c r="C64" s="343" t="s">
        <v>109</v>
      </c>
      <c r="D64" s="344" t="s">
        <v>1029</v>
      </c>
      <c r="E64" s="344" t="s">
        <v>1026</v>
      </c>
      <c r="F64" s="345" t="s">
        <v>925</v>
      </c>
      <c r="G64" s="346" t="s">
        <v>757</v>
      </c>
      <c r="H64" s="347">
        <v>0.35</v>
      </c>
      <c r="I64" s="599"/>
      <c r="J64" s="596">
        <v>28</v>
      </c>
      <c r="K64" s="596">
        <v>3</v>
      </c>
      <c r="L64" s="566">
        <f t="shared" si="0"/>
        <v>0.10714285714285714</v>
      </c>
      <c r="M64" s="567">
        <f t="shared" si="1"/>
        <v>0.30612244897959184</v>
      </c>
      <c r="N64" s="597">
        <f t="shared" si="2"/>
        <v>30.612244897959187</v>
      </c>
      <c r="O64" s="598" t="s">
        <v>1857</v>
      </c>
      <c r="P64" s="227"/>
      <c r="Q64" s="227"/>
    </row>
    <row r="65" spans="1:17" ht="26.25" thickBot="1" x14ac:dyDescent="0.25">
      <c r="A65" s="341" t="s">
        <v>277</v>
      </c>
      <c r="B65" s="342" t="s">
        <v>1036</v>
      </c>
      <c r="C65" s="343" t="s">
        <v>109</v>
      </c>
      <c r="D65" s="344" t="s">
        <v>982</v>
      </c>
      <c r="E65" s="344" t="s">
        <v>1026</v>
      </c>
      <c r="F65" s="345" t="s">
        <v>925</v>
      </c>
      <c r="G65" s="346" t="s">
        <v>757</v>
      </c>
      <c r="H65" s="347">
        <v>0.35</v>
      </c>
      <c r="I65" s="599"/>
      <c r="J65" s="596">
        <v>28</v>
      </c>
      <c r="K65" s="596">
        <v>3</v>
      </c>
      <c r="L65" s="566">
        <f t="shared" si="0"/>
        <v>0.10714285714285714</v>
      </c>
      <c r="M65" s="567">
        <f t="shared" si="1"/>
        <v>0.30612244897959184</v>
      </c>
      <c r="N65" s="597">
        <f t="shared" si="2"/>
        <v>30.612244897959187</v>
      </c>
      <c r="O65" s="598" t="s">
        <v>1857</v>
      </c>
      <c r="P65" s="227"/>
      <c r="Q65" s="227"/>
    </row>
    <row r="66" spans="1:17" ht="26.25" thickBot="1" x14ac:dyDescent="0.25">
      <c r="A66" s="341" t="s">
        <v>277</v>
      </c>
      <c r="B66" s="342" t="s">
        <v>1036</v>
      </c>
      <c r="C66" s="343" t="s">
        <v>109</v>
      </c>
      <c r="D66" s="344" t="s">
        <v>984</v>
      </c>
      <c r="E66" s="344" t="s">
        <v>1026</v>
      </c>
      <c r="F66" s="345" t="s">
        <v>925</v>
      </c>
      <c r="G66" s="346" t="s">
        <v>757</v>
      </c>
      <c r="H66" s="347">
        <v>0.35</v>
      </c>
      <c r="I66" s="599"/>
      <c r="J66" s="596">
        <v>28</v>
      </c>
      <c r="K66" s="596">
        <v>3</v>
      </c>
      <c r="L66" s="566">
        <f t="shared" si="0"/>
        <v>0.10714285714285714</v>
      </c>
      <c r="M66" s="567">
        <f t="shared" si="1"/>
        <v>0.30612244897959184</v>
      </c>
      <c r="N66" s="597">
        <f t="shared" si="2"/>
        <v>30.612244897959187</v>
      </c>
      <c r="O66" s="598" t="s">
        <v>1857</v>
      </c>
      <c r="P66" s="227"/>
      <c r="Q66" s="227"/>
    </row>
    <row r="67" spans="1:17" ht="26.25" thickBot="1" x14ac:dyDescent="0.25">
      <c r="A67" s="341" t="s">
        <v>277</v>
      </c>
      <c r="B67" s="342" t="s">
        <v>1036</v>
      </c>
      <c r="C67" s="343" t="s">
        <v>109</v>
      </c>
      <c r="D67" s="344" t="s">
        <v>985</v>
      </c>
      <c r="E67" s="344" t="s">
        <v>1026</v>
      </c>
      <c r="F67" s="345" t="s">
        <v>925</v>
      </c>
      <c r="G67" s="346" t="s">
        <v>757</v>
      </c>
      <c r="H67" s="347">
        <v>0.35</v>
      </c>
      <c r="I67" s="599"/>
      <c r="J67" s="596">
        <v>28</v>
      </c>
      <c r="K67" s="596">
        <v>3</v>
      </c>
      <c r="L67" s="566">
        <f t="shared" si="0"/>
        <v>0.10714285714285714</v>
      </c>
      <c r="M67" s="567">
        <f t="shared" si="1"/>
        <v>0.30612244897959184</v>
      </c>
      <c r="N67" s="597">
        <f t="shared" si="2"/>
        <v>30.612244897959187</v>
      </c>
      <c r="O67" s="598" t="s">
        <v>1857</v>
      </c>
      <c r="P67" s="227"/>
      <c r="Q67" s="227"/>
    </row>
    <row r="68" spans="1:17" ht="26.25" thickBot="1" x14ac:dyDescent="0.25">
      <c r="A68" s="341" t="s">
        <v>277</v>
      </c>
      <c r="B68" s="342" t="s">
        <v>1036</v>
      </c>
      <c r="C68" s="343" t="s">
        <v>109</v>
      </c>
      <c r="D68" s="344" t="s">
        <v>986</v>
      </c>
      <c r="E68" s="344" t="s">
        <v>1026</v>
      </c>
      <c r="F68" s="345" t="s">
        <v>925</v>
      </c>
      <c r="G68" s="346" t="s">
        <v>757</v>
      </c>
      <c r="H68" s="347">
        <v>0.35</v>
      </c>
      <c r="I68" s="599"/>
      <c r="J68" s="596">
        <v>28</v>
      </c>
      <c r="K68" s="596">
        <v>3</v>
      </c>
      <c r="L68" s="566">
        <f t="shared" si="0"/>
        <v>0.10714285714285714</v>
      </c>
      <c r="M68" s="567">
        <f t="shared" si="1"/>
        <v>0.30612244897959184</v>
      </c>
      <c r="N68" s="597">
        <f t="shared" si="2"/>
        <v>30.612244897959187</v>
      </c>
      <c r="O68" s="598" t="s">
        <v>1857</v>
      </c>
      <c r="P68" s="227"/>
      <c r="Q68" s="227"/>
    </row>
    <row r="69" spans="1:17" ht="26.25" thickBot="1" x14ac:dyDescent="0.25">
      <c r="A69" s="341" t="s">
        <v>277</v>
      </c>
      <c r="B69" s="342" t="s">
        <v>1036</v>
      </c>
      <c r="C69" s="343" t="s">
        <v>109</v>
      </c>
      <c r="D69" s="344" t="s">
        <v>987</v>
      </c>
      <c r="E69" s="344" t="s">
        <v>1026</v>
      </c>
      <c r="F69" s="345" t="s">
        <v>925</v>
      </c>
      <c r="G69" s="346" t="s">
        <v>757</v>
      </c>
      <c r="H69" s="347">
        <v>0.35</v>
      </c>
      <c r="I69" s="599"/>
      <c r="J69" s="596">
        <v>28</v>
      </c>
      <c r="K69" s="596">
        <v>3</v>
      </c>
      <c r="L69" s="566">
        <f t="shared" si="0"/>
        <v>0.10714285714285714</v>
      </c>
      <c r="M69" s="567">
        <f t="shared" si="1"/>
        <v>0.30612244897959184</v>
      </c>
      <c r="N69" s="597">
        <f t="shared" si="2"/>
        <v>30.612244897959187</v>
      </c>
      <c r="O69" s="598" t="s">
        <v>1857</v>
      </c>
      <c r="P69" s="227"/>
      <c r="Q69" s="227"/>
    </row>
    <row r="70" spans="1:17" ht="26.25" thickBot="1" x14ac:dyDescent="0.25">
      <c r="A70" s="341" t="s">
        <v>277</v>
      </c>
      <c r="B70" s="342" t="s">
        <v>1036</v>
      </c>
      <c r="C70" s="343" t="s">
        <v>109</v>
      </c>
      <c r="D70" s="344" t="s">
        <v>1030</v>
      </c>
      <c r="E70" s="344" t="s">
        <v>1026</v>
      </c>
      <c r="F70" s="345" t="s">
        <v>925</v>
      </c>
      <c r="G70" s="346" t="s">
        <v>757</v>
      </c>
      <c r="H70" s="347">
        <v>0.35</v>
      </c>
      <c r="I70" s="599"/>
      <c r="J70" s="596">
        <v>28</v>
      </c>
      <c r="K70" s="596">
        <v>3</v>
      </c>
      <c r="L70" s="566">
        <f t="shared" ref="L70:L82" si="3">IFERROR(K70/J70,0)</f>
        <v>0.10714285714285714</v>
      </c>
      <c r="M70" s="567">
        <f t="shared" ref="M70:M82" si="4">IFERROR(K70/(J70*(H70)),0)</f>
        <v>0.30612244897959184</v>
      </c>
      <c r="N70" s="597">
        <f t="shared" ref="N70:N82" si="5">K70/(J70*H70/100)</f>
        <v>30.612244897959187</v>
      </c>
      <c r="O70" s="598" t="s">
        <v>1857</v>
      </c>
      <c r="P70" s="227"/>
      <c r="Q70" s="227"/>
    </row>
    <row r="71" spans="1:17" ht="26.25" thickBot="1" x14ac:dyDescent="0.25">
      <c r="A71" s="341" t="s">
        <v>277</v>
      </c>
      <c r="B71" s="342" t="s">
        <v>1036</v>
      </c>
      <c r="C71" s="343" t="s">
        <v>109</v>
      </c>
      <c r="D71" s="344" t="s">
        <v>1031</v>
      </c>
      <c r="E71" s="344" t="s">
        <v>1026</v>
      </c>
      <c r="F71" s="345" t="s">
        <v>925</v>
      </c>
      <c r="G71" s="346" t="s">
        <v>757</v>
      </c>
      <c r="H71" s="347">
        <v>0.35</v>
      </c>
      <c r="I71" s="599"/>
      <c r="J71" s="596">
        <v>28</v>
      </c>
      <c r="K71" s="596">
        <v>3</v>
      </c>
      <c r="L71" s="566">
        <f t="shared" si="3"/>
        <v>0.10714285714285714</v>
      </c>
      <c r="M71" s="567">
        <f t="shared" si="4"/>
        <v>0.30612244897959184</v>
      </c>
      <c r="N71" s="597">
        <f t="shared" si="5"/>
        <v>30.612244897959187</v>
      </c>
      <c r="O71" s="598" t="s">
        <v>1857</v>
      </c>
      <c r="P71" s="227"/>
      <c r="Q71" s="227"/>
    </row>
    <row r="72" spans="1:17" ht="26.25" thickBot="1" x14ac:dyDescent="0.25">
      <c r="A72" s="341" t="s">
        <v>277</v>
      </c>
      <c r="B72" s="342" t="s">
        <v>1036</v>
      </c>
      <c r="C72" s="343" t="s">
        <v>109</v>
      </c>
      <c r="D72" s="344" t="s">
        <v>990</v>
      </c>
      <c r="E72" s="344" t="s">
        <v>1026</v>
      </c>
      <c r="F72" s="345" t="s">
        <v>925</v>
      </c>
      <c r="G72" s="346" t="s">
        <v>757</v>
      </c>
      <c r="H72" s="347">
        <v>0.35</v>
      </c>
      <c r="I72" s="599"/>
      <c r="J72" s="596">
        <v>28</v>
      </c>
      <c r="K72" s="596">
        <v>3</v>
      </c>
      <c r="L72" s="566">
        <f t="shared" si="3"/>
        <v>0.10714285714285714</v>
      </c>
      <c r="M72" s="567">
        <f t="shared" si="4"/>
        <v>0.30612244897959184</v>
      </c>
      <c r="N72" s="597">
        <f t="shared" si="5"/>
        <v>30.612244897959187</v>
      </c>
      <c r="O72" s="598" t="s">
        <v>1857</v>
      </c>
      <c r="P72" s="227"/>
      <c r="Q72" s="227"/>
    </row>
    <row r="73" spans="1:17" ht="26.25" thickBot="1" x14ac:dyDescent="0.25">
      <c r="A73" s="341" t="s">
        <v>277</v>
      </c>
      <c r="B73" s="342" t="s">
        <v>1036</v>
      </c>
      <c r="C73" s="343" t="s">
        <v>109</v>
      </c>
      <c r="D73" s="344" t="s">
        <v>1032</v>
      </c>
      <c r="E73" s="344" t="s">
        <v>1026</v>
      </c>
      <c r="F73" s="345" t="s">
        <v>925</v>
      </c>
      <c r="G73" s="346" t="s">
        <v>757</v>
      </c>
      <c r="H73" s="347">
        <v>0.35</v>
      </c>
      <c r="I73" s="599"/>
      <c r="J73" s="596">
        <v>28</v>
      </c>
      <c r="K73" s="596">
        <v>3</v>
      </c>
      <c r="L73" s="566">
        <f t="shared" si="3"/>
        <v>0.10714285714285714</v>
      </c>
      <c r="M73" s="567">
        <f t="shared" si="4"/>
        <v>0.30612244897959184</v>
      </c>
      <c r="N73" s="597">
        <f t="shared" si="5"/>
        <v>30.612244897959187</v>
      </c>
      <c r="O73" s="598" t="s">
        <v>1857</v>
      </c>
      <c r="P73" s="227"/>
      <c r="Q73" s="227"/>
    </row>
    <row r="74" spans="1:17" ht="26.25" thickBot="1" x14ac:dyDescent="0.25">
      <c r="A74" s="341" t="s">
        <v>277</v>
      </c>
      <c r="B74" s="342" t="s">
        <v>1036</v>
      </c>
      <c r="C74" s="343" t="s">
        <v>109</v>
      </c>
      <c r="D74" s="344" t="s">
        <v>954</v>
      </c>
      <c r="E74" s="344" t="s">
        <v>1026</v>
      </c>
      <c r="F74" s="345" t="s">
        <v>925</v>
      </c>
      <c r="G74" s="346" t="s">
        <v>757</v>
      </c>
      <c r="H74" s="347">
        <v>0.35</v>
      </c>
      <c r="I74" s="599"/>
      <c r="J74" s="596">
        <v>28</v>
      </c>
      <c r="K74" s="596">
        <v>3</v>
      </c>
      <c r="L74" s="566">
        <f t="shared" si="3"/>
        <v>0.10714285714285714</v>
      </c>
      <c r="M74" s="567">
        <f t="shared" si="4"/>
        <v>0.30612244897959184</v>
      </c>
      <c r="N74" s="597">
        <f t="shared" si="5"/>
        <v>30.612244897959187</v>
      </c>
      <c r="O74" s="598" t="s">
        <v>1857</v>
      </c>
      <c r="P74" s="227"/>
      <c r="Q74" s="227"/>
    </row>
    <row r="75" spans="1:17" ht="26.25" thickBot="1" x14ac:dyDescent="0.25">
      <c r="A75" s="341" t="s">
        <v>277</v>
      </c>
      <c r="B75" s="342" t="s">
        <v>1036</v>
      </c>
      <c r="C75" s="343" t="s">
        <v>109</v>
      </c>
      <c r="D75" s="344" t="s">
        <v>1033</v>
      </c>
      <c r="E75" s="344" t="s">
        <v>1026</v>
      </c>
      <c r="F75" s="345" t="s">
        <v>925</v>
      </c>
      <c r="G75" s="346" t="s">
        <v>757</v>
      </c>
      <c r="H75" s="347">
        <v>0.35</v>
      </c>
      <c r="I75" s="599"/>
      <c r="J75" s="596">
        <v>28</v>
      </c>
      <c r="K75" s="596">
        <v>3</v>
      </c>
      <c r="L75" s="566">
        <f t="shared" si="3"/>
        <v>0.10714285714285714</v>
      </c>
      <c r="M75" s="567">
        <f t="shared" si="4"/>
        <v>0.30612244897959184</v>
      </c>
      <c r="N75" s="597">
        <f t="shared" si="5"/>
        <v>30.612244897959187</v>
      </c>
      <c r="O75" s="598" t="s">
        <v>1857</v>
      </c>
      <c r="P75" s="227"/>
      <c r="Q75" s="227"/>
    </row>
    <row r="76" spans="1:17" ht="51.75" thickBot="1" x14ac:dyDescent="0.25">
      <c r="A76" s="341" t="s">
        <v>277</v>
      </c>
      <c r="B76" s="342" t="s">
        <v>1036</v>
      </c>
      <c r="C76" s="343" t="s">
        <v>109</v>
      </c>
      <c r="D76" s="344" t="s">
        <v>996</v>
      </c>
      <c r="E76" s="344" t="s">
        <v>1026</v>
      </c>
      <c r="F76" s="345" t="s">
        <v>925</v>
      </c>
      <c r="G76" s="346" t="s">
        <v>757</v>
      </c>
      <c r="H76" s="347">
        <v>0.35</v>
      </c>
      <c r="I76" s="599"/>
      <c r="J76" s="596">
        <v>28</v>
      </c>
      <c r="K76" s="596">
        <v>3</v>
      </c>
      <c r="L76" s="566">
        <f t="shared" si="3"/>
        <v>0.10714285714285714</v>
      </c>
      <c r="M76" s="567">
        <f t="shared" si="4"/>
        <v>0.30612244897959184</v>
      </c>
      <c r="N76" s="597">
        <f t="shared" si="5"/>
        <v>30.612244897959187</v>
      </c>
      <c r="O76" s="598" t="s">
        <v>1857</v>
      </c>
      <c r="P76" s="227"/>
      <c r="Q76" s="227"/>
    </row>
    <row r="77" spans="1:17" ht="26.25" thickBot="1" x14ac:dyDescent="0.25">
      <c r="A77" s="341" t="s">
        <v>277</v>
      </c>
      <c r="B77" s="342" t="s">
        <v>1036</v>
      </c>
      <c r="C77" s="343" t="s">
        <v>109</v>
      </c>
      <c r="D77" s="344" t="s">
        <v>1034</v>
      </c>
      <c r="E77" s="344" t="s">
        <v>1026</v>
      </c>
      <c r="F77" s="345" t="s">
        <v>925</v>
      </c>
      <c r="G77" s="346" t="s">
        <v>757</v>
      </c>
      <c r="H77" s="347">
        <v>0.35</v>
      </c>
      <c r="I77" s="599"/>
      <c r="J77" s="596">
        <v>28</v>
      </c>
      <c r="K77" s="596">
        <v>3</v>
      </c>
      <c r="L77" s="566">
        <f t="shared" si="3"/>
        <v>0.10714285714285714</v>
      </c>
      <c r="M77" s="567">
        <f t="shared" si="4"/>
        <v>0.30612244897959184</v>
      </c>
      <c r="N77" s="597">
        <f t="shared" si="5"/>
        <v>30.612244897959187</v>
      </c>
      <c r="O77" s="598" t="s">
        <v>1857</v>
      </c>
      <c r="P77" s="227"/>
      <c r="Q77" s="227"/>
    </row>
    <row r="78" spans="1:17" ht="26.25" thickBot="1" x14ac:dyDescent="0.25">
      <c r="A78" s="341" t="s">
        <v>277</v>
      </c>
      <c r="B78" s="342" t="s">
        <v>1036</v>
      </c>
      <c r="C78" s="348" t="s">
        <v>946</v>
      </c>
      <c r="D78" s="344" t="s">
        <v>998</v>
      </c>
      <c r="E78" s="344" t="s">
        <v>1026</v>
      </c>
      <c r="F78" s="345" t="s">
        <v>925</v>
      </c>
      <c r="G78" s="346" t="s">
        <v>757</v>
      </c>
      <c r="H78" s="347">
        <v>0.35</v>
      </c>
      <c r="I78" s="599"/>
      <c r="J78" s="596">
        <v>28</v>
      </c>
      <c r="K78" s="596">
        <v>3</v>
      </c>
      <c r="L78" s="566">
        <f t="shared" si="3"/>
        <v>0.10714285714285714</v>
      </c>
      <c r="M78" s="567">
        <f t="shared" si="4"/>
        <v>0.30612244897959184</v>
      </c>
      <c r="N78" s="597">
        <f t="shared" si="5"/>
        <v>30.612244897959187</v>
      </c>
      <c r="O78" s="598" t="s">
        <v>1857</v>
      </c>
      <c r="P78" s="227"/>
      <c r="Q78" s="227"/>
    </row>
    <row r="79" spans="1:17" ht="26.25" thickBot="1" x14ac:dyDescent="0.25">
      <c r="A79" s="341" t="s">
        <v>277</v>
      </c>
      <c r="B79" s="342" t="s">
        <v>1036</v>
      </c>
      <c r="C79" s="348" t="s">
        <v>946</v>
      </c>
      <c r="D79" s="344" t="s">
        <v>1001</v>
      </c>
      <c r="E79" s="344" t="s">
        <v>1026</v>
      </c>
      <c r="F79" s="345" t="s">
        <v>925</v>
      </c>
      <c r="G79" s="346" t="s">
        <v>757</v>
      </c>
      <c r="H79" s="347">
        <v>0.35</v>
      </c>
      <c r="I79" s="599"/>
      <c r="J79" s="596">
        <v>28</v>
      </c>
      <c r="K79" s="596">
        <v>3</v>
      </c>
      <c r="L79" s="566">
        <f t="shared" si="3"/>
        <v>0.10714285714285714</v>
      </c>
      <c r="M79" s="567">
        <f t="shared" si="4"/>
        <v>0.30612244897959184</v>
      </c>
      <c r="N79" s="597">
        <f t="shared" si="5"/>
        <v>30.612244897959187</v>
      </c>
      <c r="O79" s="598" t="s">
        <v>1857</v>
      </c>
      <c r="P79" s="227"/>
      <c r="Q79" s="227"/>
    </row>
    <row r="80" spans="1:17" ht="26.25" thickBot="1" x14ac:dyDescent="0.25">
      <c r="A80" s="341" t="s">
        <v>277</v>
      </c>
      <c r="B80" s="342" t="s">
        <v>1036</v>
      </c>
      <c r="C80" s="348" t="s">
        <v>946</v>
      </c>
      <c r="D80" s="344" t="s">
        <v>1002</v>
      </c>
      <c r="E80" s="344" t="s">
        <v>1026</v>
      </c>
      <c r="F80" s="345" t="s">
        <v>925</v>
      </c>
      <c r="G80" s="346" t="s">
        <v>757</v>
      </c>
      <c r="H80" s="347">
        <v>0.35</v>
      </c>
      <c r="I80" s="599"/>
      <c r="J80" s="596">
        <v>28</v>
      </c>
      <c r="K80" s="596">
        <v>3</v>
      </c>
      <c r="L80" s="566">
        <f t="shared" si="3"/>
        <v>0.10714285714285714</v>
      </c>
      <c r="M80" s="567">
        <f t="shared" si="4"/>
        <v>0.30612244897959184</v>
      </c>
      <c r="N80" s="597">
        <f t="shared" si="5"/>
        <v>30.612244897959187</v>
      </c>
      <c r="O80" s="598" t="s">
        <v>1857</v>
      </c>
      <c r="P80" s="227"/>
      <c r="Q80" s="227"/>
    </row>
    <row r="81" spans="1:17" ht="26.25" thickBot="1" x14ac:dyDescent="0.25">
      <c r="A81" s="341" t="s">
        <v>277</v>
      </c>
      <c r="B81" s="342" t="s">
        <v>1036</v>
      </c>
      <c r="C81" s="348" t="s">
        <v>946</v>
      </c>
      <c r="D81" s="344" t="s">
        <v>1003</v>
      </c>
      <c r="E81" s="344" t="s">
        <v>1026</v>
      </c>
      <c r="F81" s="345" t="s">
        <v>925</v>
      </c>
      <c r="G81" s="346" t="s">
        <v>757</v>
      </c>
      <c r="H81" s="347">
        <v>0.35</v>
      </c>
      <c r="I81" s="599"/>
      <c r="J81" s="596">
        <v>28</v>
      </c>
      <c r="K81" s="596">
        <v>3</v>
      </c>
      <c r="L81" s="566">
        <f t="shared" si="3"/>
        <v>0.10714285714285714</v>
      </c>
      <c r="M81" s="567">
        <f t="shared" si="4"/>
        <v>0.30612244897959184</v>
      </c>
      <c r="N81" s="597">
        <f t="shared" si="5"/>
        <v>30.612244897959187</v>
      </c>
      <c r="O81" s="598" t="s">
        <v>1857</v>
      </c>
      <c r="P81" s="227"/>
      <c r="Q81" s="227"/>
    </row>
    <row r="82" spans="1:17" ht="26.25" thickBot="1" x14ac:dyDescent="0.25">
      <c r="A82" s="341" t="s">
        <v>277</v>
      </c>
      <c r="B82" s="342" t="s">
        <v>1036</v>
      </c>
      <c r="C82" s="348" t="s">
        <v>946</v>
      </c>
      <c r="D82" s="344" t="s">
        <v>954</v>
      </c>
      <c r="E82" s="344" t="s">
        <v>1026</v>
      </c>
      <c r="F82" s="345" t="s">
        <v>925</v>
      </c>
      <c r="G82" s="346" t="s">
        <v>757</v>
      </c>
      <c r="H82" s="347">
        <v>0.35</v>
      </c>
      <c r="I82" s="599"/>
      <c r="J82" s="596">
        <v>28</v>
      </c>
      <c r="K82" s="596">
        <v>3</v>
      </c>
      <c r="L82" s="566">
        <f t="shared" si="3"/>
        <v>0.10714285714285714</v>
      </c>
      <c r="M82" s="567">
        <f t="shared" si="4"/>
        <v>0.30612244897959184</v>
      </c>
      <c r="N82" s="597">
        <f t="shared" si="5"/>
        <v>30.612244897959187</v>
      </c>
      <c r="O82" s="598" t="s">
        <v>1857</v>
      </c>
      <c r="P82" s="227"/>
      <c r="Q82" s="227"/>
    </row>
    <row r="83" spans="1:17" x14ac:dyDescent="0.2">
      <c r="M83" s="227"/>
      <c r="N83" s="227"/>
      <c r="O83" s="227"/>
      <c r="P83" s="227"/>
      <c r="Q83" s="227"/>
    </row>
    <row r="84" spans="1:17" x14ac:dyDescent="0.2">
      <c r="M84" s="227"/>
      <c r="N84" s="227"/>
      <c r="O84" s="227"/>
      <c r="P84" s="227"/>
      <c r="Q84" s="227"/>
    </row>
    <row r="85" spans="1:17" x14ac:dyDescent="0.2">
      <c r="M85" s="227"/>
      <c r="N85" s="227"/>
      <c r="O85" s="227"/>
      <c r="P85" s="227"/>
      <c r="Q85" s="227"/>
    </row>
    <row r="86" spans="1:17" x14ac:dyDescent="0.2">
      <c r="M86" s="227"/>
      <c r="N86" s="227"/>
      <c r="O86" s="227"/>
      <c r="P86" s="227"/>
      <c r="Q86" s="227"/>
    </row>
    <row r="87" spans="1:17" x14ac:dyDescent="0.2">
      <c r="M87" s="227"/>
      <c r="N87" s="227"/>
      <c r="O87" s="227"/>
      <c r="P87" s="227"/>
      <c r="Q87" s="227"/>
    </row>
    <row r="88" spans="1:17" x14ac:dyDescent="0.2">
      <c r="M88" s="227"/>
      <c r="N88" s="227"/>
      <c r="O88" s="227"/>
      <c r="P88" s="227"/>
      <c r="Q88" s="227"/>
    </row>
    <row r="89" spans="1:17" x14ac:dyDescent="0.2">
      <c r="M89" s="227"/>
      <c r="N89" s="227"/>
      <c r="O89" s="227"/>
      <c r="P89" s="227"/>
      <c r="Q89" s="227"/>
    </row>
    <row r="90" spans="1:17" x14ac:dyDescent="0.2">
      <c r="M90" s="227"/>
      <c r="N90" s="227"/>
      <c r="O90" s="227"/>
      <c r="P90" s="227"/>
      <c r="Q90" s="227"/>
    </row>
    <row r="91" spans="1:17" x14ac:dyDescent="0.2">
      <c r="M91" s="227"/>
      <c r="N91" s="227"/>
      <c r="O91" s="227"/>
      <c r="P91" s="227"/>
      <c r="Q91" s="227"/>
    </row>
    <row r="92" spans="1:17" x14ac:dyDescent="0.2">
      <c r="M92" s="227"/>
      <c r="N92" s="227"/>
      <c r="O92" s="227"/>
      <c r="P92" s="227"/>
      <c r="Q92" s="227"/>
    </row>
    <row r="93" spans="1:17" x14ac:dyDescent="0.2">
      <c r="M93" s="227"/>
      <c r="N93" s="227"/>
      <c r="O93" s="227"/>
      <c r="P93" s="227"/>
      <c r="Q93" s="227"/>
    </row>
    <row r="94" spans="1:17" x14ac:dyDescent="0.2">
      <c r="M94" s="227"/>
      <c r="N94" s="227"/>
      <c r="O94" s="227"/>
      <c r="P94" s="227"/>
      <c r="Q94" s="227"/>
    </row>
    <row r="95" spans="1:17" x14ac:dyDescent="0.2">
      <c r="M95" s="227"/>
      <c r="N95" s="227"/>
      <c r="O95" s="227"/>
      <c r="P95" s="227"/>
      <c r="Q95" s="227"/>
    </row>
    <row r="96" spans="1:17" x14ac:dyDescent="0.2">
      <c r="M96" s="227"/>
      <c r="N96" s="227"/>
      <c r="O96" s="227"/>
      <c r="P96" s="227"/>
      <c r="Q96" s="227"/>
    </row>
    <row r="97" spans="13:17" x14ac:dyDescent="0.2">
      <c r="M97" s="227"/>
      <c r="N97" s="227"/>
      <c r="O97" s="227"/>
      <c r="P97" s="227"/>
      <c r="Q97" s="227"/>
    </row>
    <row r="98" spans="13:17" x14ac:dyDescent="0.2">
      <c r="M98" s="227"/>
      <c r="N98" s="227"/>
      <c r="O98" s="227"/>
      <c r="P98" s="227"/>
      <c r="Q98" s="227"/>
    </row>
    <row r="99" spans="13:17" x14ac:dyDescent="0.2">
      <c r="M99" s="227"/>
      <c r="N99" s="227"/>
      <c r="O99" s="227"/>
      <c r="P99" s="227"/>
      <c r="Q99" s="227"/>
    </row>
    <row r="100" spans="13:17" x14ac:dyDescent="0.2">
      <c r="M100" s="227"/>
      <c r="N100" s="227"/>
      <c r="O100" s="227"/>
      <c r="P100" s="227"/>
      <c r="Q100" s="227"/>
    </row>
    <row r="101" spans="13:17" x14ac:dyDescent="0.2">
      <c r="M101" s="227"/>
      <c r="N101" s="227"/>
      <c r="O101" s="227"/>
      <c r="P101" s="227"/>
      <c r="Q101" s="227"/>
    </row>
    <row r="102" spans="13:17" x14ac:dyDescent="0.2">
      <c r="M102" s="227"/>
      <c r="N102" s="227"/>
      <c r="O102" s="227"/>
      <c r="P102" s="227"/>
      <c r="Q102" s="227"/>
    </row>
    <row r="103" spans="13:17" x14ac:dyDescent="0.2">
      <c r="M103" s="227"/>
      <c r="N103" s="227"/>
      <c r="O103" s="227"/>
      <c r="P103" s="227"/>
      <c r="Q103" s="227"/>
    </row>
    <row r="104" spans="13:17" x14ac:dyDescent="0.2">
      <c r="M104" s="227"/>
      <c r="N104" s="227"/>
      <c r="O104" s="227"/>
      <c r="P104" s="227"/>
      <c r="Q104" s="227"/>
    </row>
    <row r="105" spans="13:17" x14ac:dyDescent="0.2">
      <c r="M105" s="227"/>
      <c r="N105" s="227"/>
      <c r="O105" s="227"/>
      <c r="P105" s="227"/>
      <c r="Q105" s="227"/>
    </row>
    <row r="106" spans="13:17" x14ac:dyDescent="0.2">
      <c r="M106" s="227"/>
      <c r="N106" s="227"/>
      <c r="O106" s="227"/>
      <c r="P106" s="227"/>
      <c r="Q106" s="227"/>
    </row>
    <row r="107" spans="13:17" x14ac:dyDescent="0.2">
      <c r="M107" s="227"/>
      <c r="N107" s="227"/>
      <c r="O107" s="227"/>
      <c r="P107" s="227"/>
      <c r="Q107" s="227"/>
    </row>
    <row r="108" spans="13:17" x14ac:dyDescent="0.2">
      <c r="M108" s="227"/>
      <c r="N108" s="227"/>
      <c r="O108" s="227"/>
      <c r="P108" s="227"/>
      <c r="Q108" s="227"/>
    </row>
    <row r="109" spans="13:17" x14ac:dyDescent="0.2">
      <c r="M109" s="227"/>
      <c r="N109" s="227"/>
      <c r="O109" s="227"/>
      <c r="P109" s="227"/>
      <c r="Q109" s="227"/>
    </row>
    <row r="110" spans="13:17" x14ac:dyDescent="0.2">
      <c r="M110" s="227"/>
      <c r="N110" s="227"/>
      <c r="O110" s="227"/>
      <c r="P110" s="227"/>
      <c r="Q110" s="227"/>
    </row>
    <row r="111" spans="13:17" x14ac:dyDescent="0.2">
      <c r="M111" s="227"/>
      <c r="N111" s="227"/>
      <c r="O111" s="227"/>
      <c r="P111" s="227"/>
      <c r="Q111" s="227"/>
    </row>
    <row r="112" spans="13:17" x14ac:dyDescent="0.2">
      <c r="M112" s="227"/>
      <c r="N112" s="227"/>
      <c r="O112" s="227"/>
      <c r="P112" s="227"/>
      <c r="Q112" s="227"/>
    </row>
    <row r="113" spans="13:17" x14ac:dyDescent="0.2">
      <c r="M113" s="227"/>
      <c r="N113" s="227"/>
      <c r="O113" s="227"/>
      <c r="P113" s="227"/>
      <c r="Q113" s="227"/>
    </row>
    <row r="114" spans="13:17" x14ac:dyDescent="0.2">
      <c r="M114" s="227"/>
      <c r="N114" s="227"/>
      <c r="O114" s="227"/>
      <c r="P114" s="227"/>
      <c r="Q114" s="227"/>
    </row>
    <row r="115" spans="13:17" x14ac:dyDescent="0.2">
      <c r="M115" s="227"/>
      <c r="N115" s="227"/>
      <c r="O115" s="227"/>
      <c r="P115" s="227"/>
      <c r="Q115" s="227"/>
    </row>
    <row r="116" spans="13:17" x14ac:dyDescent="0.2">
      <c r="M116" s="227"/>
      <c r="N116" s="227"/>
      <c r="O116" s="227"/>
      <c r="P116" s="227"/>
      <c r="Q116" s="227"/>
    </row>
    <row r="117" spans="13:17" x14ac:dyDescent="0.2">
      <c r="M117" s="227"/>
      <c r="N117" s="227"/>
      <c r="O117" s="227"/>
      <c r="P117" s="227"/>
      <c r="Q117" s="227"/>
    </row>
    <row r="118" spans="13:17" x14ac:dyDescent="0.2">
      <c r="M118" s="227"/>
      <c r="N118" s="227"/>
      <c r="O118" s="227"/>
      <c r="P118" s="227"/>
      <c r="Q118" s="227"/>
    </row>
    <row r="119" spans="13:17" x14ac:dyDescent="0.2">
      <c r="M119" s="227"/>
      <c r="N119" s="227"/>
      <c r="O119" s="227"/>
      <c r="P119" s="227"/>
      <c r="Q119" s="227"/>
    </row>
    <row r="120" spans="13:17" x14ac:dyDescent="0.2">
      <c r="M120" s="227"/>
      <c r="N120" s="227"/>
      <c r="O120" s="227"/>
      <c r="P120" s="227"/>
      <c r="Q120" s="227"/>
    </row>
    <row r="121" spans="13:17" x14ac:dyDescent="0.2">
      <c r="M121" s="227"/>
      <c r="N121" s="227"/>
      <c r="O121" s="227"/>
      <c r="P121" s="227"/>
      <c r="Q121" s="227"/>
    </row>
    <row r="122" spans="13:17" x14ac:dyDescent="0.2">
      <c r="M122" s="227"/>
      <c r="N122" s="227"/>
      <c r="O122" s="227"/>
      <c r="P122" s="227"/>
      <c r="Q122" s="227"/>
    </row>
    <row r="123" spans="13:17" x14ac:dyDescent="0.2">
      <c r="M123" s="227"/>
      <c r="N123" s="227"/>
      <c r="O123" s="227"/>
      <c r="P123" s="227"/>
      <c r="Q123" s="227"/>
    </row>
    <row r="124" spans="13:17" x14ac:dyDescent="0.2">
      <c r="M124" s="227"/>
      <c r="N124" s="227"/>
      <c r="O124" s="227"/>
      <c r="P124" s="227"/>
      <c r="Q124" s="227"/>
    </row>
    <row r="125" spans="13:17" x14ac:dyDescent="0.2">
      <c r="M125" s="227"/>
      <c r="N125" s="227"/>
      <c r="O125" s="227"/>
      <c r="P125" s="227"/>
      <c r="Q125" s="227"/>
    </row>
    <row r="126" spans="13:17" x14ac:dyDescent="0.2">
      <c r="M126" s="227"/>
      <c r="N126" s="227"/>
      <c r="O126" s="227"/>
      <c r="P126" s="227"/>
      <c r="Q126" s="227"/>
    </row>
    <row r="127" spans="13:17" x14ac:dyDescent="0.2">
      <c r="M127" s="227"/>
      <c r="N127" s="227"/>
      <c r="O127" s="227"/>
      <c r="P127" s="227"/>
      <c r="Q127" s="227"/>
    </row>
    <row r="128" spans="13:17" x14ac:dyDescent="0.2">
      <c r="M128" s="227"/>
      <c r="N128" s="227"/>
      <c r="O128" s="227"/>
      <c r="P128" s="227"/>
      <c r="Q128" s="227"/>
    </row>
    <row r="129" spans="13:17" x14ac:dyDescent="0.2">
      <c r="M129" s="227"/>
      <c r="N129" s="227"/>
      <c r="O129" s="227"/>
      <c r="P129" s="227"/>
      <c r="Q129" s="227"/>
    </row>
    <row r="130" spans="13:17" x14ac:dyDescent="0.2">
      <c r="M130" s="227"/>
      <c r="N130" s="227"/>
      <c r="O130" s="227"/>
      <c r="P130" s="227"/>
      <c r="Q130" s="227"/>
    </row>
    <row r="131" spans="13:17" x14ac:dyDescent="0.2">
      <c r="M131" s="227"/>
      <c r="N131" s="227"/>
      <c r="O131" s="227"/>
      <c r="P131" s="227"/>
      <c r="Q131" s="227"/>
    </row>
    <row r="132" spans="13:17" x14ac:dyDescent="0.2">
      <c r="M132" s="227"/>
      <c r="N132" s="227"/>
      <c r="O132" s="227"/>
      <c r="P132" s="227"/>
      <c r="Q132" s="227"/>
    </row>
    <row r="133" spans="13:17" x14ac:dyDescent="0.2">
      <c r="M133" s="227"/>
      <c r="N133" s="227"/>
      <c r="O133" s="227"/>
      <c r="P133" s="227"/>
      <c r="Q133" s="227"/>
    </row>
    <row r="134" spans="13:17" x14ac:dyDescent="0.2">
      <c r="M134" s="227"/>
      <c r="N134" s="227"/>
      <c r="O134" s="227"/>
      <c r="P134" s="227"/>
      <c r="Q134" s="227"/>
    </row>
    <row r="135" spans="13:17" x14ac:dyDescent="0.2">
      <c r="M135" s="227"/>
      <c r="N135" s="227"/>
      <c r="O135" s="227"/>
      <c r="P135" s="227"/>
      <c r="Q135" s="227"/>
    </row>
    <row r="136" spans="13:17" x14ac:dyDescent="0.2">
      <c r="M136" s="227"/>
      <c r="N136" s="227"/>
      <c r="O136" s="227"/>
      <c r="P136" s="227"/>
      <c r="Q136" s="227"/>
    </row>
    <row r="137" spans="13:17" x14ac:dyDescent="0.2">
      <c r="M137" s="227"/>
      <c r="N137" s="227"/>
      <c r="O137" s="227"/>
      <c r="P137" s="227"/>
      <c r="Q137" s="227"/>
    </row>
    <row r="138" spans="13:17" x14ac:dyDescent="0.2">
      <c r="M138" s="227"/>
      <c r="N138" s="227"/>
      <c r="O138" s="227"/>
      <c r="P138" s="227"/>
      <c r="Q138" s="227"/>
    </row>
    <row r="139" spans="13:17" x14ac:dyDescent="0.2">
      <c r="M139" s="227"/>
      <c r="N139" s="227"/>
      <c r="O139" s="227"/>
      <c r="P139" s="227"/>
      <c r="Q139" s="227"/>
    </row>
    <row r="140" spans="13:17" x14ac:dyDescent="0.2">
      <c r="M140" s="227"/>
      <c r="N140" s="227"/>
      <c r="O140" s="227"/>
      <c r="P140" s="227"/>
      <c r="Q140" s="227"/>
    </row>
    <row r="141" spans="13:17" x14ac:dyDescent="0.2">
      <c r="M141" s="227"/>
      <c r="N141" s="227"/>
      <c r="O141" s="227"/>
      <c r="P141" s="227"/>
      <c r="Q141" s="227"/>
    </row>
    <row r="142" spans="13:17" x14ac:dyDescent="0.2">
      <c r="M142" s="227"/>
      <c r="N142" s="227"/>
      <c r="O142" s="227"/>
      <c r="P142" s="227"/>
      <c r="Q142" s="227"/>
    </row>
    <row r="143" spans="13:17" x14ac:dyDescent="0.2">
      <c r="M143" s="227"/>
      <c r="N143" s="227"/>
      <c r="O143" s="227"/>
      <c r="P143" s="227"/>
      <c r="Q143" s="227"/>
    </row>
    <row r="144" spans="13:17" x14ac:dyDescent="0.2">
      <c r="M144" s="227"/>
      <c r="N144" s="227"/>
      <c r="O144" s="227"/>
      <c r="P144" s="227"/>
      <c r="Q144" s="227"/>
    </row>
    <row r="145" spans="13:17" x14ac:dyDescent="0.2">
      <c r="M145" s="227"/>
      <c r="N145" s="227"/>
      <c r="O145" s="227"/>
      <c r="P145" s="227"/>
      <c r="Q145" s="227"/>
    </row>
    <row r="146" spans="13:17" x14ac:dyDescent="0.2">
      <c r="M146" s="227"/>
      <c r="N146" s="227"/>
      <c r="O146" s="227"/>
      <c r="P146" s="227"/>
      <c r="Q146" s="227"/>
    </row>
    <row r="147" spans="13:17" x14ac:dyDescent="0.2">
      <c r="M147" s="227"/>
      <c r="N147" s="227"/>
      <c r="O147" s="227"/>
      <c r="P147" s="227"/>
      <c r="Q147" s="227"/>
    </row>
    <row r="148" spans="13:17" x14ac:dyDescent="0.2">
      <c r="M148" s="227"/>
      <c r="N148" s="227"/>
      <c r="O148" s="227"/>
      <c r="P148" s="227"/>
      <c r="Q148" s="227"/>
    </row>
    <row r="149" spans="13:17" x14ac:dyDescent="0.2">
      <c r="M149" s="227"/>
      <c r="N149" s="227"/>
      <c r="O149" s="227"/>
      <c r="P149" s="227"/>
      <c r="Q149" s="227"/>
    </row>
    <row r="150" spans="13:17" x14ac:dyDescent="0.2">
      <c r="M150" s="227"/>
      <c r="N150" s="227"/>
      <c r="O150" s="227"/>
      <c r="P150" s="227"/>
      <c r="Q150" s="227"/>
    </row>
    <row r="151" spans="13:17" x14ac:dyDescent="0.2">
      <c r="M151" s="227"/>
      <c r="N151" s="227"/>
      <c r="O151" s="227"/>
      <c r="P151" s="227"/>
      <c r="Q151" s="227"/>
    </row>
    <row r="152" spans="13:17" x14ac:dyDescent="0.2">
      <c r="M152" s="227"/>
      <c r="N152" s="227"/>
      <c r="O152" s="227"/>
      <c r="P152" s="227"/>
      <c r="Q152" s="227"/>
    </row>
    <row r="153" spans="13:17" x14ac:dyDescent="0.2">
      <c r="M153" s="227"/>
      <c r="N153" s="227"/>
      <c r="O153" s="227"/>
      <c r="P153" s="227"/>
      <c r="Q153" s="227"/>
    </row>
    <row r="154" spans="13:17" x14ac:dyDescent="0.2">
      <c r="M154" s="227"/>
      <c r="N154" s="227"/>
      <c r="O154" s="227"/>
      <c r="P154" s="227"/>
      <c r="Q154" s="227"/>
    </row>
    <row r="155" spans="13:17" x14ac:dyDescent="0.2">
      <c r="M155" s="227"/>
      <c r="N155" s="227"/>
      <c r="O155" s="227"/>
      <c r="P155" s="227"/>
      <c r="Q155" s="227"/>
    </row>
    <row r="156" spans="13:17" x14ac:dyDescent="0.2">
      <c r="M156" s="227"/>
      <c r="N156" s="227"/>
      <c r="O156" s="227"/>
      <c r="P156" s="227"/>
      <c r="Q156" s="227"/>
    </row>
    <row r="157" spans="13:17" x14ac:dyDescent="0.2">
      <c r="M157" s="227"/>
      <c r="N157" s="227"/>
      <c r="O157" s="227"/>
      <c r="P157" s="227"/>
      <c r="Q157" s="227"/>
    </row>
    <row r="158" spans="13:17" x14ac:dyDescent="0.2">
      <c r="M158" s="227"/>
      <c r="N158" s="227"/>
      <c r="O158" s="227"/>
      <c r="P158" s="227"/>
      <c r="Q158" s="227"/>
    </row>
    <row r="159" spans="13:17" x14ac:dyDescent="0.2">
      <c r="M159" s="227"/>
      <c r="N159" s="227"/>
      <c r="O159" s="227"/>
      <c r="P159" s="227"/>
      <c r="Q159" s="227"/>
    </row>
    <row r="160" spans="13:17" x14ac:dyDescent="0.2">
      <c r="M160" s="227"/>
      <c r="N160" s="227"/>
      <c r="O160" s="227"/>
      <c r="P160" s="227"/>
      <c r="Q160" s="227"/>
    </row>
    <row r="161" spans="13:17" x14ac:dyDescent="0.2">
      <c r="M161" s="227"/>
      <c r="N161" s="227"/>
      <c r="O161" s="227"/>
      <c r="P161" s="227"/>
      <c r="Q161" s="227"/>
    </row>
    <row r="162" spans="13:17" x14ac:dyDescent="0.2">
      <c r="M162" s="227"/>
      <c r="N162" s="227"/>
      <c r="O162" s="227"/>
      <c r="P162" s="227"/>
      <c r="Q162" s="227"/>
    </row>
    <row r="163" spans="13:17" x14ac:dyDescent="0.2">
      <c r="M163" s="227"/>
      <c r="N163" s="227"/>
      <c r="O163" s="227"/>
      <c r="P163" s="227"/>
      <c r="Q163" s="227"/>
    </row>
    <row r="164" spans="13:17" x14ac:dyDescent="0.2">
      <c r="M164" s="227"/>
      <c r="N164" s="227"/>
      <c r="O164" s="227"/>
      <c r="P164" s="227"/>
      <c r="Q164" s="227"/>
    </row>
    <row r="165" spans="13:17" x14ac:dyDescent="0.2">
      <c r="M165" s="227"/>
      <c r="N165" s="227"/>
      <c r="O165" s="227"/>
      <c r="P165" s="227"/>
      <c r="Q165" s="227"/>
    </row>
    <row r="166" spans="13:17" x14ac:dyDescent="0.2">
      <c r="M166" s="227"/>
      <c r="N166" s="227"/>
      <c r="O166" s="227"/>
      <c r="P166" s="227"/>
      <c r="Q166" s="227"/>
    </row>
    <row r="167" spans="13:17" x14ac:dyDescent="0.2">
      <c r="M167" s="227"/>
      <c r="N167" s="227"/>
      <c r="O167" s="227"/>
      <c r="P167" s="227"/>
      <c r="Q167" s="227"/>
    </row>
    <row r="168" spans="13:17" x14ac:dyDescent="0.2">
      <c r="M168" s="227"/>
      <c r="N168" s="227"/>
      <c r="O168" s="227"/>
      <c r="P168" s="227"/>
      <c r="Q168" s="227"/>
    </row>
    <row r="169" spans="13:17" x14ac:dyDescent="0.2">
      <c r="M169" s="227"/>
      <c r="N169" s="227"/>
      <c r="O169" s="227"/>
      <c r="P169" s="227"/>
      <c r="Q169" s="227"/>
    </row>
    <row r="170" spans="13:17" x14ac:dyDescent="0.2">
      <c r="M170" s="227"/>
      <c r="N170" s="227"/>
      <c r="O170" s="227"/>
      <c r="P170" s="227"/>
      <c r="Q170" s="227"/>
    </row>
    <row r="171" spans="13:17" x14ac:dyDescent="0.2">
      <c r="M171" s="227"/>
      <c r="N171" s="227"/>
      <c r="O171" s="227"/>
      <c r="P171" s="227"/>
      <c r="Q171" s="227"/>
    </row>
    <row r="172" spans="13:17" x14ac:dyDescent="0.2">
      <c r="M172" s="227"/>
      <c r="N172" s="227"/>
      <c r="O172" s="227"/>
      <c r="P172" s="227"/>
      <c r="Q172" s="227"/>
    </row>
    <row r="173" spans="13:17" x14ac:dyDescent="0.2">
      <c r="M173" s="227"/>
      <c r="N173" s="227"/>
      <c r="O173" s="227"/>
      <c r="P173" s="227"/>
      <c r="Q173" s="227"/>
    </row>
    <row r="174" spans="13:17" x14ac:dyDescent="0.2">
      <c r="M174" s="227"/>
      <c r="N174" s="227"/>
      <c r="O174" s="227"/>
      <c r="P174" s="227"/>
      <c r="Q174" s="227"/>
    </row>
    <row r="175" spans="13:17" x14ac:dyDescent="0.2">
      <c r="M175" s="227"/>
      <c r="N175" s="227"/>
      <c r="O175" s="227"/>
      <c r="P175" s="227"/>
      <c r="Q175" s="227"/>
    </row>
    <row r="176" spans="13:17" x14ac:dyDescent="0.2">
      <c r="M176" s="227"/>
      <c r="N176" s="227"/>
      <c r="O176" s="227"/>
      <c r="P176" s="227"/>
      <c r="Q176" s="227"/>
    </row>
    <row r="177" spans="13:17" x14ac:dyDescent="0.2">
      <c r="M177" s="227"/>
      <c r="N177" s="227"/>
      <c r="O177" s="227"/>
      <c r="P177" s="227"/>
      <c r="Q177" s="227"/>
    </row>
    <row r="178" spans="13:17" x14ac:dyDescent="0.2">
      <c r="M178" s="227"/>
      <c r="N178" s="227"/>
      <c r="O178" s="227"/>
      <c r="P178" s="227"/>
      <c r="Q178" s="227"/>
    </row>
    <row r="179" spans="13:17" x14ac:dyDescent="0.2">
      <c r="M179" s="227"/>
      <c r="N179" s="227"/>
      <c r="O179" s="227"/>
      <c r="P179" s="227"/>
      <c r="Q179" s="227"/>
    </row>
    <row r="180" spans="13:17" x14ac:dyDescent="0.2">
      <c r="M180" s="227"/>
      <c r="N180" s="227"/>
      <c r="O180" s="227"/>
      <c r="P180" s="227"/>
      <c r="Q180" s="227"/>
    </row>
    <row r="181" spans="13:17" x14ac:dyDescent="0.2">
      <c r="M181" s="227"/>
      <c r="N181" s="227"/>
      <c r="O181" s="227"/>
      <c r="P181" s="227"/>
      <c r="Q181" s="227"/>
    </row>
    <row r="182" spans="13:17" x14ac:dyDescent="0.2">
      <c r="M182" s="227"/>
      <c r="N182" s="227"/>
      <c r="O182" s="227"/>
      <c r="P182" s="227"/>
      <c r="Q182" s="227"/>
    </row>
    <row r="183" spans="13:17" x14ac:dyDescent="0.2">
      <c r="M183" s="227"/>
      <c r="N183" s="227"/>
      <c r="O183" s="227"/>
      <c r="P183" s="227"/>
      <c r="Q183" s="227"/>
    </row>
    <row r="184" spans="13:17" x14ac:dyDescent="0.2">
      <c r="M184" s="227"/>
      <c r="N184" s="227"/>
      <c r="O184" s="227"/>
      <c r="P184" s="227"/>
      <c r="Q184" s="227"/>
    </row>
    <row r="185" spans="13:17" x14ac:dyDescent="0.2">
      <c r="M185" s="227"/>
      <c r="N185" s="227"/>
      <c r="O185" s="227"/>
      <c r="P185" s="227"/>
      <c r="Q185" s="227"/>
    </row>
    <row r="186" spans="13:17" x14ac:dyDescent="0.2">
      <c r="M186" s="227"/>
      <c r="N186" s="227"/>
      <c r="O186" s="227"/>
      <c r="P186" s="227"/>
      <c r="Q186" s="227"/>
    </row>
    <row r="187" spans="13:17" x14ac:dyDescent="0.2">
      <c r="M187" s="227"/>
      <c r="N187" s="227"/>
      <c r="O187" s="227"/>
      <c r="P187" s="227"/>
      <c r="Q187" s="227"/>
    </row>
    <row r="188" spans="13:17" x14ac:dyDescent="0.2">
      <c r="M188" s="227"/>
      <c r="N188" s="227"/>
      <c r="O188" s="227"/>
      <c r="P188" s="227"/>
      <c r="Q188" s="227"/>
    </row>
    <row r="189" spans="13:17" x14ac:dyDescent="0.2">
      <c r="M189" s="227"/>
      <c r="N189" s="227"/>
      <c r="O189" s="227"/>
      <c r="P189" s="227"/>
      <c r="Q189" s="227"/>
    </row>
    <row r="190" spans="13:17" x14ac:dyDescent="0.2">
      <c r="M190" s="227"/>
      <c r="N190" s="227"/>
      <c r="O190" s="227"/>
      <c r="P190" s="227"/>
      <c r="Q190" s="227"/>
    </row>
    <row r="191" spans="13:17" x14ac:dyDescent="0.2">
      <c r="M191" s="227"/>
      <c r="N191" s="227"/>
      <c r="O191" s="227"/>
      <c r="P191" s="227"/>
      <c r="Q191" s="227"/>
    </row>
    <row r="192" spans="13:17" x14ac:dyDescent="0.2">
      <c r="M192" s="227"/>
      <c r="N192" s="227"/>
      <c r="O192" s="227"/>
      <c r="P192" s="227"/>
      <c r="Q192" s="227"/>
    </row>
    <row r="193" spans="13:17" x14ac:dyDescent="0.2">
      <c r="M193" s="227"/>
      <c r="N193" s="227"/>
      <c r="O193" s="227"/>
      <c r="P193" s="227"/>
      <c r="Q193" s="227"/>
    </row>
    <row r="194" spans="13:17" x14ac:dyDescent="0.2">
      <c r="M194" s="227"/>
      <c r="N194" s="227"/>
      <c r="O194" s="227"/>
      <c r="P194" s="227"/>
      <c r="Q194" s="227"/>
    </row>
    <row r="195" spans="13:17" x14ac:dyDescent="0.2">
      <c r="M195" s="227"/>
      <c r="N195" s="227"/>
      <c r="O195" s="227"/>
      <c r="P195" s="227"/>
      <c r="Q195" s="227"/>
    </row>
    <row r="196" spans="13:17" x14ac:dyDescent="0.2">
      <c r="M196" s="227"/>
      <c r="N196" s="227"/>
      <c r="O196" s="227"/>
      <c r="P196" s="227"/>
      <c r="Q196" s="227"/>
    </row>
    <row r="197" spans="13:17" x14ac:dyDescent="0.2">
      <c r="M197" s="227"/>
      <c r="N197" s="227"/>
      <c r="O197" s="227"/>
      <c r="P197" s="227"/>
      <c r="Q197" s="227"/>
    </row>
    <row r="198" spans="13:17" x14ac:dyDescent="0.2">
      <c r="M198" s="227"/>
      <c r="N198" s="227"/>
      <c r="O198" s="227"/>
      <c r="P198" s="227"/>
      <c r="Q198" s="227"/>
    </row>
    <row r="199" spans="13:17" x14ac:dyDescent="0.2">
      <c r="M199" s="227"/>
      <c r="N199" s="227"/>
      <c r="O199" s="227"/>
      <c r="P199" s="227"/>
      <c r="Q199" s="227"/>
    </row>
    <row r="200" spans="13:17" x14ac:dyDescent="0.2">
      <c r="M200" s="227"/>
      <c r="N200" s="227"/>
      <c r="O200" s="227"/>
      <c r="P200" s="227"/>
      <c r="Q200" s="227"/>
    </row>
    <row r="201" spans="13:17" x14ac:dyDescent="0.2">
      <c r="M201" s="227"/>
      <c r="N201" s="227"/>
      <c r="O201" s="227"/>
      <c r="P201" s="227"/>
      <c r="Q201" s="227"/>
    </row>
    <row r="202" spans="13:17" x14ac:dyDescent="0.2">
      <c r="M202" s="227"/>
      <c r="N202" s="227"/>
      <c r="O202" s="227"/>
      <c r="P202" s="227"/>
      <c r="Q202" s="227"/>
    </row>
    <row r="203" spans="13:17" x14ac:dyDescent="0.2">
      <c r="M203" s="227"/>
      <c r="N203" s="227"/>
      <c r="O203" s="227"/>
      <c r="P203" s="227"/>
      <c r="Q203" s="227"/>
    </row>
    <row r="204" spans="13:17" x14ac:dyDescent="0.2">
      <c r="M204" s="227"/>
      <c r="N204" s="227"/>
      <c r="O204" s="227"/>
      <c r="P204" s="227"/>
      <c r="Q204" s="227"/>
    </row>
    <row r="205" spans="13:17" x14ac:dyDescent="0.2">
      <c r="M205" s="227"/>
      <c r="N205" s="227"/>
      <c r="O205" s="227"/>
      <c r="P205" s="227"/>
      <c r="Q205" s="227"/>
    </row>
    <row r="206" spans="13:17" x14ac:dyDescent="0.2">
      <c r="M206" s="227"/>
      <c r="N206" s="227"/>
      <c r="O206" s="227"/>
      <c r="P206" s="227"/>
      <c r="Q206" s="227"/>
    </row>
    <row r="207" spans="13:17" x14ac:dyDescent="0.2">
      <c r="M207" s="227"/>
      <c r="N207" s="227"/>
      <c r="O207" s="227"/>
      <c r="P207" s="227"/>
      <c r="Q207" s="227"/>
    </row>
    <row r="208" spans="13:17" x14ac:dyDescent="0.2">
      <c r="M208" s="227"/>
      <c r="N208" s="227"/>
      <c r="O208" s="227"/>
      <c r="P208" s="227"/>
      <c r="Q208" s="227"/>
    </row>
    <row r="209" spans="13:17" x14ac:dyDescent="0.2">
      <c r="M209" s="227"/>
      <c r="N209" s="227"/>
      <c r="O209" s="227"/>
      <c r="P209" s="227"/>
      <c r="Q209" s="227"/>
    </row>
    <row r="210" spans="13:17" x14ac:dyDescent="0.2">
      <c r="M210" s="227"/>
      <c r="N210" s="227"/>
      <c r="O210" s="227"/>
      <c r="P210" s="227"/>
      <c r="Q210" s="227"/>
    </row>
    <row r="211" spans="13:17" x14ac:dyDescent="0.2">
      <c r="M211" s="227"/>
      <c r="N211" s="227"/>
      <c r="O211" s="227"/>
      <c r="P211" s="227"/>
      <c r="Q211" s="227"/>
    </row>
    <row r="212" spans="13:17" x14ac:dyDescent="0.2">
      <c r="M212" s="227"/>
      <c r="N212" s="227"/>
      <c r="O212" s="227"/>
      <c r="P212" s="227"/>
      <c r="Q212" s="227"/>
    </row>
    <row r="213" spans="13:17" x14ac:dyDescent="0.2">
      <c r="M213" s="227"/>
      <c r="N213" s="227"/>
      <c r="O213" s="227"/>
      <c r="P213" s="227"/>
      <c r="Q213" s="227"/>
    </row>
    <row r="214" spans="13:17" x14ac:dyDescent="0.2">
      <c r="M214" s="227"/>
      <c r="N214" s="227"/>
      <c r="O214" s="227"/>
      <c r="P214" s="227"/>
      <c r="Q214" s="227"/>
    </row>
    <row r="215" spans="13:17" x14ac:dyDescent="0.2">
      <c r="M215" s="227"/>
      <c r="N215" s="227"/>
      <c r="O215" s="227"/>
      <c r="P215" s="227"/>
      <c r="Q215" s="227"/>
    </row>
    <row r="216" spans="13:17" x14ac:dyDescent="0.2">
      <c r="M216" s="227"/>
      <c r="N216" s="227"/>
      <c r="O216" s="227"/>
      <c r="P216" s="227"/>
      <c r="Q216" s="227"/>
    </row>
    <row r="217" spans="13:17" x14ac:dyDescent="0.2">
      <c r="M217" s="227"/>
      <c r="N217" s="227"/>
      <c r="O217" s="227"/>
      <c r="P217" s="227"/>
      <c r="Q217" s="227"/>
    </row>
    <row r="218" spans="13:17" x14ac:dyDescent="0.2">
      <c r="M218" s="227"/>
      <c r="N218" s="227"/>
      <c r="O218" s="227"/>
      <c r="P218" s="227"/>
      <c r="Q218" s="227"/>
    </row>
    <row r="219" spans="13:17" x14ac:dyDescent="0.2">
      <c r="M219" s="227"/>
      <c r="N219" s="227"/>
      <c r="O219" s="227"/>
      <c r="P219" s="227"/>
      <c r="Q219" s="227"/>
    </row>
    <row r="220" spans="13:17" x14ac:dyDescent="0.2">
      <c r="M220" s="227"/>
      <c r="N220" s="227"/>
      <c r="O220" s="227"/>
      <c r="P220" s="227"/>
      <c r="Q220" s="227"/>
    </row>
    <row r="221" spans="13:17" x14ac:dyDescent="0.2">
      <c r="M221" s="227"/>
      <c r="N221" s="227"/>
      <c r="O221" s="227"/>
      <c r="P221" s="227"/>
      <c r="Q221" s="227"/>
    </row>
    <row r="222" spans="13:17" x14ac:dyDescent="0.2">
      <c r="M222" s="227"/>
      <c r="N222" s="227"/>
      <c r="O222" s="227"/>
      <c r="P222" s="227"/>
      <c r="Q222" s="227"/>
    </row>
    <row r="223" spans="13:17" x14ac:dyDescent="0.2">
      <c r="M223" s="227"/>
      <c r="N223" s="227"/>
      <c r="O223" s="227"/>
      <c r="P223" s="227"/>
      <c r="Q223" s="227"/>
    </row>
    <row r="224" spans="13:17" x14ac:dyDescent="0.2">
      <c r="M224" s="227"/>
      <c r="N224" s="227"/>
      <c r="O224" s="227"/>
      <c r="P224" s="227"/>
      <c r="Q224" s="227"/>
    </row>
    <row r="225" spans="13:17" x14ac:dyDescent="0.2">
      <c r="M225" s="227"/>
      <c r="N225" s="227"/>
      <c r="O225" s="227"/>
      <c r="P225" s="227"/>
      <c r="Q225" s="227"/>
    </row>
    <row r="226" spans="13:17" x14ac:dyDescent="0.2">
      <c r="M226" s="227"/>
      <c r="N226" s="227"/>
      <c r="O226" s="227"/>
      <c r="P226" s="227"/>
      <c r="Q226" s="227"/>
    </row>
    <row r="227" spans="13:17" x14ac:dyDescent="0.2">
      <c r="M227" s="227"/>
      <c r="N227" s="227"/>
      <c r="O227" s="227"/>
      <c r="P227" s="227"/>
      <c r="Q227" s="227"/>
    </row>
    <row r="228" spans="13:17" x14ac:dyDescent="0.2">
      <c r="M228" s="227"/>
      <c r="N228" s="227"/>
      <c r="O228" s="227"/>
      <c r="P228" s="227"/>
      <c r="Q228" s="227"/>
    </row>
    <row r="229" spans="13:17" x14ac:dyDescent="0.2">
      <c r="M229" s="227"/>
      <c r="N229" s="227"/>
      <c r="O229" s="227"/>
      <c r="P229" s="227"/>
      <c r="Q229" s="227"/>
    </row>
    <row r="230" spans="13:17" x14ac:dyDescent="0.2">
      <c r="M230" s="227"/>
      <c r="N230" s="227"/>
      <c r="O230" s="227"/>
      <c r="P230" s="227"/>
      <c r="Q230" s="227"/>
    </row>
    <row r="231" spans="13:17" x14ac:dyDescent="0.2">
      <c r="M231" s="227"/>
      <c r="N231" s="227"/>
      <c r="O231" s="227"/>
      <c r="P231" s="227"/>
      <c r="Q231" s="227"/>
    </row>
    <row r="232" spans="13:17" x14ac:dyDescent="0.2">
      <c r="M232" s="227"/>
      <c r="N232" s="227"/>
      <c r="O232" s="227"/>
      <c r="P232" s="227"/>
      <c r="Q232" s="227"/>
    </row>
    <row r="233" spans="13:17" x14ac:dyDescent="0.2">
      <c r="M233" s="227"/>
      <c r="N233" s="227"/>
      <c r="O233" s="227"/>
      <c r="P233" s="227"/>
      <c r="Q233" s="227"/>
    </row>
    <row r="234" spans="13:17" x14ac:dyDescent="0.2">
      <c r="M234" s="227"/>
      <c r="N234" s="227"/>
      <c r="O234" s="227"/>
      <c r="P234" s="227"/>
      <c r="Q234" s="227"/>
    </row>
    <row r="235" spans="13:17" x14ac:dyDescent="0.2">
      <c r="M235" s="227"/>
      <c r="N235" s="227"/>
      <c r="O235" s="227"/>
      <c r="P235" s="227"/>
      <c r="Q235" s="227"/>
    </row>
    <row r="236" spans="13:17" x14ac:dyDescent="0.2">
      <c r="M236" s="227"/>
      <c r="N236" s="227"/>
      <c r="O236" s="227"/>
      <c r="P236" s="227"/>
      <c r="Q236" s="227"/>
    </row>
    <row r="237" spans="13:17" x14ac:dyDescent="0.2">
      <c r="M237" s="227"/>
      <c r="N237" s="227"/>
      <c r="O237" s="227"/>
      <c r="P237" s="227"/>
      <c r="Q237" s="227"/>
    </row>
    <row r="238" spans="13:17" x14ac:dyDescent="0.2">
      <c r="M238" s="227"/>
      <c r="N238" s="227"/>
      <c r="O238" s="227"/>
      <c r="P238" s="227"/>
      <c r="Q238" s="227"/>
    </row>
    <row r="239" spans="13:17" x14ac:dyDescent="0.2">
      <c r="M239" s="227"/>
      <c r="N239" s="227"/>
      <c r="O239" s="227"/>
      <c r="P239" s="227"/>
      <c r="Q239" s="227"/>
    </row>
    <row r="240" spans="13:17" x14ac:dyDescent="0.2">
      <c r="M240" s="227"/>
      <c r="N240" s="227"/>
      <c r="O240" s="227"/>
      <c r="P240" s="227"/>
      <c r="Q240" s="227"/>
    </row>
    <row r="241" spans="13:17" x14ac:dyDescent="0.2">
      <c r="M241" s="227"/>
      <c r="N241" s="227"/>
      <c r="O241" s="227"/>
      <c r="P241" s="227"/>
      <c r="Q241" s="227"/>
    </row>
    <row r="242" spans="13:17" x14ac:dyDescent="0.2">
      <c r="M242" s="227"/>
      <c r="N242" s="227"/>
      <c r="O242" s="227"/>
      <c r="P242" s="227"/>
      <c r="Q242" s="227"/>
    </row>
    <row r="243" spans="13:17" x14ac:dyDescent="0.2">
      <c r="M243" s="227"/>
      <c r="N243" s="227"/>
      <c r="O243" s="227"/>
      <c r="P243" s="227"/>
      <c r="Q243" s="227"/>
    </row>
    <row r="244" spans="13:17" x14ac:dyDescent="0.2">
      <c r="M244" s="227"/>
      <c r="N244" s="227"/>
      <c r="O244" s="227"/>
      <c r="P244" s="227"/>
      <c r="Q244" s="227"/>
    </row>
    <row r="245" spans="13:17" x14ac:dyDescent="0.2">
      <c r="M245" s="227"/>
      <c r="N245" s="227"/>
      <c r="O245" s="227"/>
      <c r="P245" s="227"/>
      <c r="Q245" s="227"/>
    </row>
    <row r="246" spans="13:17" x14ac:dyDescent="0.2">
      <c r="M246" s="227"/>
      <c r="N246" s="227"/>
      <c r="O246" s="227"/>
      <c r="P246" s="227"/>
      <c r="Q246" s="227"/>
    </row>
    <row r="247" spans="13:17" x14ac:dyDescent="0.2">
      <c r="M247" s="227"/>
      <c r="N247" s="227"/>
      <c r="O247" s="227"/>
      <c r="P247" s="227"/>
      <c r="Q247" s="227"/>
    </row>
    <row r="248" spans="13:17" x14ac:dyDescent="0.2">
      <c r="M248" s="227"/>
      <c r="N248" s="227"/>
      <c r="O248" s="227"/>
      <c r="P248" s="227"/>
      <c r="Q248" s="227"/>
    </row>
    <row r="249" spans="13:17" x14ac:dyDescent="0.2">
      <c r="M249" s="227"/>
      <c r="N249" s="227"/>
      <c r="O249" s="227"/>
      <c r="P249" s="227"/>
      <c r="Q249" s="227"/>
    </row>
    <row r="250" spans="13:17" x14ac:dyDescent="0.2">
      <c r="M250" s="227"/>
      <c r="N250" s="227"/>
      <c r="O250" s="227"/>
      <c r="P250" s="227"/>
      <c r="Q250" s="227"/>
    </row>
    <row r="251" spans="13:17" x14ac:dyDescent="0.2">
      <c r="M251" s="227"/>
      <c r="N251" s="227"/>
      <c r="O251" s="227"/>
      <c r="P251" s="227"/>
      <c r="Q251" s="227"/>
    </row>
    <row r="252" spans="13:17" x14ac:dyDescent="0.2">
      <c r="M252" s="227"/>
      <c r="N252" s="227"/>
      <c r="O252" s="227"/>
      <c r="P252" s="227"/>
      <c r="Q252" s="227"/>
    </row>
    <row r="253" spans="13:17" x14ac:dyDescent="0.2">
      <c r="M253" s="227"/>
      <c r="N253" s="227"/>
      <c r="O253" s="227"/>
      <c r="P253" s="227"/>
      <c r="Q253" s="227"/>
    </row>
    <row r="254" spans="13:17" x14ac:dyDescent="0.2">
      <c r="M254" s="227"/>
      <c r="N254" s="227"/>
      <c r="O254" s="227"/>
      <c r="P254" s="227"/>
      <c r="Q254" s="227"/>
    </row>
    <row r="255" spans="13:17" x14ac:dyDescent="0.2">
      <c r="M255" s="227"/>
      <c r="N255" s="227"/>
      <c r="O255" s="227"/>
      <c r="P255" s="227"/>
      <c r="Q255" s="227"/>
    </row>
    <row r="256" spans="13:17" x14ac:dyDescent="0.2">
      <c r="M256" s="227"/>
      <c r="N256" s="227"/>
      <c r="O256" s="227"/>
      <c r="P256" s="227"/>
      <c r="Q256" s="227"/>
    </row>
    <row r="257" spans="13:17" x14ac:dyDescent="0.2">
      <c r="M257" s="227"/>
      <c r="N257" s="227"/>
      <c r="O257" s="227"/>
      <c r="P257" s="227"/>
      <c r="Q257" s="227"/>
    </row>
    <row r="258" spans="13:17" x14ac:dyDescent="0.2">
      <c r="M258" s="227"/>
      <c r="N258" s="227"/>
      <c r="O258" s="227"/>
      <c r="P258" s="227"/>
      <c r="Q258" s="227"/>
    </row>
    <row r="259" spans="13:17" x14ac:dyDescent="0.2">
      <c r="M259" s="227"/>
      <c r="N259" s="227"/>
      <c r="O259" s="227"/>
      <c r="P259" s="227"/>
      <c r="Q259" s="227"/>
    </row>
    <row r="260" spans="13:17" x14ac:dyDescent="0.2">
      <c r="M260" s="227"/>
      <c r="N260" s="227"/>
      <c r="O260" s="227"/>
      <c r="P260" s="227"/>
      <c r="Q260" s="227"/>
    </row>
    <row r="261" spans="13:17" x14ac:dyDescent="0.2">
      <c r="M261" s="227"/>
      <c r="N261" s="227"/>
      <c r="O261" s="227"/>
      <c r="P261" s="227"/>
      <c r="Q261" s="227"/>
    </row>
    <row r="262" spans="13:17" x14ac:dyDescent="0.2">
      <c r="M262" s="227"/>
      <c r="N262" s="227"/>
      <c r="O262" s="227"/>
      <c r="P262" s="227"/>
      <c r="Q262" s="227"/>
    </row>
    <row r="263" spans="13:17" x14ac:dyDescent="0.2">
      <c r="M263" s="227"/>
      <c r="N263" s="227"/>
      <c r="O263" s="227"/>
      <c r="P263" s="227"/>
      <c r="Q263" s="227"/>
    </row>
    <row r="264" spans="13:17" x14ac:dyDescent="0.2">
      <c r="M264" s="227"/>
      <c r="N264" s="227"/>
      <c r="O264" s="227"/>
      <c r="P264" s="227"/>
      <c r="Q264" s="227"/>
    </row>
    <row r="265" spans="13:17" x14ac:dyDescent="0.2">
      <c r="M265" s="227"/>
      <c r="N265" s="227"/>
      <c r="O265" s="227"/>
      <c r="P265" s="227"/>
      <c r="Q265" s="227"/>
    </row>
    <row r="266" spans="13:17" x14ac:dyDescent="0.2">
      <c r="M266" s="227"/>
      <c r="N266" s="227"/>
      <c r="O266" s="227"/>
      <c r="P266" s="227"/>
      <c r="Q266" s="227"/>
    </row>
    <row r="267" spans="13:17" x14ac:dyDescent="0.2">
      <c r="M267" s="227"/>
      <c r="N267" s="227"/>
      <c r="O267" s="227"/>
      <c r="P267" s="227"/>
      <c r="Q267" s="227"/>
    </row>
    <row r="268" spans="13:17" x14ac:dyDescent="0.2">
      <c r="M268" s="227"/>
      <c r="N268" s="227"/>
      <c r="O268" s="227"/>
      <c r="P268" s="227"/>
      <c r="Q268" s="227"/>
    </row>
    <row r="269" spans="13:17" x14ac:dyDescent="0.2">
      <c r="M269" s="227"/>
      <c r="N269" s="227"/>
      <c r="O269" s="227"/>
      <c r="P269" s="227"/>
      <c r="Q269" s="227"/>
    </row>
    <row r="270" spans="13:17" x14ac:dyDescent="0.2">
      <c r="M270" s="227"/>
      <c r="N270" s="227"/>
      <c r="O270" s="227"/>
      <c r="P270" s="227"/>
      <c r="Q270" s="227"/>
    </row>
    <row r="271" spans="13:17" x14ac:dyDescent="0.2">
      <c r="M271" s="227"/>
      <c r="N271" s="227"/>
      <c r="O271" s="227"/>
      <c r="P271" s="227"/>
      <c r="Q271" s="227"/>
    </row>
    <row r="272" spans="13:17" x14ac:dyDescent="0.2">
      <c r="M272" s="227"/>
      <c r="N272" s="227"/>
      <c r="O272" s="227"/>
      <c r="P272" s="227"/>
      <c r="Q272" s="227"/>
    </row>
    <row r="273" spans="13:17" x14ac:dyDescent="0.2">
      <c r="M273" s="227"/>
      <c r="N273" s="227"/>
      <c r="O273" s="227"/>
      <c r="P273" s="227"/>
      <c r="Q273" s="227"/>
    </row>
    <row r="274" spans="13:17" x14ac:dyDescent="0.2">
      <c r="M274" s="227"/>
      <c r="N274" s="227"/>
      <c r="O274" s="227"/>
      <c r="P274" s="227"/>
      <c r="Q274" s="227"/>
    </row>
    <row r="275" spans="13:17" x14ac:dyDescent="0.2">
      <c r="M275" s="227"/>
      <c r="N275" s="227"/>
      <c r="O275" s="227"/>
      <c r="P275" s="227"/>
      <c r="Q275" s="227"/>
    </row>
    <row r="276" spans="13:17" x14ac:dyDescent="0.2">
      <c r="M276" s="227"/>
      <c r="N276" s="227"/>
      <c r="O276" s="227"/>
      <c r="P276" s="227"/>
      <c r="Q276" s="227"/>
    </row>
    <row r="277" spans="13:17" x14ac:dyDescent="0.2">
      <c r="M277" s="227"/>
      <c r="N277" s="227"/>
      <c r="O277" s="227"/>
      <c r="P277" s="227"/>
      <c r="Q277" s="227"/>
    </row>
    <row r="278" spans="13:17" x14ac:dyDescent="0.2">
      <c r="M278" s="227"/>
      <c r="N278" s="227"/>
      <c r="O278" s="227"/>
      <c r="P278" s="227"/>
      <c r="Q278" s="227"/>
    </row>
    <row r="279" spans="13:17" x14ac:dyDescent="0.2">
      <c r="M279" s="227"/>
      <c r="N279" s="227"/>
      <c r="O279" s="227"/>
      <c r="P279" s="227"/>
      <c r="Q279" s="227"/>
    </row>
    <row r="280" spans="13:17" x14ac:dyDescent="0.2">
      <c r="M280" s="227"/>
      <c r="N280" s="227"/>
      <c r="O280" s="227"/>
      <c r="P280" s="227"/>
      <c r="Q280" s="227"/>
    </row>
    <row r="281" spans="13:17" x14ac:dyDescent="0.2">
      <c r="M281" s="227"/>
      <c r="N281" s="227"/>
      <c r="O281" s="227"/>
      <c r="P281" s="227"/>
      <c r="Q281" s="227"/>
    </row>
    <row r="282" spans="13:17" x14ac:dyDescent="0.2">
      <c r="M282" s="227"/>
      <c r="N282" s="227"/>
      <c r="O282" s="227"/>
      <c r="P282" s="227"/>
      <c r="Q282" s="227"/>
    </row>
    <row r="283" spans="13:17" x14ac:dyDescent="0.2">
      <c r="M283" s="227"/>
      <c r="N283" s="227"/>
      <c r="O283" s="227"/>
      <c r="P283" s="227"/>
      <c r="Q283" s="227"/>
    </row>
    <row r="284" spans="13:17" x14ac:dyDescent="0.2">
      <c r="M284" s="227"/>
      <c r="N284" s="227"/>
      <c r="O284" s="227"/>
      <c r="P284" s="227"/>
      <c r="Q284" s="227"/>
    </row>
    <row r="285" spans="13:17" x14ac:dyDescent="0.2">
      <c r="M285" s="227"/>
      <c r="N285" s="227"/>
      <c r="O285" s="227"/>
      <c r="P285" s="227"/>
      <c r="Q285" s="227"/>
    </row>
    <row r="286" spans="13:17" x14ac:dyDescent="0.2">
      <c r="M286" s="227"/>
      <c r="N286" s="227"/>
      <c r="O286" s="227"/>
      <c r="P286" s="227"/>
      <c r="Q286" s="227"/>
    </row>
    <row r="287" spans="13:17" x14ac:dyDescent="0.2">
      <c r="M287" s="227"/>
      <c r="N287" s="227"/>
      <c r="O287" s="227"/>
      <c r="P287" s="227"/>
      <c r="Q287" s="227"/>
    </row>
    <row r="288" spans="13:17" x14ac:dyDescent="0.2">
      <c r="M288" s="227"/>
      <c r="N288" s="227"/>
      <c r="O288" s="227"/>
      <c r="P288" s="227"/>
      <c r="Q288" s="227"/>
    </row>
    <row r="289" spans="13:17" x14ac:dyDescent="0.2">
      <c r="M289" s="227"/>
      <c r="N289" s="227"/>
      <c r="O289" s="227"/>
      <c r="P289" s="227"/>
      <c r="Q289" s="227"/>
    </row>
    <row r="290" spans="13:17" x14ac:dyDescent="0.2">
      <c r="M290" s="227"/>
      <c r="N290" s="227"/>
      <c r="O290" s="227"/>
      <c r="P290" s="227"/>
      <c r="Q290" s="227"/>
    </row>
    <row r="291" spans="13:17" x14ac:dyDescent="0.2">
      <c r="M291" s="227"/>
      <c r="N291" s="227"/>
      <c r="O291" s="227"/>
      <c r="P291" s="227"/>
      <c r="Q291" s="227"/>
    </row>
    <row r="292" spans="13:17" x14ac:dyDescent="0.2">
      <c r="M292" s="227"/>
      <c r="N292" s="227"/>
      <c r="O292" s="227"/>
      <c r="P292" s="227"/>
      <c r="Q292" s="227"/>
    </row>
    <row r="293" spans="13:17" x14ac:dyDescent="0.2">
      <c r="M293" s="227"/>
      <c r="N293" s="227"/>
      <c r="O293" s="227"/>
      <c r="P293" s="227"/>
      <c r="Q293" s="227"/>
    </row>
    <row r="294" spans="13:17" x14ac:dyDescent="0.2">
      <c r="M294" s="227"/>
      <c r="N294" s="227"/>
      <c r="O294" s="227"/>
      <c r="P294" s="227"/>
      <c r="Q294" s="227"/>
    </row>
    <row r="295" spans="13:17" x14ac:dyDescent="0.2">
      <c r="M295" s="227"/>
      <c r="N295" s="227"/>
      <c r="O295" s="227"/>
      <c r="P295" s="227"/>
      <c r="Q295" s="227"/>
    </row>
    <row r="296" spans="13:17" x14ac:dyDescent="0.2">
      <c r="M296" s="227"/>
      <c r="N296" s="227"/>
      <c r="O296" s="227"/>
      <c r="P296" s="227"/>
      <c r="Q296" s="227"/>
    </row>
    <row r="297" spans="13:17" x14ac:dyDescent="0.2">
      <c r="M297" s="227"/>
      <c r="N297" s="227"/>
      <c r="O297" s="227"/>
      <c r="P297" s="227"/>
      <c r="Q297" s="227"/>
    </row>
    <row r="298" spans="13:17" x14ac:dyDescent="0.2">
      <c r="M298" s="227"/>
      <c r="N298" s="227"/>
      <c r="O298" s="227"/>
      <c r="P298" s="227"/>
      <c r="Q298" s="227"/>
    </row>
    <row r="299" spans="13:17" x14ac:dyDescent="0.2">
      <c r="M299" s="227"/>
      <c r="N299" s="227"/>
      <c r="O299" s="227"/>
      <c r="P299" s="227"/>
      <c r="Q299" s="227"/>
    </row>
    <row r="300" spans="13:17" x14ac:dyDescent="0.2">
      <c r="M300" s="227"/>
      <c r="N300" s="227"/>
      <c r="O300" s="227"/>
      <c r="P300" s="227"/>
      <c r="Q300" s="227"/>
    </row>
    <row r="301" spans="13:17" x14ac:dyDescent="0.2">
      <c r="M301" s="227"/>
      <c r="N301" s="227"/>
      <c r="O301" s="227"/>
      <c r="P301" s="227"/>
      <c r="Q301" s="227"/>
    </row>
    <row r="302" spans="13:17" x14ac:dyDescent="0.2">
      <c r="M302" s="227"/>
      <c r="N302" s="227"/>
      <c r="O302" s="227"/>
      <c r="P302" s="227"/>
      <c r="Q302" s="227"/>
    </row>
    <row r="303" spans="13:17" x14ac:dyDescent="0.2">
      <c r="M303" s="227"/>
      <c r="N303" s="227"/>
      <c r="O303" s="227"/>
      <c r="P303" s="227"/>
      <c r="Q303" s="227"/>
    </row>
    <row r="304" spans="13:17" x14ac:dyDescent="0.2">
      <c r="M304" s="227"/>
      <c r="N304" s="227"/>
      <c r="O304" s="227"/>
      <c r="P304" s="227"/>
      <c r="Q304" s="227"/>
    </row>
    <row r="305" spans="13:17" x14ac:dyDescent="0.2">
      <c r="M305" s="227"/>
      <c r="N305" s="227"/>
      <c r="O305" s="227"/>
      <c r="P305" s="227"/>
      <c r="Q305" s="227"/>
    </row>
    <row r="306" spans="13:17" x14ac:dyDescent="0.2">
      <c r="M306" s="227"/>
      <c r="N306" s="227"/>
      <c r="O306" s="227"/>
      <c r="P306" s="227"/>
      <c r="Q306" s="227"/>
    </row>
    <row r="307" spans="13:17" x14ac:dyDescent="0.2">
      <c r="M307" s="227"/>
      <c r="N307" s="227"/>
      <c r="O307" s="227"/>
      <c r="P307" s="227"/>
      <c r="Q307" s="227"/>
    </row>
    <row r="308" spans="13:17" x14ac:dyDescent="0.2">
      <c r="M308" s="227"/>
      <c r="N308" s="227"/>
      <c r="O308" s="227"/>
      <c r="P308" s="227"/>
      <c r="Q308" s="227"/>
    </row>
    <row r="309" spans="13:17" x14ac:dyDescent="0.2">
      <c r="M309" s="227"/>
      <c r="N309" s="227"/>
      <c r="O309" s="227"/>
      <c r="P309" s="227"/>
      <c r="Q309" s="227"/>
    </row>
    <row r="310" spans="13:17" x14ac:dyDescent="0.2">
      <c r="M310" s="227"/>
      <c r="N310" s="227"/>
      <c r="O310" s="227"/>
      <c r="P310" s="227"/>
      <c r="Q310" s="227"/>
    </row>
    <row r="311" spans="13:17" x14ac:dyDescent="0.2">
      <c r="M311" s="227"/>
      <c r="N311" s="227"/>
      <c r="O311" s="227"/>
      <c r="P311" s="227"/>
      <c r="Q311" s="227"/>
    </row>
    <row r="312" spans="13:17" x14ac:dyDescent="0.2">
      <c r="M312" s="227"/>
      <c r="N312" s="227"/>
      <c r="O312" s="227"/>
      <c r="P312" s="227"/>
      <c r="Q312" s="227"/>
    </row>
    <row r="313" spans="13:17" x14ac:dyDescent="0.2">
      <c r="M313" s="227"/>
      <c r="N313" s="227"/>
      <c r="O313" s="227"/>
      <c r="P313" s="227"/>
      <c r="Q313" s="227"/>
    </row>
    <row r="314" spans="13:17" x14ac:dyDescent="0.2">
      <c r="M314" s="227"/>
      <c r="N314" s="227"/>
      <c r="O314" s="227"/>
      <c r="P314" s="227"/>
      <c r="Q314" s="227"/>
    </row>
    <row r="315" spans="13:17" x14ac:dyDescent="0.2">
      <c r="M315" s="227"/>
      <c r="N315" s="227"/>
      <c r="O315" s="227"/>
      <c r="P315" s="227"/>
      <c r="Q315" s="227"/>
    </row>
    <row r="316" spans="13:17" x14ac:dyDescent="0.2">
      <c r="M316" s="227"/>
      <c r="N316" s="227"/>
      <c r="O316" s="227"/>
      <c r="P316" s="227"/>
      <c r="Q316" s="227"/>
    </row>
    <row r="317" spans="13:17" x14ac:dyDescent="0.2">
      <c r="M317" s="227"/>
      <c r="N317" s="227"/>
      <c r="O317" s="227"/>
      <c r="P317" s="227"/>
      <c r="Q317" s="227"/>
    </row>
    <row r="318" spans="13:17" x14ac:dyDescent="0.2">
      <c r="M318" s="227"/>
      <c r="N318" s="227"/>
      <c r="O318" s="227"/>
      <c r="P318" s="227"/>
      <c r="Q318" s="227"/>
    </row>
    <row r="319" spans="13:17" x14ac:dyDescent="0.2">
      <c r="M319" s="227"/>
      <c r="N319" s="227"/>
      <c r="O319" s="227"/>
      <c r="P319" s="227"/>
      <c r="Q319" s="227"/>
    </row>
    <row r="320" spans="13:17" x14ac:dyDescent="0.2">
      <c r="M320" s="227"/>
      <c r="N320" s="227"/>
      <c r="O320" s="227"/>
      <c r="P320" s="227"/>
      <c r="Q320" s="227"/>
    </row>
    <row r="321" spans="13:17" x14ac:dyDescent="0.2">
      <c r="M321" s="227"/>
      <c r="N321" s="227"/>
      <c r="O321" s="227"/>
      <c r="P321" s="227"/>
      <c r="Q321" s="227"/>
    </row>
    <row r="322" spans="13:17" x14ac:dyDescent="0.2">
      <c r="M322" s="227"/>
      <c r="N322" s="227"/>
      <c r="O322" s="227"/>
      <c r="P322" s="227"/>
      <c r="Q322" s="227"/>
    </row>
    <row r="323" spans="13:17" x14ac:dyDescent="0.2">
      <c r="M323" s="227"/>
      <c r="N323" s="227"/>
      <c r="O323" s="227"/>
      <c r="P323" s="227"/>
      <c r="Q323" s="227"/>
    </row>
    <row r="324" spans="13:17" x14ac:dyDescent="0.2">
      <c r="M324" s="227"/>
      <c r="N324" s="227"/>
      <c r="O324" s="227"/>
      <c r="P324" s="227"/>
      <c r="Q324" s="227"/>
    </row>
    <row r="325" spans="13:17" x14ac:dyDescent="0.2">
      <c r="M325" s="227"/>
      <c r="N325" s="227"/>
      <c r="O325" s="227"/>
      <c r="P325" s="227"/>
      <c r="Q325" s="227"/>
    </row>
    <row r="326" spans="13:17" x14ac:dyDescent="0.2">
      <c r="M326" s="227"/>
      <c r="N326" s="227"/>
      <c r="O326" s="227"/>
      <c r="P326" s="227"/>
      <c r="Q326" s="227"/>
    </row>
    <row r="327" spans="13:17" x14ac:dyDescent="0.2">
      <c r="M327" s="227"/>
      <c r="N327" s="227"/>
      <c r="O327" s="227"/>
      <c r="P327" s="227"/>
      <c r="Q327" s="227"/>
    </row>
    <row r="328" spans="13:17" x14ac:dyDescent="0.2">
      <c r="M328" s="227"/>
      <c r="N328" s="227"/>
      <c r="O328" s="227"/>
      <c r="P328" s="227"/>
      <c r="Q328" s="227"/>
    </row>
    <row r="329" spans="13:17" x14ac:dyDescent="0.2">
      <c r="M329" s="227"/>
      <c r="N329" s="227"/>
      <c r="O329" s="227"/>
      <c r="P329" s="227"/>
      <c r="Q329" s="227"/>
    </row>
    <row r="330" spans="13:17" x14ac:dyDescent="0.2">
      <c r="M330" s="227"/>
      <c r="N330" s="227"/>
      <c r="O330" s="227"/>
      <c r="P330" s="227"/>
      <c r="Q330" s="227"/>
    </row>
    <row r="331" spans="13:17" x14ac:dyDescent="0.2">
      <c r="M331" s="227"/>
      <c r="N331" s="227"/>
      <c r="O331" s="227"/>
      <c r="P331" s="227"/>
      <c r="Q331" s="227"/>
    </row>
    <row r="332" spans="13:17" x14ac:dyDescent="0.2">
      <c r="M332" s="227"/>
      <c r="N332" s="227"/>
      <c r="O332" s="227"/>
      <c r="P332" s="227"/>
      <c r="Q332" s="227"/>
    </row>
    <row r="333" spans="13:17" x14ac:dyDescent="0.2">
      <c r="M333" s="227"/>
      <c r="N333" s="227"/>
      <c r="O333" s="227"/>
      <c r="P333" s="227"/>
      <c r="Q333" s="227"/>
    </row>
    <row r="334" spans="13:17" x14ac:dyDescent="0.2">
      <c r="M334" s="227"/>
      <c r="N334" s="227"/>
      <c r="O334" s="227"/>
      <c r="P334" s="227"/>
      <c r="Q334" s="227"/>
    </row>
    <row r="335" spans="13:17" x14ac:dyDescent="0.2">
      <c r="M335" s="227"/>
      <c r="N335" s="227"/>
      <c r="O335" s="227"/>
      <c r="P335" s="227"/>
      <c r="Q335" s="227"/>
    </row>
    <row r="336" spans="13:17" x14ac:dyDescent="0.2">
      <c r="M336" s="227"/>
      <c r="N336" s="227"/>
      <c r="O336" s="227"/>
      <c r="P336" s="227"/>
      <c r="Q336" s="227"/>
    </row>
    <row r="337" spans="13:17" x14ac:dyDescent="0.2">
      <c r="M337" s="227"/>
      <c r="N337" s="227"/>
      <c r="O337" s="227"/>
      <c r="P337" s="227"/>
      <c r="Q337" s="227"/>
    </row>
    <row r="338" spans="13:17" x14ac:dyDescent="0.2">
      <c r="M338" s="227"/>
      <c r="N338" s="227"/>
      <c r="O338" s="227"/>
      <c r="P338" s="227"/>
      <c r="Q338" s="227"/>
    </row>
    <row r="339" spans="13:17" x14ac:dyDescent="0.2">
      <c r="M339" s="227"/>
      <c r="N339" s="227"/>
      <c r="O339" s="227"/>
      <c r="P339" s="227"/>
      <c r="Q339" s="227"/>
    </row>
    <row r="340" spans="13:17" x14ac:dyDescent="0.2">
      <c r="M340" s="227"/>
      <c r="N340" s="227"/>
      <c r="O340" s="227"/>
      <c r="P340" s="227"/>
      <c r="Q340" s="227"/>
    </row>
    <row r="341" spans="13:17" x14ac:dyDescent="0.2">
      <c r="M341" s="227"/>
      <c r="N341" s="227"/>
      <c r="O341" s="227"/>
      <c r="P341" s="227"/>
      <c r="Q341" s="227"/>
    </row>
    <row r="342" spans="13:17" x14ac:dyDescent="0.2">
      <c r="M342" s="227"/>
      <c r="N342" s="227"/>
      <c r="O342" s="227"/>
      <c r="P342" s="227"/>
      <c r="Q342" s="227"/>
    </row>
    <row r="343" spans="13:17" x14ac:dyDescent="0.2">
      <c r="M343" s="227"/>
      <c r="N343" s="227"/>
      <c r="O343" s="227"/>
      <c r="P343" s="227"/>
      <c r="Q343" s="227"/>
    </row>
    <row r="344" spans="13:17" x14ac:dyDescent="0.2">
      <c r="M344" s="227"/>
      <c r="N344" s="227"/>
      <c r="O344" s="227"/>
      <c r="P344" s="227"/>
      <c r="Q344" s="227"/>
    </row>
    <row r="345" spans="13:17" x14ac:dyDescent="0.2">
      <c r="M345" s="227"/>
      <c r="N345" s="227"/>
      <c r="O345" s="227"/>
      <c r="P345" s="227"/>
      <c r="Q345" s="227"/>
    </row>
    <row r="346" spans="13:17" x14ac:dyDescent="0.2">
      <c r="M346" s="227"/>
      <c r="N346" s="227"/>
      <c r="O346" s="227"/>
      <c r="P346" s="227"/>
      <c r="Q346" s="227"/>
    </row>
    <row r="347" spans="13:17" x14ac:dyDescent="0.2">
      <c r="M347" s="227"/>
      <c r="N347" s="227"/>
      <c r="O347" s="227"/>
      <c r="P347" s="227"/>
      <c r="Q347" s="227"/>
    </row>
    <row r="348" spans="13:17" x14ac:dyDescent="0.2">
      <c r="M348" s="227"/>
      <c r="N348" s="227"/>
      <c r="O348" s="227"/>
      <c r="P348" s="227"/>
      <c r="Q348" s="227"/>
    </row>
    <row r="349" spans="13:17" x14ac:dyDescent="0.2">
      <c r="M349" s="227"/>
      <c r="N349" s="227"/>
      <c r="O349" s="227"/>
      <c r="P349" s="227"/>
      <c r="Q349" s="227"/>
    </row>
    <row r="350" spans="13:17" x14ac:dyDescent="0.2">
      <c r="M350" s="227"/>
      <c r="N350" s="227"/>
      <c r="O350" s="227"/>
      <c r="P350" s="227"/>
      <c r="Q350" s="227"/>
    </row>
    <row r="351" spans="13:17" x14ac:dyDescent="0.2">
      <c r="M351" s="227"/>
      <c r="N351" s="227"/>
      <c r="O351" s="227"/>
      <c r="P351" s="227"/>
      <c r="Q351" s="227"/>
    </row>
    <row r="352" spans="13:17" x14ac:dyDescent="0.2">
      <c r="M352" s="227"/>
      <c r="N352" s="227"/>
      <c r="O352" s="227"/>
      <c r="P352" s="227"/>
      <c r="Q352" s="227"/>
    </row>
    <row r="353" spans="13:17" x14ac:dyDescent="0.2">
      <c r="M353" s="227"/>
      <c r="N353" s="227"/>
      <c r="O353" s="227"/>
      <c r="P353" s="227"/>
      <c r="Q353" s="227"/>
    </row>
    <row r="354" spans="13:17" x14ac:dyDescent="0.2">
      <c r="M354" s="227"/>
      <c r="N354" s="227"/>
      <c r="O354" s="227"/>
      <c r="P354" s="227"/>
      <c r="Q354" s="227"/>
    </row>
    <row r="355" spans="13:17" x14ac:dyDescent="0.2">
      <c r="M355" s="227"/>
      <c r="N355" s="227"/>
      <c r="O355" s="227"/>
      <c r="P355" s="227"/>
      <c r="Q355" s="227"/>
    </row>
    <row r="356" spans="13:17" x14ac:dyDescent="0.2">
      <c r="M356" s="227"/>
      <c r="N356" s="227"/>
      <c r="O356" s="227"/>
      <c r="P356" s="227"/>
      <c r="Q356" s="227"/>
    </row>
    <row r="357" spans="13:17" x14ac:dyDescent="0.2">
      <c r="M357" s="227"/>
      <c r="N357" s="227"/>
      <c r="O357" s="227"/>
      <c r="P357" s="227"/>
      <c r="Q357" s="227"/>
    </row>
    <row r="358" spans="13:17" x14ac:dyDescent="0.2">
      <c r="M358" s="227"/>
      <c r="N358" s="227"/>
      <c r="O358" s="227"/>
      <c r="P358" s="227"/>
      <c r="Q358" s="227"/>
    </row>
    <row r="359" spans="13:17" x14ac:dyDescent="0.2">
      <c r="M359" s="227"/>
      <c r="N359" s="227"/>
      <c r="O359" s="227"/>
      <c r="P359" s="227"/>
      <c r="Q359" s="227"/>
    </row>
    <row r="360" spans="13:17" x14ac:dyDescent="0.2">
      <c r="M360" s="227"/>
      <c r="N360" s="227"/>
      <c r="O360" s="227"/>
      <c r="P360" s="227"/>
      <c r="Q360" s="227"/>
    </row>
    <row r="361" spans="13:17" x14ac:dyDescent="0.2">
      <c r="M361" s="227"/>
      <c r="N361" s="227"/>
      <c r="O361" s="227"/>
      <c r="P361" s="227"/>
      <c r="Q361" s="227"/>
    </row>
    <row r="362" spans="13:17" x14ac:dyDescent="0.2">
      <c r="M362" s="227"/>
      <c r="N362" s="227"/>
      <c r="O362" s="227"/>
      <c r="P362" s="227"/>
      <c r="Q362" s="227"/>
    </row>
    <row r="363" spans="13:17" x14ac:dyDescent="0.2">
      <c r="M363" s="227"/>
      <c r="N363" s="227"/>
      <c r="O363" s="227"/>
      <c r="P363" s="227"/>
      <c r="Q363" s="227"/>
    </row>
    <row r="364" spans="13:17" x14ac:dyDescent="0.2">
      <c r="M364" s="227"/>
      <c r="N364" s="227"/>
      <c r="O364" s="227"/>
      <c r="P364" s="227"/>
      <c r="Q364" s="227"/>
    </row>
    <row r="365" spans="13:17" x14ac:dyDescent="0.2">
      <c r="M365" s="227"/>
      <c r="N365" s="227"/>
      <c r="O365" s="227"/>
      <c r="P365" s="227"/>
      <c r="Q365" s="227"/>
    </row>
    <row r="366" spans="13:17" x14ac:dyDescent="0.2">
      <c r="M366" s="227"/>
      <c r="N366" s="227"/>
      <c r="O366" s="227"/>
      <c r="P366" s="227"/>
      <c r="Q366" s="227"/>
    </row>
    <row r="367" spans="13:17" x14ac:dyDescent="0.2">
      <c r="M367" s="227"/>
      <c r="N367" s="227"/>
      <c r="O367" s="227"/>
      <c r="P367" s="227"/>
      <c r="Q367" s="227"/>
    </row>
    <row r="368" spans="13:17" x14ac:dyDescent="0.2">
      <c r="M368" s="227"/>
      <c r="N368" s="227"/>
      <c r="O368" s="227"/>
      <c r="P368" s="227"/>
      <c r="Q368" s="227"/>
    </row>
    <row r="369" spans="13:17" x14ac:dyDescent="0.2">
      <c r="M369" s="227"/>
      <c r="N369" s="227"/>
      <c r="O369" s="227"/>
      <c r="P369" s="227"/>
      <c r="Q369" s="227"/>
    </row>
    <row r="370" spans="13:17" x14ac:dyDescent="0.2">
      <c r="M370" s="227"/>
      <c r="N370" s="227"/>
      <c r="O370" s="227"/>
      <c r="P370" s="227"/>
      <c r="Q370" s="227"/>
    </row>
    <row r="371" spans="13:17" x14ac:dyDescent="0.2">
      <c r="M371" s="227"/>
      <c r="N371" s="227"/>
      <c r="O371" s="227"/>
      <c r="P371" s="227"/>
      <c r="Q371" s="227"/>
    </row>
    <row r="372" spans="13:17" x14ac:dyDescent="0.2">
      <c r="M372" s="227"/>
      <c r="N372" s="227"/>
      <c r="O372" s="227"/>
      <c r="P372" s="227"/>
      <c r="Q372" s="227"/>
    </row>
    <row r="373" spans="13:17" x14ac:dyDescent="0.2">
      <c r="M373" s="227"/>
      <c r="N373" s="227"/>
      <c r="O373" s="227"/>
      <c r="P373" s="227"/>
      <c r="Q373" s="227"/>
    </row>
    <row r="374" spans="13:17" x14ac:dyDescent="0.2">
      <c r="M374" s="227"/>
      <c r="N374" s="227"/>
      <c r="O374" s="227"/>
      <c r="P374" s="227"/>
      <c r="Q374" s="227"/>
    </row>
    <row r="375" spans="13:17" x14ac:dyDescent="0.2">
      <c r="M375" s="227"/>
      <c r="N375" s="227"/>
      <c r="O375" s="227"/>
      <c r="P375" s="227"/>
      <c r="Q375" s="227"/>
    </row>
    <row r="376" spans="13:17" x14ac:dyDescent="0.2">
      <c r="M376" s="227"/>
      <c r="N376" s="227"/>
      <c r="O376" s="227"/>
      <c r="P376" s="227"/>
      <c r="Q376" s="227"/>
    </row>
    <row r="377" spans="13:17" x14ac:dyDescent="0.2">
      <c r="M377" s="227"/>
      <c r="N377" s="227"/>
      <c r="O377" s="227"/>
      <c r="P377" s="227"/>
      <c r="Q377" s="227"/>
    </row>
    <row r="378" spans="13:17" x14ac:dyDescent="0.2">
      <c r="M378" s="227"/>
      <c r="N378" s="227"/>
      <c r="O378" s="227"/>
      <c r="P378" s="227"/>
      <c r="Q378" s="227"/>
    </row>
    <row r="379" spans="13:17" x14ac:dyDescent="0.2">
      <c r="M379" s="227"/>
      <c r="N379" s="227"/>
      <c r="O379" s="227"/>
      <c r="P379" s="227"/>
      <c r="Q379" s="227"/>
    </row>
    <row r="380" spans="13:17" x14ac:dyDescent="0.2">
      <c r="M380" s="227"/>
      <c r="N380" s="227"/>
      <c r="O380" s="227"/>
      <c r="P380" s="227"/>
      <c r="Q380" s="227"/>
    </row>
    <row r="381" spans="13:17" x14ac:dyDescent="0.2">
      <c r="M381" s="227"/>
      <c r="N381" s="227"/>
      <c r="O381" s="227"/>
      <c r="P381" s="227"/>
      <c r="Q381" s="227"/>
    </row>
    <row r="382" spans="13:17" x14ac:dyDescent="0.2">
      <c r="M382" s="227"/>
      <c r="N382" s="227"/>
      <c r="O382" s="227"/>
      <c r="P382" s="227"/>
      <c r="Q382" s="227"/>
    </row>
    <row r="383" spans="13:17" x14ac:dyDescent="0.2">
      <c r="M383" s="227"/>
      <c r="N383" s="227"/>
      <c r="O383" s="227"/>
      <c r="P383" s="227"/>
      <c r="Q383" s="227"/>
    </row>
    <row r="384" spans="13:17" x14ac:dyDescent="0.2">
      <c r="M384" s="227"/>
      <c r="N384" s="227"/>
      <c r="O384" s="227"/>
      <c r="P384" s="227"/>
      <c r="Q384" s="227"/>
    </row>
    <row r="385" spans="13:17" x14ac:dyDescent="0.2">
      <c r="M385" s="227"/>
      <c r="N385" s="227"/>
      <c r="O385" s="227"/>
      <c r="P385" s="227"/>
      <c r="Q385" s="227"/>
    </row>
    <row r="386" spans="13:17" x14ac:dyDescent="0.2">
      <c r="M386" s="227"/>
      <c r="N386" s="227"/>
      <c r="O386" s="227"/>
      <c r="P386" s="227"/>
      <c r="Q386" s="227"/>
    </row>
    <row r="387" spans="13:17" x14ac:dyDescent="0.2">
      <c r="M387" s="227"/>
      <c r="N387" s="227"/>
      <c r="O387" s="227"/>
      <c r="P387" s="227"/>
      <c r="Q387" s="227"/>
    </row>
    <row r="388" spans="13:17" x14ac:dyDescent="0.2">
      <c r="M388" s="227"/>
      <c r="N388" s="227"/>
      <c r="O388" s="227"/>
      <c r="P388" s="227"/>
      <c r="Q388" s="227"/>
    </row>
    <row r="389" spans="13:17" x14ac:dyDescent="0.2">
      <c r="M389" s="227"/>
      <c r="N389" s="227"/>
      <c r="O389" s="227"/>
      <c r="P389" s="227"/>
      <c r="Q389" s="227"/>
    </row>
    <row r="390" spans="13:17" x14ac:dyDescent="0.2">
      <c r="M390" s="227"/>
      <c r="N390" s="227"/>
      <c r="O390" s="227"/>
      <c r="P390" s="227"/>
      <c r="Q390" s="227"/>
    </row>
    <row r="391" spans="13:17" x14ac:dyDescent="0.2">
      <c r="M391" s="227"/>
      <c r="N391" s="227"/>
      <c r="O391" s="227"/>
      <c r="P391" s="227"/>
      <c r="Q391" s="227"/>
    </row>
    <row r="392" spans="13:17" x14ac:dyDescent="0.2">
      <c r="M392" s="227"/>
      <c r="N392" s="227"/>
      <c r="O392" s="227"/>
      <c r="P392" s="227"/>
      <c r="Q392" s="227"/>
    </row>
    <row r="393" spans="13:17" x14ac:dyDescent="0.2">
      <c r="M393" s="227"/>
      <c r="N393" s="227"/>
      <c r="O393" s="227"/>
      <c r="P393" s="227"/>
      <c r="Q393" s="227"/>
    </row>
    <row r="394" spans="13:17" x14ac:dyDescent="0.2">
      <c r="M394" s="227"/>
      <c r="N394" s="227"/>
      <c r="O394" s="227"/>
      <c r="P394" s="227"/>
      <c r="Q394" s="227"/>
    </row>
    <row r="395" spans="13:17" x14ac:dyDescent="0.2">
      <c r="M395" s="227"/>
      <c r="N395" s="227"/>
      <c r="O395" s="227"/>
      <c r="P395" s="227"/>
      <c r="Q395" s="227"/>
    </row>
    <row r="396" spans="13:17" x14ac:dyDescent="0.2">
      <c r="M396" s="227"/>
      <c r="N396" s="227"/>
      <c r="O396" s="227"/>
      <c r="P396" s="227"/>
      <c r="Q396" s="227"/>
    </row>
    <row r="397" spans="13:17" x14ac:dyDescent="0.2">
      <c r="M397" s="227"/>
      <c r="N397" s="227"/>
      <c r="O397" s="227"/>
      <c r="P397" s="227"/>
      <c r="Q397" s="227"/>
    </row>
    <row r="398" spans="13:17" x14ac:dyDescent="0.2">
      <c r="M398" s="227"/>
      <c r="N398" s="227"/>
      <c r="O398" s="227"/>
      <c r="P398" s="227"/>
      <c r="Q398" s="227"/>
    </row>
    <row r="399" spans="13:17" x14ac:dyDescent="0.2">
      <c r="M399" s="227"/>
      <c r="N399" s="227"/>
      <c r="O399" s="227"/>
      <c r="P399" s="227"/>
      <c r="Q399" s="227"/>
    </row>
    <row r="400" spans="13:17" x14ac:dyDescent="0.2">
      <c r="M400" s="227"/>
      <c r="N400" s="227"/>
      <c r="O400" s="227"/>
      <c r="P400" s="227"/>
      <c r="Q400" s="227"/>
    </row>
    <row r="401" spans="13:17" x14ac:dyDescent="0.2">
      <c r="M401" s="227"/>
      <c r="N401" s="227"/>
      <c r="O401" s="227"/>
      <c r="P401" s="227"/>
      <c r="Q401" s="227"/>
    </row>
    <row r="402" spans="13:17" x14ac:dyDescent="0.2">
      <c r="M402" s="227"/>
      <c r="N402" s="227"/>
      <c r="O402" s="227"/>
      <c r="P402" s="227"/>
      <c r="Q402" s="227"/>
    </row>
    <row r="403" spans="13:17" x14ac:dyDescent="0.2">
      <c r="M403" s="227"/>
      <c r="N403" s="227"/>
      <c r="O403" s="227"/>
      <c r="P403" s="227"/>
      <c r="Q403" s="227"/>
    </row>
    <row r="404" spans="13:17" x14ac:dyDescent="0.2">
      <c r="M404" s="227"/>
      <c r="N404" s="227"/>
      <c r="O404" s="227"/>
      <c r="P404" s="227"/>
      <c r="Q404" s="227"/>
    </row>
    <row r="405" spans="13:17" x14ac:dyDescent="0.2">
      <c r="M405" s="227"/>
      <c r="N405" s="227"/>
      <c r="O405" s="227"/>
      <c r="P405" s="227"/>
      <c r="Q405" s="227"/>
    </row>
    <row r="406" spans="13:17" x14ac:dyDescent="0.2">
      <c r="M406" s="227"/>
      <c r="N406" s="227"/>
      <c r="O406" s="227"/>
      <c r="P406" s="227"/>
      <c r="Q406" s="227"/>
    </row>
    <row r="407" spans="13:17" x14ac:dyDescent="0.2">
      <c r="M407" s="227"/>
      <c r="N407" s="227"/>
      <c r="O407" s="227"/>
      <c r="P407" s="227"/>
      <c r="Q407" s="227"/>
    </row>
    <row r="408" spans="13:17" x14ac:dyDescent="0.2">
      <c r="M408" s="227"/>
      <c r="N408" s="227"/>
      <c r="O408" s="227"/>
      <c r="P408" s="227"/>
      <c r="Q408" s="227"/>
    </row>
    <row r="409" spans="13:17" x14ac:dyDescent="0.2">
      <c r="M409" s="227"/>
      <c r="N409" s="227"/>
      <c r="O409" s="227"/>
      <c r="P409" s="227"/>
      <c r="Q409" s="227"/>
    </row>
    <row r="410" spans="13:17" x14ac:dyDescent="0.2">
      <c r="M410" s="227"/>
      <c r="N410" s="227"/>
      <c r="O410" s="227"/>
      <c r="P410" s="227"/>
      <c r="Q410" s="227"/>
    </row>
    <row r="411" spans="13:17" x14ac:dyDescent="0.2">
      <c r="M411" s="227"/>
      <c r="N411" s="227"/>
      <c r="O411" s="227"/>
      <c r="P411" s="227"/>
      <c r="Q411" s="227"/>
    </row>
    <row r="412" spans="13:17" x14ac:dyDescent="0.2">
      <c r="M412" s="227"/>
      <c r="N412" s="227"/>
      <c r="O412" s="227"/>
      <c r="P412" s="227"/>
      <c r="Q412" s="227"/>
    </row>
    <row r="413" spans="13:17" x14ac:dyDescent="0.2">
      <c r="M413" s="227"/>
      <c r="N413" s="227"/>
      <c r="O413" s="227"/>
      <c r="P413" s="227"/>
      <c r="Q413" s="227"/>
    </row>
    <row r="414" spans="13:17" x14ac:dyDescent="0.2">
      <c r="M414" s="227"/>
      <c r="N414" s="227"/>
      <c r="O414" s="227"/>
      <c r="P414" s="227"/>
      <c r="Q414" s="227"/>
    </row>
    <row r="415" spans="13:17" x14ac:dyDescent="0.2">
      <c r="M415" s="227"/>
      <c r="N415" s="227"/>
      <c r="O415" s="227"/>
      <c r="P415" s="227"/>
      <c r="Q415" s="227"/>
    </row>
    <row r="416" spans="13:17" x14ac:dyDescent="0.2">
      <c r="M416" s="227"/>
      <c r="N416" s="227"/>
      <c r="O416" s="227"/>
      <c r="P416" s="227"/>
      <c r="Q416" s="227"/>
    </row>
    <row r="417" spans="13:17" x14ac:dyDescent="0.2">
      <c r="M417" s="227"/>
      <c r="N417" s="227"/>
      <c r="O417" s="227"/>
      <c r="P417" s="227"/>
      <c r="Q417" s="227"/>
    </row>
    <row r="418" spans="13:17" x14ac:dyDescent="0.2">
      <c r="M418" s="227"/>
      <c r="N418" s="227"/>
      <c r="O418" s="227"/>
      <c r="P418" s="227"/>
      <c r="Q418" s="227"/>
    </row>
    <row r="419" spans="13:17" x14ac:dyDescent="0.2">
      <c r="M419" s="227"/>
      <c r="N419" s="227"/>
      <c r="O419" s="227"/>
      <c r="P419" s="227"/>
      <c r="Q419" s="227"/>
    </row>
    <row r="420" spans="13:17" x14ac:dyDescent="0.2">
      <c r="M420" s="227"/>
      <c r="N420" s="227"/>
      <c r="O420" s="227"/>
      <c r="P420" s="227"/>
      <c r="Q420" s="227"/>
    </row>
    <row r="421" spans="13:17" x14ac:dyDescent="0.2">
      <c r="M421" s="227"/>
      <c r="N421" s="227"/>
      <c r="O421" s="227"/>
      <c r="P421" s="227"/>
      <c r="Q421" s="227"/>
    </row>
    <row r="422" spans="13:17" x14ac:dyDescent="0.2">
      <c r="M422" s="227"/>
      <c r="N422" s="227"/>
      <c r="O422" s="227"/>
      <c r="P422" s="227"/>
      <c r="Q422" s="227"/>
    </row>
    <row r="423" spans="13:17" x14ac:dyDescent="0.2">
      <c r="M423" s="227"/>
      <c r="N423" s="227"/>
      <c r="O423" s="227"/>
      <c r="P423" s="227"/>
      <c r="Q423" s="227"/>
    </row>
    <row r="424" spans="13:17" x14ac:dyDescent="0.2">
      <c r="M424" s="227"/>
      <c r="N424" s="227"/>
      <c r="O424" s="227"/>
      <c r="P424" s="227"/>
      <c r="Q424" s="227"/>
    </row>
    <row r="425" spans="13:17" x14ac:dyDescent="0.2">
      <c r="M425" s="227"/>
      <c r="N425" s="227"/>
      <c r="O425" s="227"/>
      <c r="P425" s="227"/>
      <c r="Q425" s="227"/>
    </row>
    <row r="426" spans="13:17" x14ac:dyDescent="0.2">
      <c r="M426" s="227"/>
      <c r="N426" s="227"/>
      <c r="O426" s="227"/>
      <c r="P426" s="227"/>
      <c r="Q426" s="227"/>
    </row>
    <row r="427" spans="13:17" x14ac:dyDescent="0.2">
      <c r="M427" s="227"/>
      <c r="N427" s="227"/>
      <c r="O427" s="227"/>
      <c r="P427" s="227"/>
      <c r="Q427" s="227"/>
    </row>
    <row r="428" spans="13:17" x14ac:dyDescent="0.2">
      <c r="M428" s="227"/>
      <c r="N428" s="227"/>
      <c r="O428" s="227"/>
      <c r="P428" s="227"/>
      <c r="Q428" s="227"/>
    </row>
    <row r="429" spans="13:17" x14ac:dyDescent="0.2">
      <c r="M429" s="227"/>
      <c r="N429" s="227"/>
      <c r="O429" s="227"/>
      <c r="P429" s="227"/>
      <c r="Q429" s="227"/>
    </row>
    <row r="430" spans="13:17" x14ac:dyDescent="0.2">
      <c r="M430" s="227"/>
      <c r="N430" s="227"/>
      <c r="O430" s="227"/>
      <c r="P430" s="227"/>
      <c r="Q430" s="227"/>
    </row>
    <row r="431" spans="13:17" x14ac:dyDescent="0.2">
      <c r="M431" s="227"/>
      <c r="N431" s="227"/>
      <c r="O431" s="227"/>
      <c r="P431" s="227"/>
      <c r="Q431" s="227"/>
    </row>
    <row r="432" spans="13:17" x14ac:dyDescent="0.2">
      <c r="M432" s="227"/>
      <c r="N432" s="227"/>
      <c r="O432" s="227"/>
      <c r="P432" s="227"/>
      <c r="Q432" s="227"/>
    </row>
    <row r="433" spans="13:17" x14ac:dyDescent="0.2">
      <c r="M433" s="227"/>
      <c r="N433" s="227"/>
      <c r="O433" s="227"/>
      <c r="P433" s="227"/>
      <c r="Q433" s="227"/>
    </row>
    <row r="434" spans="13:17" x14ac:dyDescent="0.2">
      <c r="M434" s="227"/>
      <c r="N434" s="227"/>
      <c r="O434" s="227"/>
      <c r="P434" s="227"/>
      <c r="Q434" s="227"/>
    </row>
    <row r="435" spans="13:17" x14ac:dyDescent="0.2">
      <c r="M435" s="227"/>
      <c r="N435" s="227"/>
      <c r="O435" s="227"/>
      <c r="P435" s="227"/>
      <c r="Q435" s="227"/>
    </row>
    <row r="436" spans="13:17" x14ac:dyDescent="0.2">
      <c r="M436" s="227"/>
      <c r="N436" s="227"/>
      <c r="O436" s="227"/>
      <c r="P436" s="227"/>
      <c r="Q436" s="227"/>
    </row>
    <row r="437" spans="13:17" x14ac:dyDescent="0.2">
      <c r="M437" s="227"/>
      <c r="N437" s="227"/>
      <c r="O437" s="227"/>
      <c r="P437" s="227"/>
      <c r="Q437" s="227"/>
    </row>
    <row r="438" spans="13:17" x14ac:dyDescent="0.2">
      <c r="M438" s="227"/>
      <c r="N438" s="227"/>
      <c r="O438" s="227"/>
      <c r="P438" s="227"/>
      <c r="Q438" s="227"/>
    </row>
    <row r="439" spans="13:17" x14ac:dyDescent="0.2">
      <c r="M439" s="227"/>
      <c r="N439" s="227"/>
      <c r="O439" s="227"/>
      <c r="P439" s="227"/>
      <c r="Q439" s="227"/>
    </row>
    <row r="440" spans="13:17" x14ac:dyDescent="0.2">
      <c r="M440" s="227"/>
      <c r="N440" s="227"/>
      <c r="O440" s="227"/>
      <c r="P440" s="227"/>
      <c r="Q440" s="227"/>
    </row>
    <row r="441" spans="13:17" x14ac:dyDescent="0.2">
      <c r="M441" s="227"/>
      <c r="N441" s="227"/>
      <c r="O441" s="227"/>
      <c r="P441" s="227"/>
      <c r="Q441" s="227"/>
    </row>
    <row r="442" spans="13:17" x14ac:dyDescent="0.2">
      <c r="M442" s="227"/>
      <c r="N442" s="227"/>
      <c r="O442" s="227"/>
      <c r="P442" s="227"/>
      <c r="Q442" s="227"/>
    </row>
    <row r="443" spans="13:17" x14ac:dyDescent="0.2">
      <c r="M443" s="227"/>
      <c r="N443" s="227"/>
      <c r="O443" s="227"/>
      <c r="P443" s="227"/>
      <c r="Q443" s="227"/>
    </row>
    <row r="444" spans="13:17" x14ac:dyDescent="0.2">
      <c r="M444" s="227"/>
      <c r="N444" s="227"/>
      <c r="O444" s="227"/>
      <c r="P444" s="227"/>
      <c r="Q444" s="227"/>
    </row>
    <row r="445" spans="13:17" x14ac:dyDescent="0.2">
      <c r="M445" s="227"/>
      <c r="N445" s="227"/>
      <c r="O445" s="227"/>
      <c r="P445" s="227"/>
      <c r="Q445" s="227"/>
    </row>
    <row r="446" spans="13:17" x14ac:dyDescent="0.2">
      <c r="M446" s="227"/>
      <c r="N446" s="227"/>
      <c r="O446" s="227"/>
      <c r="P446" s="227"/>
      <c r="Q446" s="227"/>
    </row>
    <row r="447" spans="13:17" x14ac:dyDescent="0.2">
      <c r="M447" s="227"/>
      <c r="N447" s="227"/>
      <c r="O447" s="227"/>
      <c r="P447" s="227"/>
      <c r="Q447" s="227"/>
    </row>
    <row r="448" spans="13:17" x14ac:dyDescent="0.2">
      <c r="M448" s="227"/>
      <c r="N448" s="227"/>
      <c r="O448" s="227"/>
      <c r="P448" s="227"/>
      <c r="Q448" s="227"/>
    </row>
    <row r="449" spans="13:17" x14ac:dyDescent="0.2">
      <c r="M449" s="227"/>
      <c r="N449" s="227"/>
      <c r="O449" s="227"/>
      <c r="P449" s="227"/>
      <c r="Q449" s="227"/>
    </row>
    <row r="450" spans="13:17" x14ac:dyDescent="0.2">
      <c r="M450" s="227"/>
      <c r="N450" s="227"/>
      <c r="O450" s="227"/>
      <c r="P450" s="227"/>
      <c r="Q450" s="227"/>
    </row>
    <row r="451" spans="13:17" x14ac:dyDescent="0.2">
      <c r="M451" s="227"/>
      <c r="N451" s="227"/>
      <c r="O451" s="227"/>
      <c r="P451" s="227"/>
      <c r="Q451" s="227"/>
    </row>
    <row r="452" spans="13:17" x14ac:dyDescent="0.2">
      <c r="M452" s="227"/>
      <c r="N452" s="227"/>
      <c r="O452" s="227"/>
      <c r="P452" s="227"/>
      <c r="Q452" s="227"/>
    </row>
    <row r="453" spans="13:17" x14ac:dyDescent="0.2">
      <c r="M453" s="227"/>
      <c r="N453" s="227"/>
      <c r="O453" s="227"/>
      <c r="P453" s="227"/>
      <c r="Q453" s="227"/>
    </row>
    <row r="454" spans="13:17" x14ac:dyDescent="0.2">
      <c r="M454" s="227"/>
      <c r="N454" s="227"/>
      <c r="O454" s="227"/>
      <c r="P454" s="227"/>
      <c r="Q454" s="227"/>
    </row>
    <row r="455" spans="13:17" x14ac:dyDescent="0.2">
      <c r="M455" s="227"/>
      <c r="N455" s="227"/>
      <c r="O455" s="227"/>
      <c r="P455" s="227"/>
      <c r="Q455" s="227"/>
    </row>
    <row r="456" spans="13:17" x14ac:dyDescent="0.2">
      <c r="M456" s="227"/>
      <c r="N456" s="227"/>
      <c r="O456" s="227"/>
      <c r="P456" s="227"/>
      <c r="Q456" s="227"/>
    </row>
    <row r="457" spans="13:17" x14ac:dyDescent="0.2">
      <c r="M457" s="227"/>
      <c r="N457" s="227"/>
      <c r="O457" s="227"/>
      <c r="P457" s="227"/>
      <c r="Q457" s="227"/>
    </row>
    <row r="458" spans="13:17" x14ac:dyDescent="0.2">
      <c r="M458" s="227"/>
      <c r="N458" s="227"/>
      <c r="O458" s="227"/>
      <c r="P458" s="227"/>
      <c r="Q458" s="227"/>
    </row>
    <row r="459" spans="13:17" x14ac:dyDescent="0.2">
      <c r="M459" s="227"/>
      <c r="N459" s="227"/>
      <c r="O459" s="227"/>
      <c r="P459" s="227"/>
      <c r="Q459" s="227"/>
    </row>
    <row r="460" spans="13:17" x14ac:dyDescent="0.2">
      <c r="M460" s="227"/>
      <c r="N460" s="227"/>
      <c r="O460" s="227"/>
      <c r="P460" s="227"/>
      <c r="Q460" s="227"/>
    </row>
    <row r="461" spans="13:17" x14ac:dyDescent="0.2">
      <c r="M461" s="227"/>
      <c r="N461" s="227"/>
      <c r="O461" s="227"/>
      <c r="P461" s="227"/>
      <c r="Q461" s="227"/>
    </row>
    <row r="462" spans="13:17" x14ac:dyDescent="0.2">
      <c r="M462" s="227"/>
      <c r="N462" s="227"/>
      <c r="O462" s="227"/>
      <c r="P462" s="227"/>
      <c r="Q462" s="227"/>
    </row>
    <row r="463" spans="13:17" x14ac:dyDescent="0.2">
      <c r="M463" s="227"/>
      <c r="N463" s="227"/>
      <c r="O463" s="227"/>
      <c r="P463" s="227"/>
      <c r="Q463" s="227"/>
    </row>
  </sheetData>
  <dataValidations count="2">
    <dataValidation type="list" allowBlank="1" showInputMessage="1" showErrorMessage="1" sqref="D5:D8">
      <formula1>$BU$8:$BU$12</formula1>
    </dataValidation>
    <dataValidation type="list" allowBlank="1" showInputMessage="1" showErrorMessage="1" sqref="F5:G8">
      <formula1>#REF!</formula1>
    </dataValidation>
  </dataValidations>
  <pageMargins left="0.7" right="0.7" top="0.75" bottom="0.75" header="0.3" footer="0.3"/>
  <pageSetup paperSize="9" scale="46"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filterMode="1">
    <pageSetUpPr fitToPage="1"/>
  </sheetPr>
  <dimension ref="A1:Z444"/>
  <sheetViews>
    <sheetView tabSelected="1" topLeftCell="Q1" zoomScale="90" zoomScaleNormal="90" workbookViewId="0">
      <pane ySplit="5" topLeftCell="A6" activePane="bottomLeft" state="frozen"/>
      <selection activeCell="L1" sqref="L1"/>
      <selection pane="bottomLeft" activeCell="V8" sqref="V8:V50"/>
    </sheetView>
  </sheetViews>
  <sheetFormatPr defaultColWidth="9.140625" defaultRowHeight="15" x14ac:dyDescent="0.25"/>
  <cols>
    <col min="1" max="1" width="9.140625" style="45"/>
    <col min="2" max="2" width="16.7109375" style="45" customWidth="1"/>
    <col min="3" max="3" width="24" style="45" customWidth="1"/>
    <col min="4" max="4" width="15.28515625" style="45" customWidth="1"/>
    <col min="5" max="5" width="16.5703125" style="45" customWidth="1"/>
    <col min="6" max="6" width="18.140625" style="45" customWidth="1"/>
    <col min="7" max="7" width="13.85546875" style="45" customWidth="1"/>
    <col min="8" max="8" width="14.28515625" style="45" customWidth="1"/>
    <col min="9" max="9" width="11" style="45" customWidth="1"/>
    <col min="10" max="10" width="23.140625" style="45" customWidth="1"/>
    <col min="11" max="11" width="16.85546875" style="45" customWidth="1"/>
    <col min="12" max="12" width="16.42578125" style="45" customWidth="1"/>
    <col min="13" max="13" width="23" style="45" customWidth="1"/>
    <col min="14" max="14" width="16.42578125" style="45" customWidth="1"/>
    <col min="15" max="15" width="41.85546875" style="45" customWidth="1"/>
    <col min="16" max="16" width="13.28515625" style="45" customWidth="1"/>
    <col min="17" max="17" width="13.5703125" style="45" customWidth="1"/>
    <col min="18" max="18" width="14" style="45" customWidth="1"/>
    <col min="19" max="24" width="10.5703125" style="45" customWidth="1"/>
    <col min="25" max="25" width="77.5703125" style="648" customWidth="1"/>
    <col min="26" max="26" width="40.140625" style="45" customWidth="1"/>
    <col min="27" max="30" width="10.5703125" style="45" customWidth="1"/>
    <col min="31" max="16384" width="9.140625" style="45"/>
  </cols>
  <sheetData>
    <row r="1" spans="1:26" ht="26.25" customHeight="1" x14ac:dyDescent="0.25">
      <c r="A1" s="46" t="s">
        <v>205</v>
      </c>
    </row>
    <row r="2" spans="1:26" hidden="1" x14ac:dyDescent="0.25">
      <c r="X2" s="43" t="s">
        <v>56</v>
      </c>
      <c r="Y2" s="650" t="s">
        <v>50</v>
      </c>
    </row>
    <row r="3" spans="1:26" ht="15.75" hidden="1" thickBot="1" x14ac:dyDescent="0.3">
      <c r="X3" s="51" t="s">
        <v>55</v>
      </c>
      <c r="Y3" s="651">
        <v>2019</v>
      </c>
    </row>
    <row r="4" spans="1:26" ht="15.75" hidden="1" thickBot="1" x14ac:dyDescent="0.3">
      <c r="A4" s="118"/>
      <c r="B4" s="118"/>
      <c r="C4" s="118"/>
      <c r="D4" s="118"/>
      <c r="E4" s="118"/>
      <c r="F4" s="118"/>
      <c r="G4" s="118"/>
      <c r="H4" s="118"/>
      <c r="I4" s="118"/>
      <c r="J4" s="118"/>
      <c r="K4" s="118"/>
      <c r="L4" s="118"/>
      <c r="M4" s="118"/>
      <c r="N4" s="118"/>
      <c r="O4" s="119"/>
      <c r="P4" s="780" t="s">
        <v>197</v>
      </c>
      <c r="Q4" s="781"/>
      <c r="R4" s="782"/>
      <c r="S4" s="783" t="s">
        <v>257</v>
      </c>
      <c r="T4" s="783"/>
      <c r="U4" s="783"/>
      <c r="V4" s="783"/>
      <c r="W4" s="783"/>
      <c r="X4" s="783"/>
      <c r="Y4" s="784"/>
    </row>
    <row r="5" spans="1:26" ht="113.25" hidden="1" customHeight="1" thickBot="1" x14ac:dyDescent="0.3">
      <c r="A5" s="232" t="s">
        <v>0</v>
      </c>
      <c r="B5" s="121" t="s">
        <v>10</v>
      </c>
      <c r="C5" s="120" t="s">
        <v>1</v>
      </c>
      <c r="D5" s="121" t="s">
        <v>5</v>
      </c>
      <c r="E5" s="121" t="s">
        <v>169</v>
      </c>
      <c r="F5" s="121" t="s">
        <v>170</v>
      </c>
      <c r="G5" s="121" t="s">
        <v>198</v>
      </c>
      <c r="H5" s="120" t="s">
        <v>199</v>
      </c>
      <c r="I5" s="122" t="s">
        <v>200</v>
      </c>
      <c r="J5" s="122" t="s">
        <v>201</v>
      </c>
      <c r="K5" s="123" t="s">
        <v>202</v>
      </c>
      <c r="L5" s="124" t="s">
        <v>58</v>
      </c>
      <c r="M5" s="121" t="s">
        <v>203</v>
      </c>
      <c r="N5" s="123" t="s">
        <v>174</v>
      </c>
      <c r="O5" s="123" t="s">
        <v>4</v>
      </c>
      <c r="P5" s="171" t="s">
        <v>263</v>
      </c>
      <c r="Q5" s="171" t="s">
        <v>264</v>
      </c>
      <c r="R5" s="179" t="s">
        <v>258</v>
      </c>
      <c r="S5" s="171" t="s">
        <v>206</v>
      </c>
      <c r="T5" s="171" t="s">
        <v>204</v>
      </c>
      <c r="U5" s="171" t="s">
        <v>259</v>
      </c>
      <c r="V5" s="171" t="s">
        <v>260</v>
      </c>
      <c r="W5" s="171" t="s">
        <v>273</v>
      </c>
      <c r="X5" s="171" t="s">
        <v>274</v>
      </c>
      <c r="Y5" s="652" t="s">
        <v>262</v>
      </c>
    </row>
    <row r="6" spans="1:26" ht="30.75" hidden="1" customHeight="1" x14ac:dyDescent="0.25">
      <c r="A6" s="349" t="s">
        <v>277</v>
      </c>
      <c r="B6" s="349" t="s">
        <v>277</v>
      </c>
      <c r="C6" s="350" t="s">
        <v>391</v>
      </c>
      <c r="D6" s="349" t="s">
        <v>74</v>
      </c>
      <c r="E6" s="350" t="s">
        <v>1037</v>
      </c>
      <c r="F6" s="351" t="s">
        <v>738</v>
      </c>
      <c r="G6" s="349" t="s">
        <v>1038</v>
      </c>
      <c r="H6" s="351" t="s">
        <v>1039</v>
      </c>
      <c r="I6" s="350" t="s">
        <v>1040</v>
      </c>
      <c r="J6" s="350" t="s">
        <v>1041</v>
      </c>
      <c r="K6" s="349" t="s">
        <v>1042</v>
      </c>
      <c r="L6" s="349" t="s">
        <v>319</v>
      </c>
      <c r="M6" s="349">
        <v>264</v>
      </c>
      <c r="N6" s="349">
        <v>14</v>
      </c>
      <c r="O6" s="350" t="s">
        <v>1043</v>
      </c>
      <c r="P6" s="182">
        <v>389</v>
      </c>
      <c r="Q6" s="182">
        <v>10</v>
      </c>
      <c r="R6" s="181">
        <f>ROUND(100*Q6/N6,0)</f>
        <v>71</v>
      </c>
      <c r="S6" s="182">
        <v>36</v>
      </c>
      <c r="T6" s="182">
        <v>4</v>
      </c>
      <c r="U6" s="182">
        <v>389</v>
      </c>
      <c r="V6" s="182">
        <v>10</v>
      </c>
      <c r="W6" s="182">
        <v>57</v>
      </c>
      <c r="X6" s="182">
        <v>85475</v>
      </c>
      <c r="Y6" s="669" t="s">
        <v>1905</v>
      </c>
    </row>
    <row r="7" spans="1:26" ht="39" hidden="1" x14ac:dyDescent="0.25">
      <c r="A7" s="349" t="s">
        <v>277</v>
      </c>
      <c r="B7" s="349" t="s">
        <v>277</v>
      </c>
      <c r="C7" s="350" t="s">
        <v>391</v>
      </c>
      <c r="D7" s="349" t="s">
        <v>74</v>
      </c>
      <c r="E7" s="350" t="s">
        <v>1037</v>
      </c>
      <c r="F7" s="351" t="s">
        <v>1044</v>
      </c>
      <c r="G7" s="349" t="s">
        <v>1045</v>
      </c>
      <c r="H7" s="351" t="s">
        <v>1039</v>
      </c>
      <c r="I7" s="350" t="s">
        <v>1040</v>
      </c>
      <c r="J7" s="350" t="s">
        <v>1041</v>
      </c>
      <c r="K7" s="349" t="s">
        <v>1042</v>
      </c>
      <c r="L7" s="349" t="s">
        <v>319</v>
      </c>
      <c r="M7" s="349">
        <v>188</v>
      </c>
      <c r="N7" s="349">
        <v>9</v>
      </c>
      <c r="O7" s="350" t="s">
        <v>1046</v>
      </c>
      <c r="P7" s="180">
        <v>399</v>
      </c>
      <c r="Q7" s="180">
        <v>10</v>
      </c>
      <c r="R7" s="181">
        <f>ROUND(100*Q7/N7,0)</f>
        <v>111</v>
      </c>
      <c r="S7" s="180">
        <v>43</v>
      </c>
      <c r="T7" s="180">
        <v>9</v>
      </c>
      <c r="U7" s="180">
        <v>399</v>
      </c>
      <c r="V7" s="180">
        <v>10</v>
      </c>
      <c r="W7" s="180">
        <v>9</v>
      </c>
      <c r="X7" s="180">
        <v>4191</v>
      </c>
      <c r="Y7" s="180"/>
    </row>
    <row r="8" spans="1:26" ht="48.75" customHeight="1" x14ac:dyDescent="0.25">
      <c r="A8" s="349" t="s">
        <v>277</v>
      </c>
      <c r="B8" s="349" t="s">
        <v>277</v>
      </c>
      <c r="C8" s="350" t="s">
        <v>391</v>
      </c>
      <c r="D8" s="349" t="s">
        <v>74</v>
      </c>
      <c r="E8" s="350" t="s">
        <v>1037</v>
      </c>
      <c r="F8" s="351" t="s">
        <v>1047</v>
      </c>
      <c r="G8" s="349" t="s">
        <v>1048</v>
      </c>
      <c r="H8" s="351" t="s">
        <v>1049</v>
      </c>
      <c r="I8" s="350" t="s">
        <v>1040</v>
      </c>
      <c r="J8" s="350" t="s">
        <v>1041</v>
      </c>
      <c r="K8" s="349" t="s">
        <v>1042</v>
      </c>
      <c r="L8" s="349" t="s">
        <v>319</v>
      </c>
      <c r="M8" s="349">
        <v>5217</v>
      </c>
      <c r="N8" s="349">
        <v>10</v>
      </c>
      <c r="O8" s="350" t="s">
        <v>1050</v>
      </c>
      <c r="P8" s="479">
        <v>2231</v>
      </c>
      <c r="Q8" s="479">
        <v>10</v>
      </c>
      <c r="R8" s="181">
        <f>ROUND(100*Q8/N8,0)</f>
        <v>100</v>
      </c>
      <c r="S8" s="479">
        <v>28</v>
      </c>
      <c r="T8" s="479">
        <v>10</v>
      </c>
      <c r="U8" s="479">
        <v>2231</v>
      </c>
      <c r="V8" s="479">
        <v>5</v>
      </c>
      <c r="W8" s="479">
        <v>3</v>
      </c>
      <c r="X8" s="479">
        <v>2875</v>
      </c>
      <c r="Y8" s="480" t="s">
        <v>1903</v>
      </c>
    </row>
    <row r="9" spans="1:26" ht="39" hidden="1" x14ac:dyDescent="0.25">
      <c r="A9" s="349" t="s">
        <v>277</v>
      </c>
      <c r="B9" s="349" t="s">
        <v>1051</v>
      </c>
      <c r="C9" s="350" t="s">
        <v>391</v>
      </c>
      <c r="D9" s="349" t="s">
        <v>74</v>
      </c>
      <c r="E9" s="350" t="s">
        <v>1037</v>
      </c>
      <c r="F9" s="351" t="s">
        <v>1052</v>
      </c>
      <c r="G9" s="349" t="s">
        <v>1053</v>
      </c>
      <c r="H9" s="351" t="s">
        <v>1054</v>
      </c>
      <c r="I9" s="349" t="s">
        <v>1055</v>
      </c>
      <c r="J9" s="350" t="s">
        <v>1056</v>
      </c>
      <c r="K9" s="349" t="s">
        <v>1042</v>
      </c>
      <c r="L9" s="349" t="s">
        <v>319</v>
      </c>
      <c r="M9" s="349">
        <v>206</v>
      </c>
      <c r="N9" s="349">
        <v>34</v>
      </c>
      <c r="O9" s="350" t="s">
        <v>1057</v>
      </c>
      <c r="P9" s="180">
        <v>275</v>
      </c>
      <c r="Q9" s="180">
        <v>48</v>
      </c>
      <c r="R9" s="181">
        <f>ROUND(100*Q9/N9,0)</f>
        <v>141</v>
      </c>
      <c r="S9" s="180">
        <v>27</v>
      </c>
      <c r="T9" s="180">
        <v>8</v>
      </c>
      <c r="U9" s="180">
        <v>347</v>
      </c>
      <c r="V9" s="180">
        <v>51</v>
      </c>
      <c r="W9" s="180">
        <v>9</v>
      </c>
      <c r="X9" s="180">
        <v>11075</v>
      </c>
      <c r="Y9" s="180"/>
    </row>
    <row r="10" spans="1:26" ht="45" hidden="1" x14ac:dyDescent="0.25">
      <c r="A10" s="349" t="s">
        <v>277</v>
      </c>
      <c r="B10" s="349" t="s">
        <v>1058</v>
      </c>
      <c r="C10" s="350" t="s">
        <v>391</v>
      </c>
      <c r="D10" s="349" t="s">
        <v>74</v>
      </c>
      <c r="E10" s="350" t="s">
        <v>1037</v>
      </c>
      <c r="F10" s="351" t="s">
        <v>1052</v>
      </c>
      <c r="G10" s="349" t="s">
        <v>1059</v>
      </c>
      <c r="H10" s="351" t="s">
        <v>1054</v>
      </c>
      <c r="I10" s="349" t="s">
        <v>1055</v>
      </c>
      <c r="J10" s="350" t="s">
        <v>1056</v>
      </c>
      <c r="K10" s="349" t="s">
        <v>1042</v>
      </c>
      <c r="L10" s="349" t="s">
        <v>319</v>
      </c>
      <c r="M10" s="349">
        <v>76</v>
      </c>
      <c r="N10" s="349">
        <v>30</v>
      </c>
      <c r="O10" s="350" t="s">
        <v>1060</v>
      </c>
      <c r="P10" s="203">
        <v>145</v>
      </c>
      <c r="Q10" s="203">
        <v>102</v>
      </c>
      <c r="R10" s="238">
        <f>ROUND(100*Q10/N10,0)</f>
        <v>340</v>
      </c>
      <c r="S10" s="203">
        <v>54</v>
      </c>
      <c r="T10" s="203">
        <v>47</v>
      </c>
      <c r="U10" s="203">
        <v>493</v>
      </c>
      <c r="V10" s="203">
        <v>85</v>
      </c>
      <c r="W10" s="203">
        <v>4</v>
      </c>
      <c r="X10" s="203">
        <v>21135</v>
      </c>
      <c r="Y10" s="663" t="s">
        <v>1904</v>
      </c>
    </row>
    <row r="11" spans="1:26" ht="60" hidden="1" x14ac:dyDescent="0.25">
      <c r="A11" s="349" t="s">
        <v>277</v>
      </c>
      <c r="B11" s="349" t="s">
        <v>752</v>
      </c>
      <c r="C11" s="350" t="s">
        <v>391</v>
      </c>
      <c r="D11" s="349" t="s">
        <v>74</v>
      </c>
      <c r="E11" s="350" t="s">
        <v>1037</v>
      </c>
      <c r="F11" s="351" t="s">
        <v>1052</v>
      </c>
      <c r="G11" s="349" t="s">
        <v>1061</v>
      </c>
      <c r="H11" s="351" t="s">
        <v>1054</v>
      </c>
      <c r="I11" s="349" t="s">
        <v>1055</v>
      </c>
      <c r="J11" s="350" t="s">
        <v>1056</v>
      </c>
      <c r="K11" s="349" t="s">
        <v>1042</v>
      </c>
      <c r="L11" s="349" t="s">
        <v>319</v>
      </c>
      <c r="M11" s="349">
        <v>714</v>
      </c>
      <c r="N11" s="349">
        <v>5</v>
      </c>
      <c r="O11" s="350" t="s">
        <v>1062</v>
      </c>
      <c r="P11" s="479">
        <v>2231</v>
      </c>
      <c r="Q11" s="479">
        <v>9</v>
      </c>
      <c r="R11" s="238">
        <f t="shared" ref="R11:R13" si="0">ROUND(100*Q11/N11,0)</f>
        <v>180</v>
      </c>
      <c r="S11" s="479">
        <v>28</v>
      </c>
      <c r="T11" s="479">
        <v>9</v>
      </c>
      <c r="U11" s="479">
        <v>2231</v>
      </c>
      <c r="V11" s="479">
        <v>21</v>
      </c>
      <c r="W11" s="479">
        <v>2</v>
      </c>
      <c r="X11" s="479">
        <v>7445</v>
      </c>
      <c r="Y11" s="480" t="s">
        <v>1749</v>
      </c>
    </row>
    <row r="12" spans="1:26" ht="35.25" hidden="1" customHeight="1" x14ac:dyDescent="0.25">
      <c r="A12" s="349" t="s">
        <v>277</v>
      </c>
      <c r="B12" s="349" t="s">
        <v>752</v>
      </c>
      <c r="C12" s="350" t="s">
        <v>391</v>
      </c>
      <c r="D12" s="349" t="s">
        <v>74</v>
      </c>
      <c r="E12" s="350" t="s">
        <v>1037</v>
      </c>
      <c r="F12" s="351" t="s">
        <v>1052</v>
      </c>
      <c r="G12" s="349" t="s">
        <v>1063</v>
      </c>
      <c r="H12" s="351" t="s">
        <v>1054</v>
      </c>
      <c r="I12" s="349" t="s">
        <v>1055</v>
      </c>
      <c r="J12" s="350" t="s">
        <v>1064</v>
      </c>
      <c r="K12" s="349" t="s">
        <v>1042</v>
      </c>
      <c r="L12" s="349" t="s">
        <v>319</v>
      </c>
      <c r="M12" s="349">
        <v>173</v>
      </c>
      <c r="N12" s="349">
        <v>5</v>
      </c>
      <c r="O12" s="350" t="s">
        <v>1065</v>
      </c>
      <c r="P12" s="479">
        <v>212</v>
      </c>
      <c r="Q12" s="479">
        <v>7</v>
      </c>
      <c r="R12" s="238">
        <f t="shared" si="0"/>
        <v>140</v>
      </c>
      <c r="S12" s="479">
        <v>6</v>
      </c>
      <c r="T12" s="479">
        <v>7</v>
      </c>
      <c r="U12" s="479">
        <v>212</v>
      </c>
      <c r="V12" s="479">
        <v>7</v>
      </c>
      <c r="W12" s="479">
        <v>1</v>
      </c>
      <c r="X12" s="479">
        <v>1258</v>
      </c>
      <c r="Y12" s="647"/>
    </row>
    <row r="13" spans="1:26" ht="39" hidden="1" x14ac:dyDescent="0.25">
      <c r="A13" s="349" t="s">
        <v>277</v>
      </c>
      <c r="B13" s="349" t="s">
        <v>277</v>
      </c>
      <c r="C13" s="350" t="s">
        <v>391</v>
      </c>
      <c r="D13" s="349" t="s">
        <v>74</v>
      </c>
      <c r="E13" s="350" t="s">
        <v>1066</v>
      </c>
      <c r="F13" s="351" t="s">
        <v>738</v>
      </c>
      <c r="G13" s="349" t="s">
        <v>1067</v>
      </c>
      <c r="H13" s="351" t="s">
        <v>1039</v>
      </c>
      <c r="I13" s="350" t="s">
        <v>1040</v>
      </c>
      <c r="J13" s="350" t="s">
        <v>1041</v>
      </c>
      <c r="K13" s="349" t="s">
        <v>1042</v>
      </c>
      <c r="L13" s="349" t="s">
        <v>319</v>
      </c>
      <c r="M13" s="349">
        <v>195</v>
      </c>
      <c r="N13" s="349">
        <v>4</v>
      </c>
      <c r="O13" s="350" t="s">
        <v>1068</v>
      </c>
      <c r="P13" s="203">
        <v>236</v>
      </c>
      <c r="Q13" s="203">
        <v>5</v>
      </c>
      <c r="R13" s="238">
        <f t="shared" si="0"/>
        <v>125</v>
      </c>
      <c r="S13" s="203">
        <v>45</v>
      </c>
      <c r="T13" s="203">
        <v>2</v>
      </c>
      <c r="U13" s="203">
        <v>236</v>
      </c>
      <c r="V13" s="203">
        <v>5</v>
      </c>
      <c r="W13" s="203">
        <v>36</v>
      </c>
      <c r="X13" s="203">
        <v>8450</v>
      </c>
      <c r="Y13" s="647"/>
    </row>
    <row r="14" spans="1:26" ht="39" hidden="1" x14ac:dyDescent="0.25">
      <c r="A14" s="349" t="s">
        <v>277</v>
      </c>
      <c r="B14" s="349" t="s">
        <v>277</v>
      </c>
      <c r="C14" s="350" t="s">
        <v>391</v>
      </c>
      <c r="D14" s="349" t="s">
        <v>74</v>
      </c>
      <c r="E14" s="350" t="s">
        <v>1066</v>
      </c>
      <c r="F14" s="351" t="s">
        <v>1044</v>
      </c>
      <c r="G14" s="349" t="s">
        <v>1069</v>
      </c>
      <c r="H14" s="351" t="s">
        <v>1039</v>
      </c>
      <c r="I14" s="350" t="s">
        <v>1040</v>
      </c>
      <c r="J14" s="350" t="s">
        <v>1041</v>
      </c>
      <c r="K14" s="349" t="s">
        <v>1042</v>
      </c>
      <c r="L14" s="349" t="s">
        <v>319</v>
      </c>
      <c r="M14" s="349">
        <v>165</v>
      </c>
      <c r="N14" s="349">
        <v>4</v>
      </c>
      <c r="O14" s="350" t="s">
        <v>1070</v>
      </c>
      <c r="P14" s="203">
        <v>92</v>
      </c>
      <c r="Q14" s="203">
        <v>11</v>
      </c>
      <c r="R14" s="238">
        <f>ROUND(100*Q14/N14,0)</f>
        <v>275</v>
      </c>
      <c r="S14" s="203">
        <v>17</v>
      </c>
      <c r="T14" s="203">
        <v>8</v>
      </c>
      <c r="U14" s="203">
        <v>92</v>
      </c>
      <c r="V14" s="203">
        <v>11</v>
      </c>
      <c r="W14" s="203">
        <v>6</v>
      </c>
      <c r="X14" s="203">
        <v>4527</v>
      </c>
      <c r="Y14" s="647"/>
    </row>
    <row r="15" spans="1:26" ht="39" hidden="1" x14ac:dyDescent="0.25">
      <c r="A15" s="349" t="s">
        <v>277</v>
      </c>
      <c r="B15" s="349" t="s">
        <v>277</v>
      </c>
      <c r="C15" s="350" t="s">
        <v>391</v>
      </c>
      <c r="D15" s="349" t="s">
        <v>74</v>
      </c>
      <c r="E15" s="350" t="s">
        <v>1066</v>
      </c>
      <c r="F15" s="351" t="s">
        <v>1047</v>
      </c>
      <c r="G15" s="349" t="s">
        <v>1071</v>
      </c>
      <c r="H15" s="351" t="s">
        <v>1039</v>
      </c>
      <c r="I15" s="350" t="s">
        <v>1040</v>
      </c>
      <c r="J15" s="350" t="s">
        <v>1041</v>
      </c>
      <c r="K15" s="349" t="s">
        <v>1042</v>
      </c>
      <c r="L15" s="349" t="s">
        <v>319</v>
      </c>
      <c r="M15" s="349">
        <v>1111</v>
      </c>
      <c r="N15" s="349">
        <v>12</v>
      </c>
      <c r="O15" s="350" t="s">
        <v>1072</v>
      </c>
      <c r="P15" s="203">
        <v>739</v>
      </c>
      <c r="Q15" s="203">
        <v>2</v>
      </c>
      <c r="R15" s="238">
        <f t="shared" ref="R15:R23" si="1">ROUND(100*Q15/N15,0)</f>
        <v>17</v>
      </c>
      <c r="S15" s="203">
        <v>48</v>
      </c>
      <c r="T15" s="203">
        <v>1</v>
      </c>
      <c r="U15" s="203">
        <v>739</v>
      </c>
      <c r="V15" s="203">
        <v>2</v>
      </c>
      <c r="W15" s="203">
        <v>27</v>
      </c>
      <c r="X15" s="203">
        <v>3115</v>
      </c>
      <c r="Y15" s="669" t="s">
        <v>1905</v>
      </c>
    </row>
    <row r="16" spans="1:26" ht="64.5" hidden="1" customHeight="1" x14ac:dyDescent="0.25">
      <c r="A16" s="349" t="s">
        <v>277</v>
      </c>
      <c r="B16" s="349" t="s">
        <v>277</v>
      </c>
      <c r="C16" s="350" t="s">
        <v>391</v>
      </c>
      <c r="D16" s="349" t="s">
        <v>74</v>
      </c>
      <c r="E16" s="350" t="s">
        <v>1066</v>
      </c>
      <c r="F16" s="351" t="s">
        <v>1073</v>
      </c>
      <c r="G16" s="349" t="s">
        <v>1074</v>
      </c>
      <c r="H16" s="351" t="s">
        <v>1039</v>
      </c>
      <c r="I16" s="350" t="s">
        <v>1040</v>
      </c>
      <c r="J16" s="350" t="s">
        <v>1041</v>
      </c>
      <c r="K16" s="349" t="s">
        <v>1042</v>
      </c>
      <c r="L16" s="349" t="s">
        <v>319</v>
      </c>
      <c r="M16" s="349">
        <v>2144</v>
      </c>
      <c r="N16" s="349">
        <v>5</v>
      </c>
      <c r="O16" s="350" t="s">
        <v>1075</v>
      </c>
      <c r="P16" s="479">
        <v>2892</v>
      </c>
      <c r="Q16" s="479">
        <v>0</v>
      </c>
      <c r="R16" s="238">
        <f t="shared" si="1"/>
        <v>0</v>
      </c>
      <c r="S16" s="479">
        <v>29</v>
      </c>
      <c r="T16" s="479">
        <v>0</v>
      </c>
      <c r="U16" s="479">
        <v>2892</v>
      </c>
      <c r="V16" s="479">
        <v>0</v>
      </c>
      <c r="W16" s="479">
        <v>0</v>
      </c>
      <c r="X16" s="479">
        <v>0</v>
      </c>
      <c r="Y16" s="472" t="s">
        <v>1834</v>
      </c>
      <c r="Z16" s="477"/>
    </row>
    <row r="17" spans="1:26" ht="60" hidden="1" x14ac:dyDescent="0.25">
      <c r="A17" s="349" t="s">
        <v>277</v>
      </c>
      <c r="B17" s="349" t="s">
        <v>277</v>
      </c>
      <c r="C17" s="350" t="s">
        <v>391</v>
      </c>
      <c r="D17" s="349" t="s">
        <v>74</v>
      </c>
      <c r="E17" s="350" t="s">
        <v>1066</v>
      </c>
      <c r="F17" s="351" t="s">
        <v>1073</v>
      </c>
      <c r="G17" s="349" t="s">
        <v>1076</v>
      </c>
      <c r="H17" s="351" t="s">
        <v>1039</v>
      </c>
      <c r="I17" s="350" t="s">
        <v>1040</v>
      </c>
      <c r="J17" s="350" t="s">
        <v>1041</v>
      </c>
      <c r="K17" s="349" t="s">
        <v>1042</v>
      </c>
      <c r="L17" s="349" t="s">
        <v>319</v>
      </c>
      <c r="M17" s="349">
        <v>2485</v>
      </c>
      <c r="N17" s="350">
        <v>5</v>
      </c>
      <c r="O17" s="350" t="s">
        <v>1077</v>
      </c>
      <c r="P17" s="479">
        <v>2739</v>
      </c>
      <c r="Q17" s="479">
        <v>0</v>
      </c>
      <c r="R17" s="238">
        <f t="shared" si="1"/>
        <v>0</v>
      </c>
      <c r="S17" s="479">
        <v>49</v>
      </c>
      <c r="T17" s="479">
        <v>0</v>
      </c>
      <c r="U17" s="479">
        <v>2739</v>
      </c>
      <c r="V17" s="479">
        <v>0</v>
      </c>
      <c r="W17" s="479">
        <v>0</v>
      </c>
      <c r="X17" s="479">
        <v>0</v>
      </c>
      <c r="Y17" s="667" t="s">
        <v>1835</v>
      </c>
      <c r="Z17" s="666"/>
    </row>
    <row r="18" spans="1:26" ht="39" x14ac:dyDescent="0.25">
      <c r="A18" s="349" t="s">
        <v>277</v>
      </c>
      <c r="B18" s="349" t="s">
        <v>277</v>
      </c>
      <c r="C18" s="350" t="s">
        <v>391</v>
      </c>
      <c r="D18" s="349" t="s">
        <v>74</v>
      </c>
      <c r="E18" s="350" t="s">
        <v>1066</v>
      </c>
      <c r="F18" s="351" t="s">
        <v>1047</v>
      </c>
      <c r="G18" s="349" t="s">
        <v>1078</v>
      </c>
      <c r="H18" s="351" t="s">
        <v>1049</v>
      </c>
      <c r="I18" s="350" t="s">
        <v>1040</v>
      </c>
      <c r="J18" s="350" t="s">
        <v>1041</v>
      </c>
      <c r="K18" s="349" t="s">
        <v>1042</v>
      </c>
      <c r="L18" s="349" t="s">
        <v>319</v>
      </c>
      <c r="M18" s="349">
        <v>480</v>
      </c>
      <c r="N18" s="349">
        <v>10</v>
      </c>
      <c r="O18" s="350" t="s">
        <v>1079</v>
      </c>
      <c r="P18" s="479">
        <v>627</v>
      </c>
      <c r="Q18" s="479">
        <v>14</v>
      </c>
      <c r="R18" s="238">
        <f t="shared" si="1"/>
        <v>140</v>
      </c>
      <c r="S18" s="479">
        <v>13</v>
      </c>
      <c r="T18" s="479">
        <v>9</v>
      </c>
      <c r="U18" s="479">
        <v>627</v>
      </c>
      <c r="V18" s="479">
        <v>14</v>
      </c>
      <c r="W18" s="479">
        <v>3</v>
      </c>
      <c r="X18" s="479">
        <v>4100</v>
      </c>
      <c r="Y18" s="472" t="s">
        <v>1746</v>
      </c>
    </row>
    <row r="19" spans="1:26" ht="39" hidden="1" x14ac:dyDescent="0.25">
      <c r="A19" s="349" t="s">
        <v>277</v>
      </c>
      <c r="B19" s="349" t="s">
        <v>277</v>
      </c>
      <c r="C19" s="350" t="s">
        <v>391</v>
      </c>
      <c r="D19" s="349" t="s">
        <v>74</v>
      </c>
      <c r="E19" s="350" t="s">
        <v>1066</v>
      </c>
      <c r="F19" s="351" t="s">
        <v>1052</v>
      </c>
      <c r="G19" s="349" t="s">
        <v>1080</v>
      </c>
      <c r="H19" s="351" t="s">
        <v>1054</v>
      </c>
      <c r="I19" s="349" t="s">
        <v>1055</v>
      </c>
      <c r="J19" s="350" t="s">
        <v>1056</v>
      </c>
      <c r="K19" s="349" t="s">
        <v>1042</v>
      </c>
      <c r="L19" s="349" t="s">
        <v>319</v>
      </c>
      <c r="M19" s="349">
        <v>94</v>
      </c>
      <c r="N19" s="349">
        <v>14</v>
      </c>
      <c r="O19" s="350" t="s">
        <v>1081</v>
      </c>
      <c r="P19" s="203">
        <v>395</v>
      </c>
      <c r="Q19" s="203">
        <v>25</v>
      </c>
      <c r="R19" s="238">
        <f t="shared" si="1"/>
        <v>179</v>
      </c>
      <c r="S19" s="203">
        <v>62</v>
      </c>
      <c r="T19" s="203">
        <v>9</v>
      </c>
      <c r="U19" s="203">
        <v>465</v>
      </c>
      <c r="V19" s="203">
        <v>26</v>
      </c>
      <c r="W19" s="203">
        <v>8</v>
      </c>
      <c r="X19" s="203">
        <v>4536</v>
      </c>
      <c r="Y19" s="647"/>
    </row>
    <row r="20" spans="1:26" ht="45" hidden="1" x14ac:dyDescent="0.25">
      <c r="A20" s="349" t="s">
        <v>277</v>
      </c>
      <c r="B20" s="349" t="s">
        <v>277</v>
      </c>
      <c r="C20" s="350" t="s">
        <v>391</v>
      </c>
      <c r="D20" s="349" t="s">
        <v>74</v>
      </c>
      <c r="E20" s="350" t="s">
        <v>1066</v>
      </c>
      <c r="F20" s="351" t="s">
        <v>1052</v>
      </c>
      <c r="G20" s="349" t="s">
        <v>1082</v>
      </c>
      <c r="H20" s="351" t="s">
        <v>1039</v>
      </c>
      <c r="I20" s="350" t="s">
        <v>1040</v>
      </c>
      <c r="J20" s="350" t="s">
        <v>1041</v>
      </c>
      <c r="K20" s="349" t="s">
        <v>1042</v>
      </c>
      <c r="L20" s="349" t="s">
        <v>319</v>
      </c>
      <c r="M20" s="349">
        <v>1111</v>
      </c>
      <c r="N20" s="349">
        <v>55</v>
      </c>
      <c r="O20" s="350" t="s">
        <v>1083</v>
      </c>
      <c r="P20" s="203">
        <v>739</v>
      </c>
      <c r="Q20" s="203">
        <v>19</v>
      </c>
      <c r="R20" s="238">
        <f t="shared" si="1"/>
        <v>35</v>
      </c>
      <c r="S20" s="203">
        <v>48</v>
      </c>
      <c r="T20" s="203">
        <v>5</v>
      </c>
      <c r="U20" s="203">
        <v>739</v>
      </c>
      <c r="V20" s="203">
        <v>19</v>
      </c>
      <c r="W20" s="203">
        <v>1</v>
      </c>
      <c r="X20" s="203">
        <v>13361</v>
      </c>
      <c r="Y20" s="663" t="s">
        <v>1895</v>
      </c>
    </row>
    <row r="21" spans="1:26" ht="39" hidden="1" x14ac:dyDescent="0.25">
      <c r="A21" s="349" t="s">
        <v>277</v>
      </c>
      <c r="B21" s="349" t="s">
        <v>277</v>
      </c>
      <c r="C21" s="350" t="s">
        <v>391</v>
      </c>
      <c r="D21" s="349" t="s">
        <v>74</v>
      </c>
      <c r="E21" s="350" t="s">
        <v>1084</v>
      </c>
      <c r="F21" s="351" t="s">
        <v>738</v>
      </c>
      <c r="G21" s="349" t="s">
        <v>1085</v>
      </c>
      <c r="H21" s="351" t="s">
        <v>1039</v>
      </c>
      <c r="I21" s="350" t="s">
        <v>1040</v>
      </c>
      <c r="J21" s="350" t="s">
        <v>1041</v>
      </c>
      <c r="K21" s="349" t="s">
        <v>1042</v>
      </c>
      <c r="L21" s="349" t="s">
        <v>319</v>
      </c>
      <c r="M21" s="349">
        <v>1870</v>
      </c>
      <c r="N21" s="349">
        <v>8</v>
      </c>
      <c r="O21" s="350" t="s">
        <v>1086</v>
      </c>
      <c r="P21" s="203">
        <v>1266</v>
      </c>
      <c r="Q21" s="203">
        <v>12</v>
      </c>
      <c r="R21" s="238">
        <f t="shared" si="1"/>
        <v>150</v>
      </c>
      <c r="S21" s="203">
        <v>94</v>
      </c>
      <c r="T21" s="203">
        <v>9</v>
      </c>
      <c r="U21" s="203">
        <v>1266</v>
      </c>
      <c r="V21" s="203">
        <v>12</v>
      </c>
      <c r="W21" s="203">
        <v>62</v>
      </c>
      <c r="X21" s="203">
        <v>26123</v>
      </c>
      <c r="Y21" s="647"/>
    </row>
    <row r="22" spans="1:26" ht="39" hidden="1" x14ac:dyDescent="0.25">
      <c r="A22" s="349" t="s">
        <v>277</v>
      </c>
      <c r="B22" s="349" t="s">
        <v>277</v>
      </c>
      <c r="C22" s="350" t="s">
        <v>391</v>
      </c>
      <c r="D22" s="349" t="s">
        <v>74</v>
      </c>
      <c r="E22" s="350" t="s">
        <v>1084</v>
      </c>
      <c r="F22" s="351" t="s">
        <v>738</v>
      </c>
      <c r="G22" s="349" t="s">
        <v>1087</v>
      </c>
      <c r="H22" s="351" t="s">
        <v>1039</v>
      </c>
      <c r="I22" s="350" t="s">
        <v>1040</v>
      </c>
      <c r="J22" s="350" t="s">
        <v>1041</v>
      </c>
      <c r="K22" s="349" t="s">
        <v>1042</v>
      </c>
      <c r="L22" s="349" t="s">
        <v>319</v>
      </c>
      <c r="M22" s="349">
        <v>462</v>
      </c>
      <c r="N22" s="349">
        <v>7</v>
      </c>
      <c r="O22" s="350" t="s">
        <v>1088</v>
      </c>
      <c r="P22" s="203">
        <v>421</v>
      </c>
      <c r="Q22" s="203">
        <v>1</v>
      </c>
      <c r="R22" s="238">
        <f t="shared" si="1"/>
        <v>14</v>
      </c>
      <c r="S22" s="203">
        <v>14</v>
      </c>
      <c r="T22" s="203">
        <v>1</v>
      </c>
      <c r="U22" s="203">
        <v>421</v>
      </c>
      <c r="V22" s="203">
        <v>1</v>
      </c>
      <c r="W22" s="203">
        <v>27</v>
      </c>
      <c r="X22" s="203">
        <v>2725</v>
      </c>
      <c r="Y22" s="669" t="s">
        <v>1905</v>
      </c>
    </row>
    <row r="23" spans="1:26" ht="39" hidden="1" x14ac:dyDescent="0.25">
      <c r="A23" s="349" t="s">
        <v>277</v>
      </c>
      <c r="B23" s="349" t="s">
        <v>277</v>
      </c>
      <c r="C23" s="350" t="s">
        <v>391</v>
      </c>
      <c r="D23" s="349" t="s">
        <v>74</v>
      </c>
      <c r="E23" s="350" t="s">
        <v>1084</v>
      </c>
      <c r="F23" s="351" t="s">
        <v>738</v>
      </c>
      <c r="G23" s="349" t="s">
        <v>1089</v>
      </c>
      <c r="H23" s="351" t="s">
        <v>1039</v>
      </c>
      <c r="I23" s="350" t="s">
        <v>1040</v>
      </c>
      <c r="J23" s="350" t="s">
        <v>1041</v>
      </c>
      <c r="K23" s="349" t="s">
        <v>1042</v>
      </c>
      <c r="L23" s="349" t="s">
        <v>319</v>
      </c>
      <c r="M23" s="349">
        <v>327</v>
      </c>
      <c r="N23" s="349">
        <v>8</v>
      </c>
      <c r="O23" s="350" t="s">
        <v>1090</v>
      </c>
      <c r="P23" s="203">
        <v>353</v>
      </c>
      <c r="Q23" s="203">
        <v>3</v>
      </c>
      <c r="R23" s="238">
        <f t="shared" si="1"/>
        <v>38</v>
      </c>
      <c r="S23" s="203">
        <v>13</v>
      </c>
      <c r="T23" s="203">
        <v>3</v>
      </c>
      <c r="U23" s="203">
        <v>353</v>
      </c>
      <c r="V23" s="203">
        <v>3</v>
      </c>
      <c r="W23" s="203">
        <v>33</v>
      </c>
      <c r="X23" s="203">
        <v>4167</v>
      </c>
      <c r="Y23" s="669" t="s">
        <v>1905</v>
      </c>
    </row>
    <row r="24" spans="1:26" ht="45" hidden="1" x14ac:dyDescent="0.25">
      <c r="A24" s="349" t="s">
        <v>277</v>
      </c>
      <c r="B24" s="349" t="s">
        <v>277</v>
      </c>
      <c r="C24" s="350" t="s">
        <v>391</v>
      </c>
      <c r="D24" s="349" t="s">
        <v>74</v>
      </c>
      <c r="E24" s="350" t="s">
        <v>1084</v>
      </c>
      <c r="F24" s="351" t="s">
        <v>1044</v>
      </c>
      <c r="G24" s="349" t="s">
        <v>1091</v>
      </c>
      <c r="H24" s="351" t="s">
        <v>1039</v>
      </c>
      <c r="I24" s="350" t="s">
        <v>1040</v>
      </c>
      <c r="J24" s="350" t="s">
        <v>1041</v>
      </c>
      <c r="K24" s="349" t="s">
        <v>1042</v>
      </c>
      <c r="L24" s="349" t="s">
        <v>319</v>
      </c>
      <c r="M24" s="349">
        <v>217</v>
      </c>
      <c r="N24" s="349">
        <v>10</v>
      </c>
      <c r="O24" s="350" t="s">
        <v>1092</v>
      </c>
      <c r="P24" s="203">
        <v>43</v>
      </c>
      <c r="Q24" s="203">
        <v>2</v>
      </c>
      <c r="R24" s="238">
        <f>ROUND(100*Q24/N24,0)</f>
        <v>20</v>
      </c>
      <c r="S24" s="203">
        <v>17</v>
      </c>
      <c r="T24" s="203">
        <v>2</v>
      </c>
      <c r="U24" s="203">
        <v>43</v>
      </c>
      <c r="V24" s="203">
        <v>2</v>
      </c>
      <c r="W24" s="203">
        <v>1</v>
      </c>
      <c r="X24" s="203">
        <v>978</v>
      </c>
      <c r="Y24" s="668" t="s">
        <v>1887</v>
      </c>
    </row>
    <row r="25" spans="1:26" ht="39" hidden="1" x14ac:dyDescent="0.25">
      <c r="A25" s="349" t="s">
        <v>277</v>
      </c>
      <c r="B25" s="349" t="s">
        <v>277</v>
      </c>
      <c r="C25" s="350" t="s">
        <v>391</v>
      </c>
      <c r="D25" s="349" t="s">
        <v>74</v>
      </c>
      <c r="E25" s="350" t="s">
        <v>1084</v>
      </c>
      <c r="F25" s="351" t="s">
        <v>738</v>
      </c>
      <c r="G25" s="349" t="s">
        <v>1093</v>
      </c>
      <c r="H25" s="351" t="s">
        <v>1039</v>
      </c>
      <c r="I25" s="350" t="s">
        <v>1040</v>
      </c>
      <c r="J25" s="350" t="s">
        <v>1041</v>
      </c>
      <c r="K25" s="349" t="s">
        <v>1042</v>
      </c>
      <c r="L25" s="349" t="s">
        <v>319</v>
      </c>
      <c r="M25" s="349">
        <v>716</v>
      </c>
      <c r="N25" s="349">
        <v>2</v>
      </c>
      <c r="O25" s="350" t="s">
        <v>1094</v>
      </c>
      <c r="P25" s="203">
        <v>505</v>
      </c>
      <c r="Q25" s="203">
        <v>1</v>
      </c>
      <c r="R25" s="238">
        <f t="shared" ref="R25:R29" si="2">ROUND(100*Q25/N25,0)</f>
        <v>50</v>
      </c>
      <c r="S25" s="203">
        <v>21</v>
      </c>
      <c r="T25" s="203">
        <v>1</v>
      </c>
      <c r="U25" s="203">
        <v>505</v>
      </c>
      <c r="V25" s="203">
        <v>1</v>
      </c>
      <c r="W25" s="203">
        <v>21</v>
      </c>
      <c r="X25" s="203">
        <v>663</v>
      </c>
      <c r="Y25" s="669" t="s">
        <v>1905</v>
      </c>
    </row>
    <row r="26" spans="1:26" ht="39" hidden="1" x14ac:dyDescent="0.25">
      <c r="A26" s="349" t="s">
        <v>277</v>
      </c>
      <c r="B26" s="349" t="s">
        <v>277</v>
      </c>
      <c r="C26" s="350" t="s">
        <v>391</v>
      </c>
      <c r="D26" s="349" t="s">
        <v>74</v>
      </c>
      <c r="E26" s="350" t="s">
        <v>1084</v>
      </c>
      <c r="F26" s="351" t="s">
        <v>1047</v>
      </c>
      <c r="G26" s="349" t="s">
        <v>1095</v>
      </c>
      <c r="H26" s="351" t="s">
        <v>1039</v>
      </c>
      <c r="I26" s="350" t="s">
        <v>1040</v>
      </c>
      <c r="J26" s="350" t="s">
        <v>1041</v>
      </c>
      <c r="K26" s="349" t="s">
        <v>1042</v>
      </c>
      <c r="L26" s="349" t="s">
        <v>319</v>
      </c>
      <c r="M26" s="349">
        <v>795</v>
      </c>
      <c r="N26" s="349">
        <v>13</v>
      </c>
      <c r="O26" s="350" t="s">
        <v>1096</v>
      </c>
      <c r="P26" s="203">
        <v>638</v>
      </c>
      <c r="Q26" s="203">
        <v>2</v>
      </c>
      <c r="R26" s="238">
        <f t="shared" si="2"/>
        <v>15</v>
      </c>
      <c r="S26" s="203">
        <v>84</v>
      </c>
      <c r="T26" s="203">
        <v>2</v>
      </c>
      <c r="U26" s="203">
        <v>638</v>
      </c>
      <c r="V26" s="203">
        <v>2</v>
      </c>
      <c r="W26" s="203">
        <v>49</v>
      </c>
      <c r="X26" s="203">
        <v>6961</v>
      </c>
      <c r="Y26" s="669" t="s">
        <v>1905</v>
      </c>
    </row>
    <row r="27" spans="1:26" ht="47.25" hidden="1" customHeight="1" x14ac:dyDescent="0.25">
      <c r="A27" s="349" t="s">
        <v>277</v>
      </c>
      <c r="B27" s="349" t="s">
        <v>277</v>
      </c>
      <c r="C27" s="350" t="s">
        <v>391</v>
      </c>
      <c r="D27" s="349" t="s">
        <v>74</v>
      </c>
      <c r="E27" s="350" t="s">
        <v>1084</v>
      </c>
      <c r="F27" s="351" t="s">
        <v>1073</v>
      </c>
      <c r="G27" s="349" t="s">
        <v>1097</v>
      </c>
      <c r="H27" s="351" t="s">
        <v>1039</v>
      </c>
      <c r="I27" s="350" t="s">
        <v>1040</v>
      </c>
      <c r="J27" s="350" t="s">
        <v>1041</v>
      </c>
      <c r="K27" s="349" t="s">
        <v>1042</v>
      </c>
      <c r="L27" s="349" t="s">
        <v>319</v>
      </c>
      <c r="M27" s="349">
        <v>98</v>
      </c>
      <c r="N27" s="349">
        <v>4</v>
      </c>
      <c r="O27" s="482" t="s">
        <v>1098</v>
      </c>
      <c r="P27" s="476">
        <v>723</v>
      </c>
      <c r="Q27" s="476">
        <v>0</v>
      </c>
      <c r="R27" s="238">
        <f t="shared" si="2"/>
        <v>0</v>
      </c>
      <c r="S27" s="476">
        <v>7</v>
      </c>
      <c r="T27" s="476">
        <v>0</v>
      </c>
      <c r="U27" s="476">
        <v>723</v>
      </c>
      <c r="V27" s="476">
        <v>0</v>
      </c>
      <c r="W27" s="476">
        <v>0</v>
      </c>
      <c r="X27" s="476">
        <v>0</v>
      </c>
      <c r="Y27" s="480" t="s">
        <v>1836</v>
      </c>
      <c r="Z27" s="477"/>
    </row>
    <row r="28" spans="1:26" ht="75" x14ac:dyDescent="0.25">
      <c r="A28" s="349" t="s">
        <v>277</v>
      </c>
      <c r="B28" s="349" t="s">
        <v>277</v>
      </c>
      <c r="C28" s="350" t="s">
        <v>391</v>
      </c>
      <c r="D28" s="349" t="s">
        <v>74</v>
      </c>
      <c r="E28" s="350" t="s">
        <v>1084</v>
      </c>
      <c r="F28" s="351" t="s">
        <v>1047</v>
      </c>
      <c r="G28" s="349" t="s">
        <v>1099</v>
      </c>
      <c r="H28" s="351" t="s">
        <v>1049</v>
      </c>
      <c r="I28" s="350" t="s">
        <v>1040</v>
      </c>
      <c r="J28" s="350" t="s">
        <v>1041</v>
      </c>
      <c r="K28" s="349" t="s">
        <v>1042</v>
      </c>
      <c r="L28" s="349" t="s">
        <v>319</v>
      </c>
      <c r="M28" s="349">
        <v>263</v>
      </c>
      <c r="N28" s="349">
        <v>10</v>
      </c>
      <c r="O28" s="350" t="s">
        <v>1100</v>
      </c>
      <c r="P28" s="479">
        <v>432</v>
      </c>
      <c r="Q28" s="479">
        <v>1</v>
      </c>
      <c r="R28" s="238">
        <f t="shared" si="2"/>
        <v>10</v>
      </c>
      <c r="S28" s="479">
        <v>12</v>
      </c>
      <c r="T28" s="479">
        <v>1</v>
      </c>
      <c r="U28" s="479">
        <v>432</v>
      </c>
      <c r="V28" s="479">
        <v>1</v>
      </c>
      <c r="W28" s="479">
        <v>2</v>
      </c>
      <c r="X28" s="479">
        <v>227</v>
      </c>
      <c r="Y28" s="670" t="s">
        <v>1906</v>
      </c>
    </row>
    <row r="29" spans="1:26" ht="39" hidden="1" x14ac:dyDescent="0.25">
      <c r="A29" s="349" t="s">
        <v>277</v>
      </c>
      <c r="B29" s="349" t="s">
        <v>277</v>
      </c>
      <c r="C29" s="350" t="s">
        <v>391</v>
      </c>
      <c r="D29" s="349" t="s">
        <v>74</v>
      </c>
      <c r="E29" s="350" t="s">
        <v>1084</v>
      </c>
      <c r="F29" s="351" t="s">
        <v>1052</v>
      </c>
      <c r="G29" s="349" t="s">
        <v>1101</v>
      </c>
      <c r="H29" s="351" t="s">
        <v>1054</v>
      </c>
      <c r="I29" s="349" t="s">
        <v>1055</v>
      </c>
      <c r="J29" s="350" t="s">
        <v>1056</v>
      </c>
      <c r="K29" s="349" t="s">
        <v>1042</v>
      </c>
      <c r="L29" s="349" t="s">
        <v>319</v>
      </c>
      <c r="M29" s="349">
        <v>1440</v>
      </c>
      <c r="N29" s="352">
        <v>79</v>
      </c>
      <c r="O29" s="350" t="s">
        <v>1102</v>
      </c>
      <c r="P29" s="203">
        <v>1589</v>
      </c>
      <c r="Q29" s="203">
        <v>92</v>
      </c>
      <c r="R29" s="238">
        <f t="shared" si="2"/>
        <v>116</v>
      </c>
      <c r="S29" s="203">
        <v>136</v>
      </c>
      <c r="T29" s="203">
        <v>37</v>
      </c>
      <c r="U29" s="203">
        <v>2545</v>
      </c>
      <c r="V29" s="203">
        <v>104</v>
      </c>
      <c r="W29" s="203">
        <v>15</v>
      </c>
      <c r="X29" s="203">
        <v>20531</v>
      </c>
      <c r="Y29" s="647"/>
    </row>
    <row r="30" spans="1:26" ht="39" hidden="1" x14ac:dyDescent="0.25">
      <c r="A30" s="349" t="s">
        <v>277</v>
      </c>
      <c r="B30" s="349" t="s">
        <v>277</v>
      </c>
      <c r="C30" s="350" t="s">
        <v>391</v>
      </c>
      <c r="D30" s="349" t="s">
        <v>74</v>
      </c>
      <c r="E30" s="350" t="s">
        <v>1084</v>
      </c>
      <c r="F30" s="351" t="s">
        <v>1052</v>
      </c>
      <c r="G30" s="349" t="s">
        <v>1103</v>
      </c>
      <c r="H30" s="351" t="s">
        <v>1054</v>
      </c>
      <c r="I30" s="349" t="s">
        <v>1055</v>
      </c>
      <c r="J30" s="350" t="s">
        <v>1056</v>
      </c>
      <c r="K30" s="349" t="s">
        <v>1042</v>
      </c>
      <c r="L30" s="349" t="s">
        <v>319</v>
      </c>
      <c r="M30" s="349">
        <v>127</v>
      </c>
      <c r="N30" s="349">
        <v>30</v>
      </c>
      <c r="O30" s="350" t="s">
        <v>1104</v>
      </c>
      <c r="P30" s="203">
        <v>103</v>
      </c>
      <c r="Q30" s="203">
        <v>48</v>
      </c>
      <c r="R30" s="238">
        <f>ROUND(100*Q30/N30,0)</f>
        <v>160</v>
      </c>
      <c r="S30" s="203">
        <v>28</v>
      </c>
      <c r="T30" s="203">
        <v>24</v>
      </c>
      <c r="U30" s="203">
        <v>161</v>
      </c>
      <c r="V30" s="203">
        <v>42</v>
      </c>
      <c r="W30" s="203">
        <v>2</v>
      </c>
      <c r="X30" s="203">
        <v>10169</v>
      </c>
      <c r="Y30" s="647"/>
    </row>
    <row r="31" spans="1:26" ht="51.75" hidden="1" x14ac:dyDescent="0.25">
      <c r="A31" s="349" t="s">
        <v>277</v>
      </c>
      <c r="B31" s="349" t="s">
        <v>277</v>
      </c>
      <c r="C31" s="350" t="s">
        <v>391</v>
      </c>
      <c r="D31" s="349" t="s">
        <v>74</v>
      </c>
      <c r="E31" s="350" t="s">
        <v>1105</v>
      </c>
      <c r="F31" s="351" t="s">
        <v>1052</v>
      </c>
      <c r="G31" s="349" t="s">
        <v>1106</v>
      </c>
      <c r="H31" s="351" t="s">
        <v>1039</v>
      </c>
      <c r="I31" s="349" t="s">
        <v>1055</v>
      </c>
      <c r="J31" s="350" t="s">
        <v>1041</v>
      </c>
      <c r="K31" s="349" t="s">
        <v>1042</v>
      </c>
      <c r="L31" s="349" t="s">
        <v>319</v>
      </c>
      <c r="M31" s="349">
        <v>794</v>
      </c>
      <c r="N31" s="349">
        <v>100</v>
      </c>
      <c r="O31" s="350" t="s">
        <v>1107</v>
      </c>
      <c r="P31" s="203">
        <v>1189</v>
      </c>
      <c r="Q31" s="203">
        <v>63</v>
      </c>
      <c r="R31" s="238">
        <f t="shared" ref="R31:R37" si="3">ROUND(100*Q31/N31,0)</f>
        <v>63</v>
      </c>
      <c r="S31" s="203">
        <v>100</v>
      </c>
      <c r="T31" s="203">
        <v>18</v>
      </c>
      <c r="U31" s="203">
        <v>1189</v>
      </c>
      <c r="V31" s="203">
        <v>63</v>
      </c>
      <c r="W31" s="203">
        <v>1</v>
      </c>
      <c r="X31" s="203">
        <v>41556</v>
      </c>
      <c r="Y31" s="649" t="s">
        <v>1896</v>
      </c>
    </row>
    <row r="32" spans="1:26" ht="39" hidden="1" x14ac:dyDescent="0.25">
      <c r="A32" s="349" t="s">
        <v>277</v>
      </c>
      <c r="B32" s="349" t="s">
        <v>277</v>
      </c>
      <c r="C32" s="350" t="s">
        <v>391</v>
      </c>
      <c r="D32" s="349" t="s">
        <v>74</v>
      </c>
      <c r="E32" s="350" t="s">
        <v>1084</v>
      </c>
      <c r="F32" s="351" t="s">
        <v>1052</v>
      </c>
      <c r="G32" s="349" t="s">
        <v>1108</v>
      </c>
      <c r="H32" s="351" t="s">
        <v>1054</v>
      </c>
      <c r="I32" s="349" t="s">
        <v>1055</v>
      </c>
      <c r="J32" s="350" t="s">
        <v>1109</v>
      </c>
      <c r="K32" s="349" t="s">
        <v>1042</v>
      </c>
      <c r="L32" s="349" t="s">
        <v>319</v>
      </c>
      <c r="M32" s="349">
        <v>637</v>
      </c>
      <c r="N32" s="349">
        <v>15</v>
      </c>
      <c r="O32" s="350" t="s">
        <v>1110</v>
      </c>
      <c r="P32" s="479">
        <v>1274</v>
      </c>
      <c r="Q32" s="479">
        <v>28</v>
      </c>
      <c r="R32" s="238">
        <f t="shared" si="3"/>
        <v>187</v>
      </c>
      <c r="S32" s="479">
        <v>26</v>
      </c>
      <c r="T32" s="479">
        <v>7</v>
      </c>
      <c r="U32" s="479">
        <v>1274</v>
      </c>
      <c r="V32" s="479">
        <v>28</v>
      </c>
      <c r="W32" s="479">
        <v>1</v>
      </c>
      <c r="X32" s="481">
        <v>18699</v>
      </c>
      <c r="Y32" s="478" t="s">
        <v>1747</v>
      </c>
    </row>
    <row r="33" spans="1:25" ht="39" hidden="1" x14ac:dyDescent="0.25">
      <c r="A33" s="349" t="s">
        <v>277</v>
      </c>
      <c r="B33" s="349" t="s">
        <v>277</v>
      </c>
      <c r="C33" s="350" t="s">
        <v>391</v>
      </c>
      <c r="D33" s="349" t="s">
        <v>74</v>
      </c>
      <c r="E33" s="350" t="s">
        <v>1111</v>
      </c>
      <c r="F33" s="351" t="s">
        <v>738</v>
      </c>
      <c r="G33" s="349" t="s">
        <v>1112</v>
      </c>
      <c r="H33" s="351" t="s">
        <v>1039</v>
      </c>
      <c r="I33" s="350" t="s">
        <v>1040</v>
      </c>
      <c r="J33" s="350" t="s">
        <v>1041</v>
      </c>
      <c r="K33" s="349" t="s">
        <v>1042</v>
      </c>
      <c r="L33" s="349" t="s">
        <v>319</v>
      </c>
      <c r="M33" s="349">
        <v>1081</v>
      </c>
      <c r="N33" s="349">
        <v>8</v>
      </c>
      <c r="O33" s="350" t="s">
        <v>1113</v>
      </c>
      <c r="P33" s="203">
        <v>601</v>
      </c>
      <c r="Q33" s="203">
        <v>3</v>
      </c>
      <c r="R33" s="238">
        <f t="shared" si="3"/>
        <v>38</v>
      </c>
      <c r="S33" s="203">
        <v>49</v>
      </c>
      <c r="T33" s="203">
        <v>2</v>
      </c>
      <c r="U33" s="203">
        <v>601</v>
      </c>
      <c r="V33" s="203">
        <v>3</v>
      </c>
      <c r="W33" s="203">
        <v>35</v>
      </c>
      <c r="X33" s="203">
        <v>5052</v>
      </c>
      <c r="Y33" s="669" t="s">
        <v>1905</v>
      </c>
    </row>
    <row r="34" spans="1:25" ht="39" hidden="1" x14ac:dyDescent="0.25">
      <c r="A34" s="349" t="s">
        <v>277</v>
      </c>
      <c r="B34" s="349" t="s">
        <v>277</v>
      </c>
      <c r="C34" s="350" t="s">
        <v>391</v>
      </c>
      <c r="D34" s="349" t="s">
        <v>74</v>
      </c>
      <c r="E34" s="350" t="s">
        <v>1111</v>
      </c>
      <c r="F34" s="351" t="s">
        <v>738</v>
      </c>
      <c r="G34" s="349" t="s">
        <v>1114</v>
      </c>
      <c r="H34" s="351" t="s">
        <v>1039</v>
      </c>
      <c r="I34" s="350" t="s">
        <v>1040</v>
      </c>
      <c r="J34" s="350" t="s">
        <v>1041</v>
      </c>
      <c r="K34" s="349" t="s">
        <v>1042</v>
      </c>
      <c r="L34" s="349" t="s">
        <v>319</v>
      </c>
      <c r="M34" s="349">
        <v>703</v>
      </c>
      <c r="N34" s="349">
        <v>8</v>
      </c>
      <c r="O34" s="350" t="s">
        <v>1115</v>
      </c>
      <c r="P34" s="203">
        <v>743</v>
      </c>
      <c r="Q34" s="203">
        <v>4</v>
      </c>
      <c r="R34" s="238">
        <f t="shared" si="3"/>
        <v>50</v>
      </c>
      <c r="S34" s="203">
        <v>72</v>
      </c>
      <c r="T34" s="203">
        <v>3</v>
      </c>
      <c r="U34" s="203">
        <v>743</v>
      </c>
      <c r="V34" s="203">
        <v>4</v>
      </c>
      <c r="W34" s="203">
        <v>46</v>
      </c>
      <c r="X34" s="203">
        <v>9915</v>
      </c>
      <c r="Y34" s="669" t="s">
        <v>1905</v>
      </c>
    </row>
    <row r="35" spans="1:25" ht="39" hidden="1" x14ac:dyDescent="0.25">
      <c r="A35" s="349" t="s">
        <v>277</v>
      </c>
      <c r="B35" s="349" t="s">
        <v>277</v>
      </c>
      <c r="C35" s="350" t="s">
        <v>391</v>
      </c>
      <c r="D35" s="349" t="s">
        <v>74</v>
      </c>
      <c r="E35" s="350" t="s">
        <v>1111</v>
      </c>
      <c r="F35" s="351" t="s">
        <v>738</v>
      </c>
      <c r="G35" s="349" t="s">
        <v>1116</v>
      </c>
      <c r="H35" s="351" t="s">
        <v>1039</v>
      </c>
      <c r="I35" s="350" t="s">
        <v>1040</v>
      </c>
      <c r="J35" s="350" t="s">
        <v>1041</v>
      </c>
      <c r="K35" s="349" t="s">
        <v>1042</v>
      </c>
      <c r="L35" s="349" t="s">
        <v>319</v>
      </c>
      <c r="M35" s="349">
        <v>239</v>
      </c>
      <c r="N35" s="349">
        <v>8</v>
      </c>
      <c r="O35" s="350" t="s">
        <v>1117</v>
      </c>
      <c r="P35" s="203">
        <v>253</v>
      </c>
      <c r="Q35" s="203">
        <v>5</v>
      </c>
      <c r="R35" s="238">
        <f t="shared" si="3"/>
        <v>63</v>
      </c>
      <c r="S35" s="203">
        <v>12</v>
      </c>
      <c r="T35" s="203">
        <v>2</v>
      </c>
      <c r="U35" s="203">
        <v>253</v>
      </c>
      <c r="V35" s="203">
        <v>5</v>
      </c>
      <c r="W35" s="203">
        <v>33</v>
      </c>
      <c r="X35" s="203">
        <v>7462</v>
      </c>
      <c r="Y35" s="669" t="s">
        <v>1905</v>
      </c>
    </row>
    <row r="36" spans="1:25" ht="39" hidden="1" x14ac:dyDescent="0.25">
      <c r="A36" s="349" t="s">
        <v>277</v>
      </c>
      <c r="B36" s="349" t="s">
        <v>277</v>
      </c>
      <c r="C36" s="350" t="s">
        <v>391</v>
      </c>
      <c r="D36" s="349" t="s">
        <v>74</v>
      </c>
      <c r="E36" s="350" t="s">
        <v>1111</v>
      </c>
      <c r="F36" s="351" t="s">
        <v>738</v>
      </c>
      <c r="G36" s="349" t="s">
        <v>1118</v>
      </c>
      <c r="H36" s="351" t="s">
        <v>1039</v>
      </c>
      <c r="I36" s="350" t="s">
        <v>1040</v>
      </c>
      <c r="J36" s="350" t="s">
        <v>1041</v>
      </c>
      <c r="K36" s="349" t="s">
        <v>1042</v>
      </c>
      <c r="L36" s="349" t="s">
        <v>319</v>
      </c>
      <c r="M36" s="349">
        <v>388</v>
      </c>
      <c r="N36" s="349">
        <v>8</v>
      </c>
      <c r="O36" s="350" t="s">
        <v>1119</v>
      </c>
      <c r="P36" s="203">
        <v>326</v>
      </c>
      <c r="Q36" s="203">
        <v>5</v>
      </c>
      <c r="R36" s="238">
        <f t="shared" si="3"/>
        <v>63</v>
      </c>
      <c r="S36" s="203">
        <v>32</v>
      </c>
      <c r="T36" s="203">
        <v>1</v>
      </c>
      <c r="U36" s="203">
        <v>326</v>
      </c>
      <c r="V36" s="203">
        <v>3</v>
      </c>
      <c r="W36" s="203">
        <v>21</v>
      </c>
      <c r="X36" s="203">
        <v>1933</v>
      </c>
      <c r="Y36" s="669" t="s">
        <v>1905</v>
      </c>
    </row>
    <row r="37" spans="1:25" ht="39" hidden="1" x14ac:dyDescent="0.25">
      <c r="A37" s="349" t="s">
        <v>277</v>
      </c>
      <c r="B37" s="349" t="s">
        <v>277</v>
      </c>
      <c r="C37" s="350" t="s">
        <v>391</v>
      </c>
      <c r="D37" s="349" t="s">
        <v>74</v>
      </c>
      <c r="E37" s="350" t="s">
        <v>1111</v>
      </c>
      <c r="F37" s="351" t="s">
        <v>1044</v>
      </c>
      <c r="G37" s="349" t="s">
        <v>1120</v>
      </c>
      <c r="H37" s="351" t="s">
        <v>1039</v>
      </c>
      <c r="I37" s="350" t="s">
        <v>1040</v>
      </c>
      <c r="J37" s="350" t="s">
        <v>1041</v>
      </c>
      <c r="K37" s="349" t="s">
        <v>1042</v>
      </c>
      <c r="L37" s="349" t="s">
        <v>319</v>
      </c>
      <c r="M37" s="349">
        <v>70</v>
      </c>
      <c r="N37" s="349">
        <v>2</v>
      </c>
      <c r="O37" s="350" t="s">
        <v>1121</v>
      </c>
      <c r="P37" s="203">
        <v>93</v>
      </c>
      <c r="Q37" s="203">
        <v>0</v>
      </c>
      <c r="R37" s="238">
        <f t="shared" si="3"/>
        <v>0</v>
      </c>
      <c r="S37" s="203">
        <v>21</v>
      </c>
      <c r="T37" s="203">
        <v>0</v>
      </c>
      <c r="U37" s="203">
        <v>93</v>
      </c>
      <c r="V37" s="203">
        <v>0</v>
      </c>
      <c r="W37" s="203">
        <v>0</v>
      </c>
      <c r="X37" s="203">
        <v>0</v>
      </c>
      <c r="Y37" s="649" t="s">
        <v>1721</v>
      </c>
    </row>
    <row r="38" spans="1:25" ht="39" hidden="1" x14ac:dyDescent="0.25">
      <c r="A38" s="349" t="s">
        <v>277</v>
      </c>
      <c r="B38" s="349" t="s">
        <v>277</v>
      </c>
      <c r="C38" s="350" t="s">
        <v>391</v>
      </c>
      <c r="D38" s="349" t="s">
        <v>74</v>
      </c>
      <c r="E38" s="350" t="s">
        <v>1111</v>
      </c>
      <c r="F38" s="351" t="s">
        <v>1044</v>
      </c>
      <c r="G38" s="349" t="s">
        <v>1122</v>
      </c>
      <c r="H38" s="351" t="s">
        <v>1039</v>
      </c>
      <c r="I38" s="350" t="s">
        <v>1040</v>
      </c>
      <c r="J38" s="350" t="s">
        <v>1041</v>
      </c>
      <c r="K38" s="349" t="s">
        <v>1042</v>
      </c>
      <c r="L38" s="349" t="s">
        <v>319</v>
      </c>
      <c r="M38" s="349">
        <v>359</v>
      </c>
      <c r="N38" s="349">
        <v>6</v>
      </c>
      <c r="O38" s="350" t="s">
        <v>1123</v>
      </c>
      <c r="P38" s="203">
        <v>243</v>
      </c>
      <c r="Q38" s="203">
        <v>6</v>
      </c>
      <c r="R38" s="238">
        <f>ROUND(100*Q38/N38,0)</f>
        <v>100</v>
      </c>
      <c r="S38" s="203">
        <v>41</v>
      </c>
      <c r="T38" s="203">
        <v>5</v>
      </c>
      <c r="U38" s="203">
        <v>243</v>
      </c>
      <c r="V38" s="203">
        <v>6</v>
      </c>
      <c r="W38" s="203">
        <v>6</v>
      </c>
      <c r="X38" s="203">
        <v>2927</v>
      </c>
      <c r="Y38" s="647"/>
    </row>
    <row r="39" spans="1:25" ht="39" hidden="1" x14ac:dyDescent="0.25">
      <c r="A39" s="349" t="s">
        <v>277</v>
      </c>
      <c r="B39" s="349" t="s">
        <v>277</v>
      </c>
      <c r="C39" s="350" t="s">
        <v>391</v>
      </c>
      <c r="D39" s="349" t="s">
        <v>74</v>
      </c>
      <c r="E39" s="350" t="s">
        <v>1111</v>
      </c>
      <c r="F39" s="351" t="s">
        <v>1047</v>
      </c>
      <c r="G39" s="349" t="s">
        <v>1124</v>
      </c>
      <c r="H39" s="351" t="s">
        <v>1039</v>
      </c>
      <c r="I39" s="350" t="s">
        <v>1040</v>
      </c>
      <c r="J39" s="350" t="s">
        <v>1041</v>
      </c>
      <c r="K39" s="349" t="s">
        <v>1042</v>
      </c>
      <c r="L39" s="349" t="s">
        <v>319</v>
      </c>
      <c r="M39" s="349">
        <v>781</v>
      </c>
      <c r="N39" s="349">
        <v>13</v>
      </c>
      <c r="O39" s="350" t="s">
        <v>1125</v>
      </c>
      <c r="P39" s="203">
        <v>560</v>
      </c>
      <c r="Q39" s="203">
        <v>3</v>
      </c>
      <c r="R39" s="238">
        <f t="shared" ref="R39:R41" si="4">ROUND(100*Q39/N39,0)</f>
        <v>23</v>
      </c>
      <c r="S39" s="203">
        <v>77</v>
      </c>
      <c r="T39" s="203">
        <v>3</v>
      </c>
      <c r="U39" s="203">
        <v>560</v>
      </c>
      <c r="V39" s="203">
        <v>3</v>
      </c>
      <c r="W39" s="203">
        <v>17</v>
      </c>
      <c r="X39" s="203">
        <v>1012</v>
      </c>
      <c r="Y39" s="669" t="s">
        <v>1905</v>
      </c>
    </row>
    <row r="40" spans="1:25" ht="75" x14ac:dyDescent="0.25">
      <c r="A40" s="349" t="s">
        <v>277</v>
      </c>
      <c r="B40" s="349" t="s">
        <v>277</v>
      </c>
      <c r="C40" s="350" t="s">
        <v>391</v>
      </c>
      <c r="D40" s="349" t="s">
        <v>74</v>
      </c>
      <c r="E40" s="350" t="s">
        <v>1111</v>
      </c>
      <c r="F40" s="351" t="s">
        <v>1047</v>
      </c>
      <c r="G40" s="349" t="s">
        <v>1126</v>
      </c>
      <c r="H40" s="351" t="s">
        <v>1049</v>
      </c>
      <c r="I40" s="350" t="s">
        <v>1040</v>
      </c>
      <c r="J40" s="350" t="s">
        <v>1041</v>
      </c>
      <c r="K40" s="349" t="s">
        <v>1042</v>
      </c>
      <c r="L40" s="349" t="s">
        <v>319</v>
      </c>
      <c r="M40" s="349">
        <v>1987</v>
      </c>
      <c r="N40" s="483">
        <v>40</v>
      </c>
      <c r="O40" s="631" t="s">
        <v>1127</v>
      </c>
      <c r="P40" s="479">
        <v>2123</v>
      </c>
      <c r="Q40" s="479">
        <v>18</v>
      </c>
      <c r="R40" s="238">
        <f t="shared" si="4"/>
        <v>45</v>
      </c>
      <c r="S40" s="479">
        <v>50</v>
      </c>
      <c r="T40" s="479">
        <v>10</v>
      </c>
      <c r="U40" s="479">
        <v>2123</v>
      </c>
      <c r="V40" s="479">
        <v>18</v>
      </c>
      <c r="W40" s="479">
        <v>3</v>
      </c>
      <c r="X40" s="479">
        <v>4534</v>
      </c>
      <c r="Y40" s="670" t="s">
        <v>1906</v>
      </c>
    </row>
    <row r="41" spans="1:25" ht="39" hidden="1" x14ac:dyDescent="0.25">
      <c r="A41" s="349" t="s">
        <v>277</v>
      </c>
      <c r="B41" s="349" t="s">
        <v>277</v>
      </c>
      <c r="C41" s="350" t="s">
        <v>391</v>
      </c>
      <c r="D41" s="349" t="s">
        <v>74</v>
      </c>
      <c r="E41" s="350" t="s">
        <v>1111</v>
      </c>
      <c r="F41" s="351" t="s">
        <v>1052</v>
      </c>
      <c r="G41" s="349" t="s">
        <v>1128</v>
      </c>
      <c r="H41" s="351" t="s">
        <v>1054</v>
      </c>
      <c r="I41" s="349" t="s">
        <v>1055</v>
      </c>
      <c r="J41" s="350" t="s">
        <v>1056</v>
      </c>
      <c r="K41" s="349" t="s">
        <v>1042</v>
      </c>
      <c r="L41" s="349" t="s">
        <v>319</v>
      </c>
      <c r="M41" s="349">
        <v>1040</v>
      </c>
      <c r="N41" s="349">
        <v>125</v>
      </c>
      <c r="O41" s="350" t="s">
        <v>1102</v>
      </c>
      <c r="P41" s="203">
        <v>931</v>
      </c>
      <c r="Q41" s="203">
        <v>125</v>
      </c>
      <c r="R41" s="238">
        <f t="shared" si="4"/>
        <v>100</v>
      </c>
      <c r="S41" s="203">
        <v>106</v>
      </c>
      <c r="T41" s="203">
        <v>71</v>
      </c>
      <c r="U41" s="203">
        <v>1552</v>
      </c>
      <c r="V41" s="203">
        <v>128</v>
      </c>
      <c r="W41" s="203">
        <v>11</v>
      </c>
      <c r="X41" s="203">
        <v>26340</v>
      </c>
      <c r="Y41" s="647"/>
    </row>
    <row r="42" spans="1:25" ht="45" hidden="1" x14ac:dyDescent="0.25">
      <c r="A42" s="349" t="s">
        <v>277</v>
      </c>
      <c r="B42" s="349" t="s">
        <v>1129</v>
      </c>
      <c r="C42" s="350" t="s">
        <v>391</v>
      </c>
      <c r="D42" s="349" t="s">
        <v>74</v>
      </c>
      <c r="E42" s="350" t="s">
        <v>1111</v>
      </c>
      <c r="F42" s="351" t="s">
        <v>1052</v>
      </c>
      <c r="G42" s="349" t="s">
        <v>1130</v>
      </c>
      <c r="H42" s="351" t="s">
        <v>1054</v>
      </c>
      <c r="I42" s="349" t="s">
        <v>1055</v>
      </c>
      <c r="J42" s="350" t="s">
        <v>1056</v>
      </c>
      <c r="K42" s="349" t="s">
        <v>1042</v>
      </c>
      <c r="L42" s="349" t="s">
        <v>319</v>
      </c>
      <c r="M42" s="349">
        <v>161</v>
      </c>
      <c r="N42" s="349">
        <v>44</v>
      </c>
      <c r="O42" s="350" t="s">
        <v>1131</v>
      </c>
      <c r="P42" s="203">
        <v>194</v>
      </c>
      <c r="Q42" s="203">
        <v>35</v>
      </c>
      <c r="R42" s="238">
        <f>ROUND(100*Q42/N42,0)</f>
        <v>80</v>
      </c>
      <c r="S42" s="203">
        <v>51</v>
      </c>
      <c r="T42" s="203">
        <v>25</v>
      </c>
      <c r="U42" s="203">
        <v>294</v>
      </c>
      <c r="V42" s="203">
        <v>32</v>
      </c>
      <c r="W42" s="203">
        <v>4</v>
      </c>
      <c r="X42" s="203">
        <v>7127</v>
      </c>
      <c r="Y42" s="677" t="s">
        <v>1920</v>
      </c>
    </row>
    <row r="43" spans="1:25" ht="45" hidden="1" x14ac:dyDescent="0.25">
      <c r="A43" s="349" t="s">
        <v>277</v>
      </c>
      <c r="B43" s="349" t="s">
        <v>277</v>
      </c>
      <c r="C43" s="350" t="s">
        <v>391</v>
      </c>
      <c r="D43" s="349" t="s">
        <v>74</v>
      </c>
      <c r="E43" s="350" t="s">
        <v>1111</v>
      </c>
      <c r="F43" s="351" t="s">
        <v>1052</v>
      </c>
      <c r="G43" s="349" t="s">
        <v>1132</v>
      </c>
      <c r="H43" s="351" t="s">
        <v>1039</v>
      </c>
      <c r="I43" s="350" t="s">
        <v>1040</v>
      </c>
      <c r="J43" s="350" t="s">
        <v>1041</v>
      </c>
      <c r="K43" s="349" t="s">
        <v>1042</v>
      </c>
      <c r="L43" s="349" t="s">
        <v>319</v>
      </c>
      <c r="M43" s="349">
        <v>1072</v>
      </c>
      <c r="N43" s="349">
        <v>30</v>
      </c>
      <c r="O43" s="350" t="s">
        <v>1133</v>
      </c>
      <c r="P43" s="203">
        <v>560</v>
      </c>
      <c r="Q43" s="203">
        <v>16</v>
      </c>
      <c r="R43" s="238">
        <f t="shared" ref="R43:R44" si="5">ROUND(100*Q43/N43,0)</f>
        <v>53</v>
      </c>
      <c r="S43" s="203">
        <v>77</v>
      </c>
      <c r="T43" s="203">
        <v>8</v>
      </c>
      <c r="U43" s="203">
        <v>560</v>
      </c>
      <c r="V43" s="203">
        <v>16</v>
      </c>
      <c r="W43" s="203">
        <v>1</v>
      </c>
      <c r="X43" s="203">
        <v>20525</v>
      </c>
      <c r="Y43" s="664" t="s">
        <v>1898</v>
      </c>
    </row>
    <row r="44" spans="1:25" ht="75" hidden="1" x14ac:dyDescent="0.25">
      <c r="A44" s="349" t="s">
        <v>277</v>
      </c>
      <c r="B44" s="349" t="s">
        <v>277</v>
      </c>
      <c r="C44" s="350" t="s">
        <v>391</v>
      </c>
      <c r="D44" s="349" t="s">
        <v>74</v>
      </c>
      <c r="E44" s="350" t="s">
        <v>1111</v>
      </c>
      <c r="F44" s="351" t="s">
        <v>1052</v>
      </c>
      <c r="G44" s="349" t="s">
        <v>1134</v>
      </c>
      <c r="H44" s="351" t="s">
        <v>1054</v>
      </c>
      <c r="I44" s="349" t="s">
        <v>1055</v>
      </c>
      <c r="J44" s="350" t="s">
        <v>1109</v>
      </c>
      <c r="K44" s="349" t="s">
        <v>1042</v>
      </c>
      <c r="L44" s="349" t="s">
        <v>319</v>
      </c>
      <c r="M44" s="349">
        <v>1428</v>
      </c>
      <c r="N44" s="349">
        <v>5</v>
      </c>
      <c r="O44" s="349" t="s">
        <v>1135</v>
      </c>
      <c r="P44" s="479">
        <v>2123</v>
      </c>
      <c r="Q44" s="479">
        <v>12</v>
      </c>
      <c r="R44" s="238">
        <f t="shared" si="5"/>
        <v>240</v>
      </c>
      <c r="S44" s="479">
        <v>50</v>
      </c>
      <c r="T44" s="479">
        <v>8</v>
      </c>
      <c r="U44" s="479">
        <v>2123</v>
      </c>
      <c r="V44" s="479">
        <v>12</v>
      </c>
      <c r="W44" s="479">
        <v>2</v>
      </c>
      <c r="X44" s="479">
        <v>2455</v>
      </c>
      <c r="Y44" s="480" t="s">
        <v>1748</v>
      </c>
    </row>
    <row r="45" spans="1:25" ht="39" hidden="1" x14ac:dyDescent="0.25">
      <c r="A45" s="349" t="s">
        <v>277</v>
      </c>
      <c r="B45" s="349" t="s">
        <v>277</v>
      </c>
      <c r="C45" s="350" t="s">
        <v>320</v>
      </c>
      <c r="D45" s="349" t="s">
        <v>74</v>
      </c>
      <c r="E45" s="350" t="s">
        <v>1136</v>
      </c>
      <c r="F45" s="351" t="s">
        <v>1044</v>
      </c>
      <c r="G45" s="349" t="s">
        <v>1137</v>
      </c>
      <c r="H45" s="351" t="s">
        <v>1039</v>
      </c>
      <c r="I45" s="350" t="s">
        <v>1040</v>
      </c>
      <c r="J45" s="350" t="s">
        <v>1041</v>
      </c>
      <c r="K45" s="349" t="s">
        <v>1042</v>
      </c>
      <c r="L45" s="349" t="s">
        <v>319</v>
      </c>
      <c r="M45" s="349">
        <v>65</v>
      </c>
      <c r="N45" s="349">
        <v>3</v>
      </c>
      <c r="O45" s="350" t="s">
        <v>1138</v>
      </c>
      <c r="P45" s="203">
        <v>6</v>
      </c>
      <c r="Q45" s="203">
        <v>0</v>
      </c>
      <c r="R45" s="238">
        <v>0</v>
      </c>
      <c r="S45" s="203">
        <v>6</v>
      </c>
      <c r="T45" s="203">
        <v>0</v>
      </c>
      <c r="U45" s="203">
        <v>6</v>
      </c>
      <c r="V45" s="203">
        <v>0</v>
      </c>
      <c r="W45" s="203">
        <v>0</v>
      </c>
      <c r="X45" s="203">
        <v>0</v>
      </c>
      <c r="Y45" s="647" t="s">
        <v>1888</v>
      </c>
    </row>
    <row r="46" spans="1:25" ht="39" hidden="1" x14ac:dyDescent="0.25">
      <c r="A46" s="349" t="s">
        <v>277</v>
      </c>
      <c r="B46" s="349" t="s">
        <v>277</v>
      </c>
      <c r="C46" s="350" t="s">
        <v>320</v>
      </c>
      <c r="D46" s="349" t="s">
        <v>74</v>
      </c>
      <c r="E46" s="350" t="s">
        <v>1136</v>
      </c>
      <c r="F46" s="351" t="s">
        <v>1052</v>
      </c>
      <c r="G46" s="349" t="s">
        <v>1139</v>
      </c>
      <c r="H46" s="351" t="s">
        <v>1054</v>
      </c>
      <c r="I46" s="349" t="s">
        <v>1055</v>
      </c>
      <c r="J46" s="350" t="s">
        <v>1056</v>
      </c>
      <c r="K46" s="349" t="s">
        <v>1042</v>
      </c>
      <c r="L46" s="349" t="s">
        <v>319</v>
      </c>
      <c r="M46" s="349">
        <v>13</v>
      </c>
      <c r="N46" s="349">
        <v>20</v>
      </c>
      <c r="O46" s="350" t="s">
        <v>1140</v>
      </c>
      <c r="P46" s="203">
        <v>4</v>
      </c>
      <c r="Q46" s="203">
        <v>1</v>
      </c>
      <c r="R46" s="238">
        <f>ROUND(100*Q46/N46,0)</f>
        <v>5</v>
      </c>
      <c r="S46" s="203">
        <v>6</v>
      </c>
      <c r="T46" s="203">
        <v>1</v>
      </c>
      <c r="U46" s="203">
        <v>6</v>
      </c>
      <c r="V46" s="203">
        <v>1</v>
      </c>
      <c r="W46" s="203">
        <v>1</v>
      </c>
      <c r="X46" s="203">
        <v>173</v>
      </c>
      <c r="Y46" s="663" t="s">
        <v>1897</v>
      </c>
    </row>
    <row r="47" spans="1:25" ht="39" x14ac:dyDescent="0.25">
      <c r="A47" s="349" t="s">
        <v>277</v>
      </c>
      <c r="B47" s="349" t="s">
        <v>277</v>
      </c>
      <c r="C47" s="350" t="s">
        <v>320</v>
      </c>
      <c r="D47" s="349" t="s">
        <v>74</v>
      </c>
      <c r="E47" s="350" t="s">
        <v>1136</v>
      </c>
      <c r="F47" s="350" t="s">
        <v>1141</v>
      </c>
      <c r="G47" s="349" t="s">
        <v>1142</v>
      </c>
      <c r="H47" s="351" t="s">
        <v>1039</v>
      </c>
      <c r="I47" s="351" t="s">
        <v>1039</v>
      </c>
      <c r="J47" s="350" t="s">
        <v>1056</v>
      </c>
      <c r="K47" s="349" t="s">
        <v>1042</v>
      </c>
      <c r="L47" s="349" t="s">
        <v>319</v>
      </c>
      <c r="M47" s="349">
        <v>73</v>
      </c>
      <c r="N47" s="349">
        <v>0</v>
      </c>
      <c r="O47" s="349" t="s">
        <v>1143</v>
      </c>
      <c r="P47" s="476">
        <v>540</v>
      </c>
      <c r="Q47" s="476">
        <v>0</v>
      </c>
      <c r="R47" s="238" t="e">
        <f>ROUND(100*Q47/N47,0)</f>
        <v>#DIV/0!</v>
      </c>
      <c r="S47" s="476">
        <v>4</v>
      </c>
      <c r="T47" s="476">
        <v>0</v>
      </c>
      <c r="U47" s="476">
        <v>540</v>
      </c>
      <c r="V47" s="476">
        <v>0</v>
      </c>
      <c r="W47" s="476">
        <v>0</v>
      </c>
      <c r="X47" s="476">
        <v>0</v>
      </c>
      <c r="Y47" s="479" t="s">
        <v>1891</v>
      </c>
    </row>
    <row r="48" spans="1:25" ht="45" hidden="1" x14ac:dyDescent="0.25">
      <c r="A48" s="349" t="s">
        <v>277</v>
      </c>
      <c r="B48" s="349" t="s">
        <v>277</v>
      </c>
      <c r="C48" s="350" t="s">
        <v>320</v>
      </c>
      <c r="D48" s="349" t="s">
        <v>74</v>
      </c>
      <c r="E48" s="350" t="s">
        <v>1144</v>
      </c>
      <c r="F48" s="351" t="s">
        <v>1044</v>
      </c>
      <c r="G48" s="349" t="s">
        <v>1145</v>
      </c>
      <c r="H48" s="351" t="s">
        <v>1039</v>
      </c>
      <c r="I48" s="350" t="s">
        <v>1040</v>
      </c>
      <c r="J48" s="350" t="s">
        <v>1041</v>
      </c>
      <c r="K48" s="349" t="s">
        <v>1042</v>
      </c>
      <c r="L48" s="349" t="s">
        <v>319</v>
      </c>
      <c r="M48" s="349">
        <v>7</v>
      </c>
      <c r="N48" s="349">
        <v>1</v>
      </c>
      <c r="O48" s="350" t="s">
        <v>1146</v>
      </c>
      <c r="P48" s="203">
        <v>3</v>
      </c>
      <c r="Q48" s="203">
        <v>0</v>
      </c>
      <c r="R48" s="238">
        <f>ROUND(100*Q48/N48,0)</f>
        <v>0</v>
      </c>
      <c r="S48" s="203">
        <v>3</v>
      </c>
      <c r="T48" s="203">
        <v>0</v>
      </c>
      <c r="U48" s="203">
        <v>3</v>
      </c>
      <c r="V48" s="203">
        <v>0</v>
      </c>
      <c r="W48" s="203">
        <v>0</v>
      </c>
      <c r="X48" s="203">
        <v>0</v>
      </c>
      <c r="Y48" s="471" t="s">
        <v>1720</v>
      </c>
    </row>
    <row r="49" spans="1:25" ht="45" hidden="1" x14ac:dyDescent="0.25">
      <c r="A49" s="349" t="s">
        <v>277</v>
      </c>
      <c r="B49" s="349" t="s">
        <v>277</v>
      </c>
      <c r="C49" s="350" t="s">
        <v>320</v>
      </c>
      <c r="D49" s="349" t="s">
        <v>74</v>
      </c>
      <c r="E49" s="350" t="s">
        <v>1144</v>
      </c>
      <c r="F49" s="351" t="s">
        <v>1052</v>
      </c>
      <c r="G49" s="349" t="s">
        <v>1147</v>
      </c>
      <c r="H49" s="351" t="s">
        <v>1054</v>
      </c>
      <c r="I49" s="349" t="s">
        <v>1055</v>
      </c>
      <c r="J49" s="350" t="s">
        <v>1056</v>
      </c>
      <c r="K49" s="349" t="s">
        <v>1042</v>
      </c>
      <c r="L49" s="349" t="s">
        <v>319</v>
      </c>
      <c r="M49" s="349">
        <v>4</v>
      </c>
      <c r="N49" s="349">
        <v>4</v>
      </c>
      <c r="O49" s="350" t="s">
        <v>1140</v>
      </c>
      <c r="P49" s="203">
        <v>6</v>
      </c>
      <c r="Q49" s="203">
        <v>2</v>
      </c>
      <c r="R49" s="238">
        <f>ROUND(100*Q49/N49,0)</f>
        <v>50</v>
      </c>
      <c r="S49" s="203">
        <v>6</v>
      </c>
      <c r="T49" s="203">
        <v>2</v>
      </c>
      <c r="U49" s="203">
        <v>6</v>
      </c>
      <c r="V49" s="203">
        <v>2</v>
      </c>
      <c r="W49" s="203">
        <v>1</v>
      </c>
      <c r="X49" s="203">
        <v>93</v>
      </c>
      <c r="Y49" s="472" t="s">
        <v>1745</v>
      </c>
    </row>
    <row r="50" spans="1:25" ht="39" x14ac:dyDescent="0.25">
      <c r="A50" s="349" t="s">
        <v>277</v>
      </c>
      <c r="B50" s="349" t="s">
        <v>277</v>
      </c>
      <c r="C50" s="350" t="s">
        <v>320</v>
      </c>
      <c r="D50" s="349" t="s">
        <v>74</v>
      </c>
      <c r="E50" s="350" t="s">
        <v>1144</v>
      </c>
      <c r="F50" s="350" t="s">
        <v>1141</v>
      </c>
      <c r="G50" s="349" t="s">
        <v>1148</v>
      </c>
      <c r="H50" s="351" t="s">
        <v>1039</v>
      </c>
      <c r="I50" s="349" t="s">
        <v>1055</v>
      </c>
      <c r="J50" s="350" t="s">
        <v>1056</v>
      </c>
      <c r="K50" s="349" t="s">
        <v>1042</v>
      </c>
      <c r="L50" s="349" t="s">
        <v>319</v>
      </c>
      <c r="M50" s="349">
        <v>1</v>
      </c>
      <c r="N50" s="349">
        <v>0</v>
      </c>
      <c r="O50" s="349" t="s">
        <v>1143</v>
      </c>
      <c r="P50" s="203">
        <v>0</v>
      </c>
      <c r="Q50" s="203">
        <v>0</v>
      </c>
      <c r="R50" s="238" t="e">
        <f>ROUND(100*Q50/N50,0)</f>
        <v>#DIV/0!</v>
      </c>
      <c r="S50" s="203">
        <v>0</v>
      </c>
      <c r="T50" s="203">
        <v>0</v>
      </c>
      <c r="U50" s="203">
        <v>0</v>
      </c>
      <c r="V50" s="203">
        <v>0</v>
      </c>
      <c r="W50" s="203">
        <v>0</v>
      </c>
      <c r="X50" s="203">
        <v>0</v>
      </c>
      <c r="Y50" s="479" t="s">
        <v>1891</v>
      </c>
    </row>
    <row r="51" spans="1:25" x14ac:dyDescent="0.25">
      <c r="A51" s="353"/>
      <c r="B51" s="353"/>
      <c r="C51" s="354"/>
      <c r="D51" s="353"/>
      <c r="E51" s="353"/>
      <c r="F51" s="353"/>
      <c r="G51" s="353"/>
      <c r="H51" s="353"/>
      <c r="I51" s="353"/>
      <c r="J51" s="353"/>
      <c r="K51" s="353"/>
      <c r="L51" s="353"/>
      <c r="M51" s="353"/>
      <c r="N51" s="353"/>
      <c r="O51" s="353"/>
      <c r="P51" s="229"/>
      <c r="Q51" s="229"/>
    </row>
    <row r="52" spans="1:25" x14ac:dyDescent="0.25">
      <c r="A52" s="353"/>
      <c r="B52" s="353"/>
      <c r="C52" s="354"/>
      <c r="D52" s="353"/>
      <c r="E52" s="353"/>
      <c r="F52" s="353"/>
      <c r="G52" s="353"/>
      <c r="H52" s="353"/>
      <c r="I52" s="353"/>
      <c r="J52" s="353"/>
      <c r="K52" s="353"/>
      <c r="L52" s="353"/>
      <c r="M52" s="353"/>
      <c r="N52" s="353"/>
      <c r="O52" s="353"/>
      <c r="P52" s="229"/>
      <c r="Q52" s="229"/>
    </row>
    <row r="53" spans="1:25" x14ac:dyDescent="0.25">
      <c r="A53" s="353"/>
      <c r="B53" s="353"/>
      <c r="C53" s="354"/>
      <c r="D53" s="353"/>
      <c r="E53" s="353"/>
      <c r="F53" s="353"/>
      <c r="G53" s="353"/>
      <c r="H53" s="353"/>
      <c r="I53" s="353"/>
      <c r="J53" s="353"/>
      <c r="K53" s="353"/>
      <c r="L53" s="353"/>
      <c r="M53" s="353"/>
      <c r="N53" s="353"/>
      <c r="O53" s="353"/>
      <c r="P53" s="229"/>
      <c r="Q53" s="229"/>
    </row>
    <row r="54" spans="1:25" x14ac:dyDescent="0.25">
      <c r="M54" s="229"/>
      <c r="N54" s="229"/>
      <c r="O54" s="229"/>
      <c r="P54" s="229"/>
      <c r="Q54" s="229"/>
    </row>
    <row r="55" spans="1:25" x14ac:dyDescent="0.25">
      <c r="M55" s="229"/>
      <c r="N55" s="229"/>
      <c r="O55" s="229"/>
      <c r="P55" s="229"/>
      <c r="Q55" s="229"/>
    </row>
    <row r="56" spans="1:25" x14ac:dyDescent="0.25">
      <c r="M56" s="229"/>
      <c r="N56" s="229"/>
      <c r="O56" s="229"/>
      <c r="P56" s="229"/>
      <c r="Q56" s="229"/>
    </row>
    <row r="57" spans="1:25" x14ac:dyDescent="0.25">
      <c r="M57" s="229"/>
      <c r="N57" s="229"/>
      <c r="O57" s="229"/>
      <c r="P57" s="229"/>
      <c r="Q57" s="229"/>
    </row>
    <row r="58" spans="1:25" x14ac:dyDescent="0.25">
      <c r="M58" s="229"/>
      <c r="N58" s="229"/>
      <c r="O58" s="229"/>
      <c r="P58" s="229"/>
      <c r="Q58" s="229"/>
    </row>
    <row r="59" spans="1:25" x14ac:dyDescent="0.25">
      <c r="M59" s="229"/>
      <c r="N59" s="229"/>
      <c r="O59" s="229"/>
      <c r="P59" s="229"/>
      <c r="Q59" s="229"/>
    </row>
    <row r="60" spans="1:25" x14ac:dyDescent="0.25">
      <c r="M60" s="229"/>
      <c r="N60" s="229"/>
      <c r="O60" s="229"/>
      <c r="P60" s="229"/>
      <c r="Q60" s="229"/>
    </row>
    <row r="61" spans="1:25" x14ac:dyDescent="0.25">
      <c r="M61" s="229"/>
      <c r="N61" s="229"/>
      <c r="O61" s="229"/>
      <c r="P61" s="229"/>
      <c r="Q61" s="229"/>
    </row>
    <row r="62" spans="1:25" x14ac:dyDescent="0.25">
      <c r="M62" s="229"/>
      <c r="N62" s="229"/>
      <c r="O62" s="229"/>
      <c r="P62" s="229"/>
      <c r="Q62" s="229"/>
    </row>
    <row r="63" spans="1:25" x14ac:dyDescent="0.25">
      <c r="M63" s="229"/>
      <c r="N63" s="229"/>
      <c r="O63" s="229"/>
      <c r="P63" s="229"/>
      <c r="Q63" s="229"/>
    </row>
    <row r="64" spans="1:25" x14ac:dyDescent="0.25">
      <c r="M64" s="229"/>
      <c r="N64" s="229"/>
      <c r="O64" s="229"/>
      <c r="P64" s="229"/>
      <c r="Q64" s="229"/>
    </row>
    <row r="65" spans="13:17" x14ac:dyDescent="0.25">
      <c r="M65" s="229"/>
      <c r="N65" s="229"/>
      <c r="O65" s="229"/>
      <c r="P65" s="229"/>
      <c r="Q65" s="229"/>
    </row>
    <row r="66" spans="13:17" x14ac:dyDescent="0.25">
      <c r="M66" s="229"/>
      <c r="N66" s="229"/>
      <c r="O66" s="229"/>
      <c r="P66" s="229"/>
      <c r="Q66" s="229"/>
    </row>
    <row r="67" spans="13:17" x14ac:dyDescent="0.25">
      <c r="M67" s="229"/>
      <c r="N67" s="229"/>
      <c r="O67" s="229"/>
      <c r="P67" s="229"/>
      <c r="Q67" s="229"/>
    </row>
    <row r="68" spans="13:17" x14ac:dyDescent="0.25">
      <c r="M68" s="229"/>
      <c r="N68" s="229"/>
      <c r="O68" s="229"/>
      <c r="P68" s="229"/>
      <c r="Q68" s="229"/>
    </row>
    <row r="69" spans="13:17" x14ac:dyDescent="0.25">
      <c r="M69" s="229"/>
      <c r="N69" s="229"/>
      <c r="O69" s="229"/>
      <c r="P69" s="229"/>
      <c r="Q69" s="229"/>
    </row>
    <row r="70" spans="13:17" x14ac:dyDescent="0.25">
      <c r="M70" s="229"/>
      <c r="N70" s="229"/>
      <c r="O70" s="229"/>
      <c r="P70" s="229"/>
      <c r="Q70" s="229"/>
    </row>
    <row r="71" spans="13:17" x14ac:dyDescent="0.25">
      <c r="M71" s="229"/>
      <c r="N71" s="229"/>
      <c r="O71" s="229"/>
      <c r="P71" s="229"/>
      <c r="Q71" s="229"/>
    </row>
    <row r="72" spans="13:17" x14ac:dyDescent="0.25">
      <c r="M72" s="229"/>
      <c r="N72" s="229"/>
      <c r="O72" s="229"/>
      <c r="P72" s="229"/>
      <c r="Q72" s="229"/>
    </row>
    <row r="73" spans="13:17" x14ac:dyDescent="0.25">
      <c r="M73" s="229"/>
      <c r="N73" s="229"/>
      <c r="O73" s="229"/>
      <c r="P73" s="229"/>
      <c r="Q73" s="229"/>
    </row>
    <row r="74" spans="13:17" x14ac:dyDescent="0.25">
      <c r="M74" s="229"/>
      <c r="N74" s="229"/>
      <c r="O74" s="229"/>
      <c r="P74" s="229"/>
      <c r="Q74" s="229"/>
    </row>
    <row r="75" spans="13:17" x14ac:dyDescent="0.25">
      <c r="M75" s="229"/>
      <c r="N75" s="229"/>
      <c r="O75" s="229"/>
      <c r="P75" s="229"/>
      <c r="Q75" s="229"/>
    </row>
    <row r="76" spans="13:17" x14ac:dyDescent="0.25">
      <c r="M76" s="229"/>
      <c r="N76" s="229"/>
      <c r="O76" s="229"/>
      <c r="P76" s="229"/>
      <c r="Q76" s="229"/>
    </row>
    <row r="77" spans="13:17" x14ac:dyDescent="0.25">
      <c r="M77" s="229"/>
      <c r="N77" s="229"/>
      <c r="O77" s="229"/>
      <c r="P77" s="229"/>
      <c r="Q77" s="229"/>
    </row>
    <row r="78" spans="13:17" x14ac:dyDescent="0.25">
      <c r="M78" s="229"/>
      <c r="N78" s="229"/>
      <c r="O78" s="229"/>
      <c r="P78" s="229"/>
      <c r="Q78" s="229"/>
    </row>
    <row r="79" spans="13:17" x14ac:dyDescent="0.25">
      <c r="M79" s="229"/>
      <c r="N79" s="229"/>
      <c r="O79" s="229"/>
      <c r="P79" s="229"/>
      <c r="Q79" s="229"/>
    </row>
    <row r="80" spans="13:17" x14ac:dyDescent="0.25">
      <c r="M80" s="229"/>
      <c r="N80" s="229"/>
      <c r="O80" s="229"/>
      <c r="P80" s="229"/>
      <c r="Q80" s="229"/>
    </row>
    <row r="81" spans="13:17" x14ac:dyDescent="0.25">
      <c r="M81" s="229"/>
      <c r="N81" s="229"/>
      <c r="O81" s="229"/>
      <c r="P81" s="229"/>
      <c r="Q81" s="229"/>
    </row>
    <row r="82" spans="13:17" x14ac:dyDescent="0.25">
      <c r="M82" s="229"/>
      <c r="N82" s="229"/>
      <c r="O82" s="229"/>
      <c r="P82" s="229"/>
      <c r="Q82" s="229"/>
    </row>
    <row r="83" spans="13:17" x14ac:dyDescent="0.25">
      <c r="M83" s="229"/>
      <c r="N83" s="229"/>
      <c r="O83" s="229"/>
      <c r="P83" s="229"/>
      <c r="Q83" s="229"/>
    </row>
    <row r="84" spans="13:17" x14ac:dyDescent="0.25">
      <c r="M84" s="229"/>
      <c r="N84" s="229"/>
      <c r="O84" s="229"/>
      <c r="P84" s="229"/>
      <c r="Q84" s="229"/>
    </row>
    <row r="85" spans="13:17" x14ac:dyDescent="0.25">
      <c r="M85" s="229"/>
      <c r="N85" s="229"/>
      <c r="O85" s="229"/>
      <c r="P85" s="229"/>
      <c r="Q85" s="229"/>
    </row>
    <row r="86" spans="13:17" x14ac:dyDescent="0.25">
      <c r="M86" s="229"/>
      <c r="N86" s="229"/>
      <c r="O86" s="229"/>
      <c r="P86" s="229"/>
      <c r="Q86" s="229"/>
    </row>
    <row r="87" spans="13:17" x14ac:dyDescent="0.25">
      <c r="M87" s="229"/>
      <c r="N87" s="229"/>
      <c r="O87" s="229"/>
      <c r="P87" s="229"/>
      <c r="Q87" s="229"/>
    </row>
    <row r="88" spans="13:17" x14ac:dyDescent="0.25">
      <c r="M88" s="229"/>
      <c r="N88" s="229"/>
      <c r="O88" s="229"/>
      <c r="P88" s="229"/>
      <c r="Q88" s="229"/>
    </row>
    <row r="89" spans="13:17" x14ac:dyDescent="0.25">
      <c r="M89" s="229"/>
      <c r="N89" s="229"/>
      <c r="O89" s="229"/>
      <c r="P89" s="229"/>
      <c r="Q89" s="229"/>
    </row>
    <row r="90" spans="13:17" x14ac:dyDescent="0.25">
      <c r="M90" s="229"/>
      <c r="N90" s="229"/>
      <c r="O90" s="229"/>
      <c r="P90" s="229"/>
      <c r="Q90" s="229"/>
    </row>
    <row r="91" spans="13:17" x14ac:dyDescent="0.25">
      <c r="M91" s="229"/>
      <c r="N91" s="229"/>
      <c r="O91" s="229"/>
      <c r="P91" s="229"/>
      <c r="Q91" s="229"/>
    </row>
    <row r="92" spans="13:17" x14ac:dyDescent="0.25">
      <c r="M92" s="229"/>
      <c r="N92" s="229"/>
      <c r="O92" s="229"/>
      <c r="P92" s="229"/>
      <c r="Q92" s="229"/>
    </row>
    <row r="93" spans="13:17" x14ac:dyDescent="0.25">
      <c r="M93" s="229"/>
      <c r="N93" s="229"/>
      <c r="O93" s="229"/>
      <c r="P93" s="229"/>
      <c r="Q93" s="229"/>
    </row>
    <row r="94" spans="13:17" x14ac:dyDescent="0.25">
      <c r="M94" s="229"/>
      <c r="N94" s="229"/>
      <c r="O94" s="229"/>
      <c r="P94" s="229"/>
      <c r="Q94" s="229"/>
    </row>
    <row r="95" spans="13:17" x14ac:dyDescent="0.25">
      <c r="M95" s="229"/>
      <c r="N95" s="229"/>
      <c r="O95" s="229"/>
      <c r="P95" s="229"/>
      <c r="Q95" s="229"/>
    </row>
    <row r="96" spans="13:17" x14ac:dyDescent="0.25">
      <c r="M96" s="229"/>
      <c r="N96" s="229"/>
      <c r="O96" s="229"/>
      <c r="P96" s="229"/>
      <c r="Q96" s="229"/>
    </row>
    <row r="97" spans="13:17" x14ac:dyDescent="0.25">
      <c r="M97" s="229"/>
      <c r="N97" s="229"/>
      <c r="O97" s="229"/>
      <c r="P97" s="229"/>
      <c r="Q97" s="229"/>
    </row>
    <row r="98" spans="13:17" x14ac:dyDescent="0.25">
      <c r="M98" s="229"/>
      <c r="N98" s="229"/>
      <c r="O98" s="229"/>
      <c r="P98" s="229"/>
      <c r="Q98" s="229"/>
    </row>
    <row r="99" spans="13:17" x14ac:dyDescent="0.25">
      <c r="M99" s="229"/>
      <c r="N99" s="229"/>
      <c r="O99" s="229"/>
      <c r="P99" s="229"/>
      <c r="Q99" s="229"/>
    </row>
    <row r="100" spans="13:17" x14ac:dyDescent="0.25">
      <c r="M100" s="229"/>
      <c r="N100" s="229"/>
      <c r="O100" s="229"/>
      <c r="P100" s="229"/>
      <c r="Q100" s="229"/>
    </row>
    <row r="101" spans="13:17" x14ac:dyDescent="0.25">
      <c r="M101" s="229"/>
      <c r="N101" s="229"/>
      <c r="O101" s="229"/>
      <c r="P101" s="229"/>
      <c r="Q101" s="229"/>
    </row>
    <row r="102" spans="13:17" x14ac:dyDescent="0.25">
      <c r="M102" s="229"/>
      <c r="N102" s="229"/>
      <c r="O102" s="229"/>
      <c r="P102" s="229"/>
      <c r="Q102" s="229"/>
    </row>
    <row r="103" spans="13:17" x14ac:dyDescent="0.25">
      <c r="M103" s="229"/>
      <c r="N103" s="229"/>
      <c r="O103" s="229"/>
      <c r="P103" s="229"/>
      <c r="Q103" s="229"/>
    </row>
    <row r="104" spans="13:17" x14ac:dyDescent="0.25">
      <c r="M104" s="229"/>
      <c r="N104" s="229"/>
      <c r="O104" s="229"/>
      <c r="P104" s="229"/>
      <c r="Q104" s="229"/>
    </row>
    <row r="105" spans="13:17" x14ac:dyDescent="0.25">
      <c r="M105" s="229"/>
      <c r="N105" s="229"/>
      <c r="O105" s="229"/>
      <c r="P105" s="229"/>
      <c r="Q105" s="229"/>
    </row>
    <row r="106" spans="13:17" x14ac:dyDescent="0.25">
      <c r="M106" s="229"/>
      <c r="N106" s="229"/>
      <c r="O106" s="229"/>
      <c r="P106" s="229"/>
      <c r="Q106" s="229"/>
    </row>
    <row r="107" spans="13:17" x14ac:dyDescent="0.25">
      <c r="M107" s="229"/>
      <c r="N107" s="229"/>
      <c r="O107" s="229"/>
      <c r="P107" s="229"/>
      <c r="Q107" s="229"/>
    </row>
    <row r="108" spans="13:17" x14ac:dyDescent="0.25">
      <c r="M108" s="229"/>
      <c r="N108" s="229"/>
      <c r="O108" s="229"/>
      <c r="P108" s="229"/>
      <c r="Q108" s="229"/>
    </row>
    <row r="109" spans="13:17" x14ac:dyDescent="0.25">
      <c r="M109" s="229"/>
      <c r="N109" s="229"/>
      <c r="O109" s="229"/>
      <c r="P109" s="229"/>
      <c r="Q109" s="229"/>
    </row>
    <row r="110" spans="13:17" x14ac:dyDescent="0.25">
      <c r="M110" s="229"/>
      <c r="N110" s="229"/>
      <c r="O110" s="229"/>
      <c r="P110" s="229"/>
      <c r="Q110" s="229"/>
    </row>
    <row r="111" spans="13:17" x14ac:dyDescent="0.25">
      <c r="M111" s="229"/>
      <c r="N111" s="229"/>
      <c r="O111" s="229"/>
      <c r="P111" s="229"/>
      <c r="Q111" s="229"/>
    </row>
    <row r="112" spans="13:17" x14ac:dyDescent="0.25">
      <c r="M112" s="229"/>
      <c r="N112" s="229"/>
      <c r="O112" s="229"/>
      <c r="P112" s="229"/>
      <c r="Q112" s="229"/>
    </row>
    <row r="113" spans="13:17" x14ac:dyDescent="0.25">
      <c r="M113" s="229"/>
      <c r="N113" s="229"/>
      <c r="O113" s="229"/>
      <c r="P113" s="229"/>
      <c r="Q113" s="229"/>
    </row>
    <row r="114" spans="13:17" x14ac:dyDescent="0.25">
      <c r="M114" s="229"/>
      <c r="N114" s="229"/>
      <c r="O114" s="229"/>
      <c r="P114" s="229"/>
      <c r="Q114" s="229"/>
    </row>
    <row r="115" spans="13:17" x14ac:dyDescent="0.25">
      <c r="M115" s="229"/>
      <c r="N115" s="229"/>
      <c r="O115" s="229"/>
      <c r="P115" s="229"/>
      <c r="Q115" s="229"/>
    </row>
    <row r="116" spans="13:17" x14ac:dyDescent="0.25">
      <c r="M116" s="229"/>
      <c r="N116" s="229"/>
      <c r="O116" s="229"/>
      <c r="P116" s="229"/>
      <c r="Q116" s="229"/>
    </row>
    <row r="117" spans="13:17" x14ac:dyDescent="0.25">
      <c r="M117" s="229"/>
      <c r="N117" s="229"/>
      <c r="O117" s="229"/>
      <c r="P117" s="229"/>
      <c r="Q117" s="229"/>
    </row>
    <row r="118" spans="13:17" x14ac:dyDescent="0.25">
      <c r="M118" s="229"/>
      <c r="N118" s="229"/>
      <c r="O118" s="229"/>
      <c r="P118" s="229"/>
      <c r="Q118" s="229"/>
    </row>
    <row r="119" spans="13:17" x14ac:dyDescent="0.25">
      <c r="M119" s="229"/>
      <c r="N119" s="229"/>
      <c r="O119" s="229"/>
      <c r="P119" s="229"/>
      <c r="Q119" s="229"/>
    </row>
    <row r="120" spans="13:17" x14ac:dyDescent="0.25">
      <c r="M120" s="229"/>
      <c r="N120" s="229"/>
      <c r="O120" s="229"/>
      <c r="P120" s="229"/>
      <c r="Q120" s="229"/>
    </row>
    <row r="121" spans="13:17" x14ac:dyDescent="0.25">
      <c r="M121" s="229"/>
      <c r="N121" s="229"/>
      <c r="O121" s="229"/>
      <c r="P121" s="229"/>
      <c r="Q121" s="229"/>
    </row>
    <row r="122" spans="13:17" x14ac:dyDescent="0.25">
      <c r="M122" s="229"/>
      <c r="N122" s="229"/>
      <c r="O122" s="229"/>
      <c r="P122" s="229"/>
      <c r="Q122" s="229"/>
    </row>
    <row r="123" spans="13:17" x14ac:dyDescent="0.25">
      <c r="M123" s="229"/>
      <c r="N123" s="229"/>
      <c r="O123" s="229"/>
      <c r="P123" s="229"/>
      <c r="Q123" s="229"/>
    </row>
    <row r="124" spans="13:17" x14ac:dyDescent="0.25">
      <c r="M124" s="229"/>
      <c r="N124" s="229"/>
      <c r="O124" s="229"/>
      <c r="P124" s="229"/>
      <c r="Q124" s="229"/>
    </row>
    <row r="125" spans="13:17" x14ac:dyDescent="0.25">
      <c r="M125" s="229"/>
      <c r="N125" s="229"/>
      <c r="O125" s="229"/>
      <c r="P125" s="229"/>
      <c r="Q125" s="229"/>
    </row>
    <row r="126" spans="13:17" x14ac:dyDescent="0.25">
      <c r="M126" s="229"/>
      <c r="N126" s="229"/>
      <c r="O126" s="229"/>
      <c r="P126" s="229"/>
      <c r="Q126" s="229"/>
    </row>
    <row r="127" spans="13:17" x14ac:dyDescent="0.25">
      <c r="M127" s="229"/>
      <c r="N127" s="229"/>
      <c r="O127" s="229"/>
      <c r="P127" s="229"/>
      <c r="Q127" s="229"/>
    </row>
    <row r="128" spans="13:17" x14ac:dyDescent="0.25">
      <c r="M128" s="229"/>
      <c r="N128" s="229"/>
      <c r="O128" s="229"/>
      <c r="P128" s="229"/>
      <c r="Q128" s="229"/>
    </row>
    <row r="129" spans="13:17" x14ac:dyDescent="0.25">
      <c r="M129" s="229"/>
      <c r="N129" s="229"/>
      <c r="O129" s="229"/>
      <c r="P129" s="229"/>
      <c r="Q129" s="229"/>
    </row>
    <row r="130" spans="13:17" x14ac:dyDescent="0.25">
      <c r="M130" s="229"/>
      <c r="N130" s="229"/>
      <c r="O130" s="229"/>
      <c r="P130" s="229"/>
      <c r="Q130" s="229"/>
    </row>
    <row r="131" spans="13:17" x14ac:dyDescent="0.25">
      <c r="M131" s="229"/>
      <c r="N131" s="229"/>
      <c r="O131" s="229"/>
      <c r="P131" s="229"/>
      <c r="Q131" s="229"/>
    </row>
    <row r="132" spans="13:17" x14ac:dyDescent="0.25">
      <c r="M132" s="229"/>
      <c r="N132" s="229"/>
      <c r="O132" s="229"/>
      <c r="P132" s="229"/>
      <c r="Q132" s="229"/>
    </row>
    <row r="133" spans="13:17" x14ac:dyDescent="0.25">
      <c r="M133" s="229"/>
      <c r="N133" s="229"/>
      <c r="O133" s="229"/>
      <c r="P133" s="229"/>
      <c r="Q133" s="229"/>
    </row>
    <row r="134" spans="13:17" x14ac:dyDescent="0.25">
      <c r="M134" s="229"/>
      <c r="N134" s="229"/>
      <c r="O134" s="229"/>
      <c r="P134" s="229"/>
      <c r="Q134" s="229"/>
    </row>
    <row r="135" spans="13:17" x14ac:dyDescent="0.25">
      <c r="M135" s="229"/>
      <c r="N135" s="229"/>
      <c r="O135" s="229"/>
      <c r="P135" s="229"/>
      <c r="Q135" s="229"/>
    </row>
    <row r="136" spans="13:17" x14ac:dyDescent="0.25">
      <c r="M136" s="229"/>
      <c r="N136" s="229"/>
      <c r="O136" s="229"/>
      <c r="P136" s="229"/>
      <c r="Q136" s="229"/>
    </row>
    <row r="137" spans="13:17" x14ac:dyDescent="0.25">
      <c r="M137" s="229"/>
      <c r="N137" s="229"/>
      <c r="O137" s="229"/>
      <c r="P137" s="229"/>
      <c r="Q137" s="229"/>
    </row>
    <row r="138" spans="13:17" x14ac:dyDescent="0.25">
      <c r="M138" s="229"/>
      <c r="N138" s="229"/>
      <c r="O138" s="229"/>
      <c r="P138" s="229"/>
      <c r="Q138" s="229"/>
    </row>
    <row r="139" spans="13:17" x14ac:dyDescent="0.25">
      <c r="M139" s="229"/>
      <c r="N139" s="229"/>
      <c r="O139" s="229"/>
      <c r="P139" s="229"/>
      <c r="Q139" s="229"/>
    </row>
    <row r="140" spans="13:17" x14ac:dyDescent="0.25">
      <c r="M140" s="229"/>
      <c r="N140" s="229"/>
      <c r="O140" s="229"/>
      <c r="P140" s="229"/>
      <c r="Q140" s="229"/>
    </row>
    <row r="141" spans="13:17" x14ac:dyDescent="0.25">
      <c r="M141" s="229"/>
      <c r="N141" s="229"/>
      <c r="O141" s="229"/>
      <c r="P141" s="229"/>
      <c r="Q141" s="229"/>
    </row>
    <row r="142" spans="13:17" x14ac:dyDescent="0.25">
      <c r="M142" s="229"/>
      <c r="N142" s="229"/>
      <c r="O142" s="229"/>
      <c r="P142" s="229"/>
      <c r="Q142" s="229"/>
    </row>
    <row r="143" spans="13:17" x14ac:dyDescent="0.25">
      <c r="M143" s="229"/>
      <c r="N143" s="229"/>
      <c r="O143" s="229"/>
      <c r="P143" s="229"/>
      <c r="Q143" s="229"/>
    </row>
    <row r="144" spans="13:17" x14ac:dyDescent="0.25">
      <c r="M144" s="229"/>
      <c r="N144" s="229"/>
      <c r="O144" s="229"/>
      <c r="P144" s="229"/>
      <c r="Q144" s="229"/>
    </row>
    <row r="145" spans="13:17" x14ac:dyDescent="0.25">
      <c r="M145" s="229"/>
      <c r="N145" s="229"/>
      <c r="O145" s="229"/>
      <c r="P145" s="229"/>
      <c r="Q145" s="229"/>
    </row>
    <row r="146" spans="13:17" x14ac:dyDescent="0.25">
      <c r="M146" s="229"/>
      <c r="N146" s="229"/>
      <c r="O146" s="229"/>
      <c r="P146" s="229"/>
      <c r="Q146" s="229"/>
    </row>
    <row r="147" spans="13:17" x14ac:dyDescent="0.25">
      <c r="M147" s="229"/>
      <c r="N147" s="229"/>
      <c r="O147" s="229"/>
      <c r="P147" s="229"/>
      <c r="Q147" s="229"/>
    </row>
    <row r="148" spans="13:17" x14ac:dyDescent="0.25">
      <c r="M148" s="229"/>
      <c r="N148" s="229"/>
      <c r="O148" s="229"/>
      <c r="P148" s="229"/>
      <c r="Q148" s="229"/>
    </row>
    <row r="149" spans="13:17" x14ac:dyDescent="0.25">
      <c r="M149" s="229"/>
      <c r="N149" s="229"/>
      <c r="O149" s="229"/>
      <c r="P149" s="229"/>
      <c r="Q149" s="229"/>
    </row>
    <row r="150" spans="13:17" x14ac:dyDescent="0.25">
      <c r="M150" s="229"/>
      <c r="N150" s="229"/>
      <c r="O150" s="229"/>
      <c r="P150" s="229"/>
      <c r="Q150" s="229"/>
    </row>
    <row r="151" spans="13:17" x14ac:dyDescent="0.25">
      <c r="M151" s="229"/>
      <c r="N151" s="229"/>
      <c r="O151" s="229"/>
      <c r="P151" s="229"/>
      <c r="Q151" s="229"/>
    </row>
    <row r="152" spans="13:17" x14ac:dyDescent="0.25">
      <c r="M152" s="229"/>
      <c r="N152" s="229"/>
      <c r="O152" s="229"/>
      <c r="P152" s="229"/>
      <c r="Q152" s="229"/>
    </row>
    <row r="153" spans="13:17" x14ac:dyDescent="0.25">
      <c r="M153" s="229"/>
      <c r="N153" s="229"/>
      <c r="O153" s="229"/>
      <c r="P153" s="229"/>
      <c r="Q153" s="229"/>
    </row>
    <row r="154" spans="13:17" x14ac:dyDescent="0.25">
      <c r="M154" s="229"/>
      <c r="N154" s="229"/>
      <c r="O154" s="229"/>
      <c r="P154" s="229"/>
      <c r="Q154" s="229"/>
    </row>
    <row r="155" spans="13:17" x14ac:dyDescent="0.25">
      <c r="M155" s="229"/>
      <c r="N155" s="229"/>
      <c r="O155" s="229"/>
      <c r="P155" s="229"/>
      <c r="Q155" s="229"/>
    </row>
    <row r="156" spans="13:17" x14ac:dyDescent="0.25">
      <c r="M156" s="229"/>
      <c r="N156" s="229"/>
      <c r="O156" s="229"/>
      <c r="P156" s="229"/>
      <c r="Q156" s="229"/>
    </row>
    <row r="157" spans="13:17" x14ac:dyDescent="0.25">
      <c r="M157" s="229"/>
      <c r="N157" s="229"/>
      <c r="O157" s="229"/>
      <c r="P157" s="229"/>
      <c r="Q157" s="229"/>
    </row>
    <row r="158" spans="13:17" x14ac:dyDescent="0.25">
      <c r="M158" s="229"/>
      <c r="N158" s="229"/>
      <c r="O158" s="229"/>
      <c r="P158" s="229"/>
      <c r="Q158" s="229"/>
    </row>
    <row r="159" spans="13:17" x14ac:dyDescent="0.25">
      <c r="M159" s="229"/>
      <c r="N159" s="229"/>
      <c r="O159" s="229"/>
      <c r="P159" s="229"/>
      <c r="Q159" s="229"/>
    </row>
    <row r="160" spans="13:17" x14ac:dyDescent="0.25">
      <c r="M160" s="229"/>
      <c r="N160" s="229"/>
      <c r="O160" s="229"/>
      <c r="P160" s="229"/>
      <c r="Q160" s="229"/>
    </row>
    <row r="161" spans="13:17" x14ac:dyDescent="0.25">
      <c r="M161" s="229"/>
      <c r="N161" s="229"/>
      <c r="O161" s="229"/>
      <c r="P161" s="229"/>
      <c r="Q161" s="229"/>
    </row>
    <row r="162" spans="13:17" x14ac:dyDescent="0.25">
      <c r="M162" s="229"/>
      <c r="N162" s="229"/>
      <c r="O162" s="229"/>
      <c r="P162" s="229"/>
      <c r="Q162" s="229"/>
    </row>
    <row r="163" spans="13:17" x14ac:dyDescent="0.25">
      <c r="M163" s="229"/>
      <c r="N163" s="229"/>
      <c r="O163" s="229"/>
      <c r="P163" s="229"/>
      <c r="Q163" s="229"/>
    </row>
    <row r="164" spans="13:17" x14ac:dyDescent="0.25">
      <c r="M164" s="229"/>
      <c r="N164" s="229"/>
      <c r="O164" s="229"/>
      <c r="P164" s="229"/>
      <c r="Q164" s="229"/>
    </row>
    <row r="165" spans="13:17" x14ac:dyDescent="0.25">
      <c r="M165" s="229"/>
      <c r="N165" s="229"/>
      <c r="O165" s="229"/>
      <c r="P165" s="229"/>
      <c r="Q165" s="229"/>
    </row>
    <row r="166" spans="13:17" x14ac:dyDescent="0.25">
      <c r="M166" s="229"/>
      <c r="N166" s="229"/>
      <c r="O166" s="229"/>
      <c r="P166" s="229"/>
      <c r="Q166" s="229"/>
    </row>
    <row r="167" spans="13:17" x14ac:dyDescent="0.25">
      <c r="M167" s="229"/>
      <c r="N167" s="229"/>
      <c r="O167" s="229"/>
      <c r="P167" s="229"/>
      <c r="Q167" s="229"/>
    </row>
    <row r="168" spans="13:17" x14ac:dyDescent="0.25">
      <c r="M168" s="229"/>
      <c r="N168" s="229"/>
      <c r="O168" s="229"/>
      <c r="P168" s="229"/>
      <c r="Q168" s="229"/>
    </row>
    <row r="169" spans="13:17" x14ac:dyDescent="0.25">
      <c r="M169" s="229"/>
      <c r="N169" s="229"/>
      <c r="O169" s="229"/>
      <c r="P169" s="229"/>
      <c r="Q169" s="229"/>
    </row>
    <row r="170" spans="13:17" x14ac:dyDescent="0.25">
      <c r="M170" s="229"/>
      <c r="N170" s="229"/>
      <c r="O170" s="229"/>
      <c r="P170" s="229"/>
      <c r="Q170" s="229"/>
    </row>
    <row r="171" spans="13:17" x14ac:dyDescent="0.25">
      <c r="M171" s="229"/>
      <c r="N171" s="229"/>
      <c r="O171" s="229"/>
      <c r="P171" s="229"/>
      <c r="Q171" s="229"/>
    </row>
    <row r="172" spans="13:17" x14ac:dyDescent="0.25">
      <c r="M172" s="229"/>
      <c r="N172" s="229"/>
      <c r="O172" s="229"/>
      <c r="P172" s="229"/>
      <c r="Q172" s="229"/>
    </row>
    <row r="173" spans="13:17" x14ac:dyDescent="0.25">
      <c r="M173" s="229"/>
      <c r="N173" s="229"/>
      <c r="O173" s="229"/>
      <c r="P173" s="229"/>
      <c r="Q173" s="229"/>
    </row>
    <row r="174" spans="13:17" x14ac:dyDescent="0.25">
      <c r="M174" s="229"/>
      <c r="N174" s="229"/>
      <c r="O174" s="229"/>
      <c r="P174" s="229"/>
      <c r="Q174" s="229"/>
    </row>
    <row r="175" spans="13:17" x14ac:dyDescent="0.25">
      <c r="M175" s="229"/>
      <c r="N175" s="229"/>
      <c r="O175" s="229"/>
      <c r="P175" s="229"/>
      <c r="Q175" s="229"/>
    </row>
    <row r="176" spans="13:17" x14ac:dyDescent="0.25">
      <c r="M176" s="229"/>
      <c r="N176" s="229"/>
      <c r="O176" s="229"/>
      <c r="P176" s="229"/>
      <c r="Q176" s="229"/>
    </row>
    <row r="177" spans="13:17" x14ac:dyDescent="0.25">
      <c r="M177" s="229"/>
      <c r="N177" s="229"/>
      <c r="O177" s="229"/>
      <c r="P177" s="229"/>
      <c r="Q177" s="229"/>
    </row>
    <row r="178" spans="13:17" x14ac:dyDescent="0.25">
      <c r="M178" s="229"/>
      <c r="N178" s="229"/>
      <c r="O178" s="229"/>
      <c r="P178" s="229"/>
      <c r="Q178" s="229"/>
    </row>
    <row r="179" spans="13:17" x14ac:dyDescent="0.25">
      <c r="M179" s="229"/>
      <c r="N179" s="229"/>
      <c r="O179" s="229"/>
      <c r="P179" s="229"/>
      <c r="Q179" s="229"/>
    </row>
    <row r="180" spans="13:17" x14ac:dyDescent="0.25">
      <c r="M180" s="229"/>
      <c r="N180" s="229"/>
      <c r="O180" s="229"/>
      <c r="P180" s="229"/>
      <c r="Q180" s="229"/>
    </row>
    <row r="181" spans="13:17" x14ac:dyDescent="0.25">
      <c r="M181" s="229"/>
      <c r="N181" s="229"/>
      <c r="O181" s="229"/>
      <c r="P181" s="229"/>
      <c r="Q181" s="229"/>
    </row>
    <row r="182" spans="13:17" x14ac:dyDescent="0.25">
      <c r="M182" s="229"/>
      <c r="N182" s="229"/>
      <c r="O182" s="229"/>
      <c r="P182" s="229"/>
      <c r="Q182" s="229"/>
    </row>
    <row r="183" spans="13:17" x14ac:dyDescent="0.25">
      <c r="M183" s="229"/>
      <c r="N183" s="229"/>
      <c r="O183" s="229"/>
      <c r="P183" s="229"/>
      <c r="Q183" s="229"/>
    </row>
    <row r="184" spans="13:17" x14ac:dyDescent="0.25">
      <c r="M184" s="229"/>
      <c r="N184" s="229"/>
      <c r="O184" s="229"/>
      <c r="P184" s="229"/>
      <c r="Q184" s="229"/>
    </row>
    <row r="185" spans="13:17" x14ac:dyDescent="0.25">
      <c r="M185" s="229"/>
      <c r="N185" s="229"/>
      <c r="O185" s="229"/>
      <c r="P185" s="229"/>
      <c r="Q185" s="229"/>
    </row>
    <row r="186" spans="13:17" x14ac:dyDescent="0.25">
      <c r="M186" s="229"/>
      <c r="N186" s="229"/>
      <c r="O186" s="229"/>
      <c r="P186" s="229"/>
      <c r="Q186" s="229"/>
    </row>
    <row r="187" spans="13:17" x14ac:dyDescent="0.25">
      <c r="M187" s="229"/>
      <c r="N187" s="229"/>
      <c r="O187" s="229"/>
      <c r="P187" s="229"/>
      <c r="Q187" s="229"/>
    </row>
    <row r="188" spans="13:17" x14ac:dyDescent="0.25">
      <c r="M188" s="229"/>
      <c r="N188" s="229"/>
      <c r="O188" s="229"/>
      <c r="P188" s="229"/>
      <c r="Q188" s="229"/>
    </row>
    <row r="189" spans="13:17" x14ac:dyDescent="0.25">
      <c r="M189" s="229"/>
      <c r="N189" s="229"/>
      <c r="O189" s="229"/>
      <c r="P189" s="229"/>
      <c r="Q189" s="229"/>
    </row>
    <row r="190" spans="13:17" x14ac:dyDescent="0.25">
      <c r="M190" s="229"/>
      <c r="N190" s="229"/>
      <c r="O190" s="229"/>
      <c r="P190" s="229"/>
      <c r="Q190" s="229"/>
    </row>
    <row r="191" spans="13:17" x14ac:dyDescent="0.25">
      <c r="M191" s="229"/>
      <c r="N191" s="229"/>
      <c r="O191" s="229"/>
      <c r="P191" s="229"/>
      <c r="Q191" s="229"/>
    </row>
    <row r="192" spans="13:17" x14ac:dyDescent="0.25">
      <c r="M192" s="229"/>
      <c r="N192" s="229"/>
      <c r="O192" s="229"/>
      <c r="P192" s="229"/>
      <c r="Q192" s="229"/>
    </row>
    <row r="193" spans="13:17" x14ac:dyDescent="0.25">
      <c r="M193" s="229"/>
      <c r="N193" s="229"/>
      <c r="O193" s="229"/>
      <c r="P193" s="229"/>
      <c r="Q193" s="229"/>
    </row>
    <row r="194" spans="13:17" x14ac:dyDescent="0.25">
      <c r="M194" s="229"/>
      <c r="N194" s="229"/>
      <c r="O194" s="229"/>
      <c r="P194" s="229"/>
      <c r="Q194" s="229"/>
    </row>
    <row r="195" spans="13:17" x14ac:dyDescent="0.25">
      <c r="M195" s="229"/>
      <c r="N195" s="229"/>
      <c r="O195" s="229"/>
      <c r="P195" s="229"/>
      <c r="Q195" s="229"/>
    </row>
    <row r="196" spans="13:17" x14ac:dyDescent="0.25">
      <c r="M196" s="229"/>
      <c r="N196" s="229"/>
      <c r="O196" s="229"/>
      <c r="P196" s="229"/>
      <c r="Q196" s="229"/>
    </row>
    <row r="197" spans="13:17" x14ac:dyDescent="0.25">
      <c r="M197" s="229"/>
      <c r="N197" s="229"/>
      <c r="O197" s="229"/>
      <c r="P197" s="229"/>
      <c r="Q197" s="229"/>
    </row>
    <row r="198" spans="13:17" x14ac:dyDescent="0.25">
      <c r="M198" s="229"/>
      <c r="N198" s="229"/>
      <c r="O198" s="229"/>
      <c r="P198" s="229"/>
      <c r="Q198" s="229"/>
    </row>
    <row r="199" spans="13:17" x14ac:dyDescent="0.25">
      <c r="M199" s="229"/>
      <c r="N199" s="229"/>
      <c r="O199" s="229"/>
      <c r="P199" s="229"/>
      <c r="Q199" s="229"/>
    </row>
    <row r="200" spans="13:17" x14ac:dyDescent="0.25">
      <c r="M200" s="229"/>
      <c r="N200" s="229"/>
      <c r="O200" s="229"/>
      <c r="P200" s="229"/>
      <c r="Q200" s="229"/>
    </row>
    <row r="201" spans="13:17" x14ac:dyDescent="0.25">
      <c r="M201" s="229"/>
      <c r="N201" s="229"/>
      <c r="O201" s="229"/>
      <c r="P201" s="229"/>
      <c r="Q201" s="229"/>
    </row>
    <row r="202" spans="13:17" x14ac:dyDescent="0.25">
      <c r="M202" s="229"/>
      <c r="N202" s="229"/>
      <c r="O202" s="229"/>
      <c r="P202" s="229"/>
      <c r="Q202" s="229"/>
    </row>
    <row r="203" spans="13:17" x14ac:dyDescent="0.25">
      <c r="M203" s="229"/>
      <c r="N203" s="229"/>
      <c r="O203" s="229"/>
      <c r="P203" s="229"/>
      <c r="Q203" s="229"/>
    </row>
    <row r="204" spans="13:17" x14ac:dyDescent="0.25">
      <c r="M204" s="229"/>
      <c r="N204" s="229"/>
      <c r="O204" s="229"/>
      <c r="P204" s="229"/>
      <c r="Q204" s="229"/>
    </row>
    <row r="205" spans="13:17" x14ac:dyDescent="0.25">
      <c r="M205" s="229"/>
      <c r="N205" s="229"/>
      <c r="O205" s="229"/>
      <c r="P205" s="229"/>
      <c r="Q205" s="229"/>
    </row>
    <row r="206" spans="13:17" x14ac:dyDescent="0.25">
      <c r="M206" s="229"/>
      <c r="N206" s="229"/>
      <c r="O206" s="229"/>
      <c r="P206" s="229"/>
      <c r="Q206" s="229"/>
    </row>
    <row r="207" spans="13:17" x14ac:dyDescent="0.25">
      <c r="M207" s="229"/>
      <c r="N207" s="229"/>
      <c r="O207" s="229"/>
      <c r="P207" s="229"/>
      <c r="Q207" s="229"/>
    </row>
    <row r="208" spans="13:17" x14ac:dyDescent="0.25">
      <c r="M208" s="229"/>
      <c r="N208" s="229"/>
      <c r="O208" s="229"/>
      <c r="P208" s="229"/>
      <c r="Q208" s="229"/>
    </row>
    <row r="209" spans="13:17" x14ac:dyDescent="0.25">
      <c r="M209" s="229"/>
      <c r="N209" s="229"/>
      <c r="O209" s="229"/>
      <c r="P209" s="229"/>
      <c r="Q209" s="229"/>
    </row>
    <row r="210" spans="13:17" x14ac:dyDescent="0.25">
      <c r="M210" s="229"/>
      <c r="N210" s="229"/>
      <c r="O210" s="229"/>
      <c r="P210" s="229"/>
      <c r="Q210" s="229"/>
    </row>
    <row r="211" spans="13:17" x14ac:dyDescent="0.25">
      <c r="M211" s="229"/>
      <c r="N211" s="229"/>
      <c r="O211" s="229"/>
      <c r="P211" s="229"/>
      <c r="Q211" s="229"/>
    </row>
    <row r="212" spans="13:17" x14ac:dyDescent="0.25">
      <c r="M212" s="229"/>
      <c r="N212" s="229"/>
      <c r="O212" s="229"/>
      <c r="P212" s="229"/>
      <c r="Q212" s="229"/>
    </row>
    <row r="213" spans="13:17" x14ac:dyDescent="0.25">
      <c r="M213" s="229"/>
      <c r="N213" s="229"/>
      <c r="O213" s="229"/>
      <c r="P213" s="229"/>
      <c r="Q213" s="229"/>
    </row>
    <row r="214" spans="13:17" x14ac:dyDescent="0.25">
      <c r="M214" s="229"/>
      <c r="N214" s="229"/>
      <c r="O214" s="229"/>
      <c r="P214" s="229"/>
      <c r="Q214" s="229"/>
    </row>
    <row r="215" spans="13:17" x14ac:dyDescent="0.25">
      <c r="M215" s="229"/>
      <c r="N215" s="229"/>
      <c r="O215" s="229"/>
      <c r="P215" s="229"/>
      <c r="Q215" s="229"/>
    </row>
    <row r="216" spans="13:17" x14ac:dyDescent="0.25">
      <c r="M216" s="229"/>
      <c r="N216" s="229"/>
      <c r="O216" s="229"/>
      <c r="P216" s="229"/>
      <c r="Q216" s="229"/>
    </row>
    <row r="217" spans="13:17" x14ac:dyDescent="0.25">
      <c r="M217" s="229"/>
      <c r="N217" s="229"/>
      <c r="O217" s="229"/>
      <c r="P217" s="229"/>
      <c r="Q217" s="229"/>
    </row>
    <row r="218" spans="13:17" x14ac:dyDescent="0.25">
      <c r="M218" s="229"/>
      <c r="N218" s="229"/>
      <c r="O218" s="229"/>
      <c r="P218" s="229"/>
      <c r="Q218" s="229"/>
    </row>
    <row r="219" spans="13:17" x14ac:dyDescent="0.25">
      <c r="M219" s="229"/>
      <c r="N219" s="229"/>
      <c r="O219" s="229"/>
      <c r="P219" s="229"/>
      <c r="Q219" s="229"/>
    </row>
    <row r="220" spans="13:17" x14ac:dyDescent="0.25">
      <c r="M220" s="229"/>
      <c r="N220" s="229"/>
      <c r="O220" s="229"/>
      <c r="P220" s="229"/>
      <c r="Q220" s="229"/>
    </row>
    <row r="221" spans="13:17" x14ac:dyDescent="0.25">
      <c r="M221" s="229"/>
      <c r="N221" s="229"/>
      <c r="O221" s="229"/>
      <c r="P221" s="229"/>
      <c r="Q221" s="229"/>
    </row>
    <row r="222" spans="13:17" x14ac:dyDescent="0.25">
      <c r="M222" s="229"/>
      <c r="N222" s="229"/>
      <c r="O222" s="229"/>
      <c r="P222" s="229"/>
      <c r="Q222" s="229"/>
    </row>
    <row r="223" spans="13:17" x14ac:dyDescent="0.25">
      <c r="M223" s="229"/>
      <c r="N223" s="229"/>
      <c r="O223" s="229"/>
      <c r="P223" s="229"/>
      <c r="Q223" s="229"/>
    </row>
    <row r="224" spans="13:17" x14ac:dyDescent="0.25">
      <c r="M224" s="229"/>
      <c r="N224" s="229"/>
      <c r="O224" s="229"/>
      <c r="P224" s="229"/>
      <c r="Q224" s="229"/>
    </row>
    <row r="225" spans="13:17" x14ac:dyDescent="0.25">
      <c r="M225" s="229"/>
      <c r="N225" s="229"/>
      <c r="O225" s="229"/>
      <c r="P225" s="229"/>
      <c r="Q225" s="229"/>
    </row>
    <row r="226" spans="13:17" x14ac:dyDescent="0.25">
      <c r="M226" s="229"/>
      <c r="N226" s="229"/>
      <c r="O226" s="229"/>
      <c r="P226" s="229"/>
      <c r="Q226" s="229"/>
    </row>
    <row r="227" spans="13:17" x14ac:dyDescent="0.25">
      <c r="M227" s="229"/>
      <c r="N227" s="229"/>
      <c r="O227" s="229"/>
      <c r="P227" s="229"/>
      <c r="Q227" s="229"/>
    </row>
    <row r="228" spans="13:17" x14ac:dyDescent="0.25">
      <c r="M228" s="229"/>
      <c r="N228" s="229"/>
      <c r="O228" s="229"/>
      <c r="P228" s="229"/>
      <c r="Q228" s="229"/>
    </row>
    <row r="229" spans="13:17" x14ac:dyDescent="0.25">
      <c r="M229" s="229"/>
      <c r="N229" s="229"/>
      <c r="O229" s="229"/>
      <c r="P229" s="229"/>
      <c r="Q229" s="229"/>
    </row>
    <row r="230" spans="13:17" x14ac:dyDescent="0.25">
      <c r="M230" s="229"/>
      <c r="N230" s="229"/>
      <c r="O230" s="229"/>
      <c r="P230" s="229"/>
      <c r="Q230" s="229"/>
    </row>
    <row r="231" spans="13:17" x14ac:dyDescent="0.25">
      <c r="M231" s="229"/>
      <c r="N231" s="229"/>
      <c r="O231" s="229"/>
      <c r="P231" s="229"/>
      <c r="Q231" s="229"/>
    </row>
    <row r="232" spans="13:17" x14ac:dyDescent="0.25">
      <c r="M232" s="229"/>
      <c r="N232" s="229"/>
      <c r="O232" s="229"/>
      <c r="P232" s="229"/>
      <c r="Q232" s="229"/>
    </row>
    <row r="233" spans="13:17" x14ac:dyDescent="0.25">
      <c r="M233" s="229"/>
      <c r="N233" s="229"/>
      <c r="O233" s="229"/>
      <c r="P233" s="229"/>
      <c r="Q233" s="229"/>
    </row>
    <row r="234" spans="13:17" x14ac:dyDescent="0.25">
      <c r="M234" s="229"/>
      <c r="N234" s="229"/>
      <c r="O234" s="229"/>
      <c r="P234" s="229"/>
      <c r="Q234" s="229"/>
    </row>
    <row r="235" spans="13:17" x14ac:dyDescent="0.25">
      <c r="M235" s="229"/>
      <c r="N235" s="229"/>
      <c r="O235" s="229"/>
      <c r="P235" s="229"/>
      <c r="Q235" s="229"/>
    </row>
    <row r="236" spans="13:17" x14ac:dyDescent="0.25">
      <c r="M236" s="229"/>
      <c r="N236" s="229"/>
      <c r="O236" s="229"/>
      <c r="P236" s="229"/>
      <c r="Q236" s="229"/>
    </row>
    <row r="237" spans="13:17" x14ac:dyDescent="0.25">
      <c r="M237" s="229"/>
      <c r="N237" s="229"/>
      <c r="O237" s="229"/>
      <c r="P237" s="229"/>
      <c r="Q237" s="229"/>
    </row>
    <row r="238" spans="13:17" x14ac:dyDescent="0.25">
      <c r="M238" s="229"/>
      <c r="N238" s="229"/>
      <c r="O238" s="229"/>
      <c r="P238" s="229"/>
      <c r="Q238" s="229"/>
    </row>
    <row r="239" spans="13:17" x14ac:dyDescent="0.25">
      <c r="M239" s="229"/>
      <c r="N239" s="229"/>
      <c r="O239" s="229"/>
      <c r="P239" s="229"/>
      <c r="Q239" s="229"/>
    </row>
    <row r="240" spans="13:17" x14ac:dyDescent="0.25">
      <c r="M240" s="229"/>
      <c r="N240" s="229"/>
      <c r="O240" s="229"/>
      <c r="P240" s="229"/>
      <c r="Q240" s="229"/>
    </row>
    <row r="241" spans="13:17" x14ac:dyDescent="0.25">
      <c r="M241" s="229"/>
      <c r="N241" s="229"/>
      <c r="O241" s="229"/>
      <c r="P241" s="229"/>
      <c r="Q241" s="229"/>
    </row>
    <row r="242" spans="13:17" x14ac:dyDescent="0.25">
      <c r="M242" s="229"/>
      <c r="N242" s="229"/>
      <c r="O242" s="229"/>
      <c r="P242" s="229"/>
      <c r="Q242" s="229"/>
    </row>
    <row r="243" spans="13:17" x14ac:dyDescent="0.25">
      <c r="M243" s="229"/>
      <c r="N243" s="229"/>
      <c r="O243" s="229"/>
      <c r="P243" s="229"/>
      <c r="Q243" s="229"/>
    </row>
    <row r="244" spans="13:17" x14ac:dyDescent="0.25">
      <c r="M244" s="229"/>
      <c r="N244" s="229"/>
      <c r="O244" s="229"/>
      <c r="P244" s="229"/>
      <c r="Q244" s="229"/>
    </row>
    <row r="245" spans="13:17" x14ac:dyDescent="0.25">
      <c r="M245" s="229"/>
      <c r="N245" s="229"/>
      <c r="O245" s="229"/>
      <c r="P245" s="229"/>
      <c r="Q245" s="229"/>
    </row>
    <row r="246" spans="13:17" x14ac:dyDescent="0.25">
      <c r="M246" s="229"/>
      <c r="N246" s="229"/>
      <c r="O246" s="229"/>
      <c r="P246" s="229"/>
      <c r="Q246" s="229"/>
    </row>
    <row r="247" spans="13:17" x14ac:dyDescent="0.25">
      <c r="M247" s="229"/>
      <c r="N247" s="229"/>
      <c r="O247" s="229"/>
      <c r="P247" s="229"/>
      <c r="Q247" s="229"/>
    </row>
    <row r="248" spans="13:17" x14ac:dyDescent="0.25">
      <c r="M248" s="229"/>
      <c r="N248" s="229"/>
      <c r="O248" s="229"/>
      <c r="P248" s="229"/>
      <c r="Q248" s="229"/>
    </row>
    <row r="249" spans="13:17" x14ac:dyDescent="0.25">
      <c r="M249" s="229"/>
      <c r="N249" s="229"/>
      <c r="O249" s="229"/>
      <c r="P249" s="229"/>
      <c r="Q249" s="229"/>
    </row>
    <row r="250" spans="13:17" x14ac:dyDescent="0.25">
      <c r="M250" s="229"/>
      <c r="N250" s="229"/>
      <c r="O250" s="229"/>
      <c r="P250" s="229"/>
      <c r="Q250" s="229"/>
    </row>
    <row r="251" spans="13:17" x14ac:dyDescent="0.25">
      <c r="M251" s="229"/>
      <c r="N251" s="229"/>
      <c r="O251" s="229"/>
      <c r="P251" s="229"/>
      <c r="Q251" s="229"/>
    </row>
    <row r="252" spans="13:17" x14ac:dyDescent="0.25">
      <c r="M252" s="229"/>
      <c r="N252" s="229"/>
      <c r="O252" s="229"/>
      <c r="P252" s="229"/>
      <c r="Q252" s="229"/>
    </row>
    <row r="253" spans="13:17" x14ac:dyDescent="0.25">
      <c r="M253" s="229"/>
      <c r="N253" s="229"/>
      <c r="O253" s="229"/>
      <c r="P253" s="229"/>
      <c r="Q253" s="229"/>
    </row>
    <row r="254" spans="13:17" x14ac:dyDescent="0.25">
      <c r="M254" s="229"/>
      <c r="N254" s="229"/>
      <c r="O254" s="229"/>
      <c r="P254" s="229"/>
      <c r="Q254" s="229"/>
    </row>
    <row r="255" spans="13:17" x14ac:dyDescent="0.25">
      <c r="M255" s="229"/>
      <c r="N255" s="229"/>
      <c r="O255" s="229"/>
      <c r="P255" s="229"/>
      <c r="Q255" s="229"/>
    </row>
    <row r="256" spans="13:17" x14ac:dyDescent="0.25">
      <c r="M256" s="229"/>
      <c r="N256" s="229"/>
      <c r="O256" s="229"/>
      <c r="P256" s="229"/>
      <c r="Q256" s="229"/>
    </row>
    <row r="257" spans="13:17" x14ac:dyDescent="0.25">
      <c r="M257" s="229"/>
      <c r="N257" s="229"/>
      <c r="O257" s="229"/>
      <c r="P257" s="229"/>
      <c r="Q257" s="229"/>
    </row>
    <row r="258" spans="13:17" x14ac:dyDescent="0.25">
      <c r="M258" s="229"/>
      <c r="N258" s="229"/>
      <c r="O258" s="229"/>
      <c r="P258" s="229"/>
      <c r="Q258" s="229"/>
    </row>
    <row r="259" spans="13:17" x14ac:dyDescent="0.25">
      <c r="M259" s="229"/>
      <c r="N259" s="229"/>
      <c r="O259" s="229"/>
      <c r="P259" s="229"/>
      <c r="Q259" s="229"/>
    </row>
    <row r="260" spans="13:17" x14ac:dyDescent="0.25">
      <c r="M260" s="229"/>
      <c r="N260" s="229"/>
      <c r="O260" s="229"/>
      <c r="P260" s="229"/>
      <c r="Q260" s="229"/>
    </row>
    <row r="261" spans="13:17" x14ac:dyDescent="0.25">
      <c r="M261" s="229"/>
      <c r="N261" s="229"/>
      <c r="O261" s="229"/>
      <c r="P261" s="229"/>
      <c r="Q261" s="229"/>
    </row>
    <row r="262" spans="13:17" x14ac:dyDescent="0.25">
      <c r="M262" s="229"/>
      <c r="N262" s="229"/>
      <c r="O262" s="229"/>
      <c r="P262" s="229"/>
      <c r="Q262" s="229"/>
    </row>
    <row r="263" spans="13:17" x14ac:dyDescent="0.25">
      <c r="M263" s="229"/>
      <c r="N263" s="229"/>
      <c r="O263" s="229"/>
      <c r="P263" s="229"/>
      <c r="Q263" s="229"/>
    </row>
    <row r="264" spans="13:17" x14ac:dyDescent="0.25">
      <c r="M264" s="229"/>
      <c r="N264" s="229"/>
      <c r="O264" s="229"/>
      <c r="P264" s="229"/>
      <c r="Q264" s="229"/>
    </row>
    <row r="265" spans="13:17" x14ac:dyDescent="0.25">
      <c r="M265" s="229"/>
      <c r="N265" s="229"/>
      <c r="O265" s="229"/>
      <c r="P265" s="229"/>
      <c r="Q265" s="229"/>
    </row>
    <row r="266" spans="13:17" x14ac:dyDescent="0.25">
      <c r="M266" s="229"/>
      <c r="N266" s="229"/>
      <c r="O266" s="229"/>
      <c r="P266" s="229"/>
      <c r="Q266" s="229"/>
    </row>
    <row r="267" spans="13:17" x14ac:dyDescent="0.25">
      <c r="M267" s="229"/>
      <c r="N267" s="229"/>
      <c r="O267" s="229"/>
      <c r="P267" s="229"/>
      <c r="Q267" s="229"/>
    </row>
    <row r="268" spans="13:17" x14ac:dyDescent="0.25">
      <c r="M268" s="229"/>
      <c r="N268" s="229"/>
      <c r="O268" s="229"/>
      <c r="P268" s="229"/>
      <c r="Q268" s="229"/>
    </row>
    <row r="269" spans="13:17" x14ac:dyDescent="0.25">
      <c r="M269" s="229"/>
      <c r="N269" s="229"/>
      <c r="O269" s="229"/>
      <c r="P269" s="229"/>
      <c r="Q269" s="229"/>
    </row>
    <row r="270" spans="13:17" x14ac:dyDescent="0.25">
      <c r="M270" s="229"/>
      <c r="N270" s="229"/>
      <c r="O270" s="229"/>
      <c r="P270" s="229"/>
      <c r="Q270" s="229"/>
    </row>
    <row r="271" spans="13:17" x14ac:dyDescent="0.25">
      <c r="M271" s="229"/>
      <c r="N271" s="229"/>
      <c r="O271" s="229"/>
      <c r="P271" s="229"/>
      <c r="Q271" s="229"/>
    </row>
    <row r="272" spans="13:17" x14ac:dyDescent="0.25">
      <c r="M272" s="229"/>
      <c r="N272" s="229"/>
      <c r="O272" s="229"/>
      <c r="P272" s="229"/>
      <c r="Q272" s="229"/>
    </row>
    <row r="273" spans="13:17" x14ac:dyDescent="0.25">
      <c r="M273" s="229"/>
      <c r="N273" s="229"/>
      <c r="O273" s="229"/>
      <c r="P273" s="229"/>
      <c r="Q273" s="229"/>
    </row>
    <row r="274" spans="13:17" x14ac:dyDescent="0.25">
      <c r="M274" s="229"/>
      <c r="N274" s="229"/>
      <c r="O274" s="229"/>
      <c r="P274" s="229"/>
      <c r="Q274" s="229"/>
    </row>
    <row r="275" spans="13:17" x14ac:dyDescent="0.25">
      <c r="M275" s="229"/>
      <c r="N275" s="229"/>
      <c r="O275" s="229"/>
      <c r="P275" s="229"/>
      <c r="Q275" s="229"/>
    </row>
    <row r="276" spans="13:17" x14ac:dyDescent="0.25">
      <c r="M276" s="229"/>
      <c r="N276" s="229"/>
      <c r="O276" s="229"/>
      <c r="P276" s="229"/>
      <c r="Q276" s="229"/>
    </row>
    <row r="277" spans="13:17" x14ac:dyDescent="0.25">
      <c r="M277" s="229"/>
      <c r="N277" s="229"/>
      <c r="O277" s="229"/>
      <c r="P277" s="229"/>
      <c r="Q277" s="229"/>
    </row>
    <row r="278" spans="13:17" x14ac:dyDescent="0.25">
      <c r="M278" s="229"/>
      <c r="N278" s="229"/>
      <c r="O278" s="229"/>
      <c r="P278" s="229"/>
      <c r="Q278" s="229"/>
    </row>
    <row r="279" spans="13:17" x14ac:dyDescent="0.25">
      <c r="M279" s="229"/>
      <c r="N279" s="229"/>
      <c r="O279" s="229"/>
      <c r="P279" s="229"/>
      <c r="Q279" s="229"/>
    </row>
    <row r="280" spans="13:17" x14ac:dyDescent="0.25">
      <c r="M280" s="229"/>
      <c r="N280" s="229"/>
      <c r="O280" s="229"/>
      <c r="P280" s="229"/>
      <c r="Q280" s="229"/>
    </row>
    <row r="281" spans="13:17" x14ac:dyDescent="0.25">
      <c r="M281" s="229"/>
      <c r="N281" s="229"/>
      <c r="O281" s="229"/>
      <c r="P281" s="229"/>
      <c r="Q281" s="229"/>
    </row>
    <row r="282" spans="13:17" x14ac:dyDescent="0.25">
      <c r="M282" s="229"/>
      <c r="N282" s="229"/>
      <c r="O282" s="229"/>
      <c r="P282" s="229"/>
      <c r="Q282" s="229"/>
    </row>
    <row r="283" spans="13:17" x14ac:dyDescent="0.25">
      <c r="M283" s="229"/>
      <c r="N283" s="229"/>
      <c r="O283" s="229"/>
      <c r="P283" s="229"/>
      <c r="Q283" s="229"/>
    </row>
    <row r="284" spans="13:17" x14ac:dyDescent="0.25">
      <c r="M284" s="229"/>
      <c r="N284" s="229"/>
      <c r="O284" s="229"/>
      <c r="P284" s="229"/>
      <c r="Q284" s="229"/>
    </row>
    <row r="285" spans="13:17" x14ac:dyDescent="0.25">
      <c r="M285" s="229"/>
      <c r="N285" s="229"/>
      <c r="O285" s="229"/>
      <c r="P285" s="229"/>
      <c r="Q285" s="229"/>
    </row>
    <row r="286" spans="13:17" x14ac:dyDescent="0.25">
      <c r="M286" s="229"/>
      <c r="N286" s="229"/>
      <c r="O286" s="229"/>
      <c r="P286" s="229"/>
      <c r="Q286" s="229"/>
    </row>
    <row r="287" spans="13:17" x14ac:dyDescent="0.25">
      <c r="M287" s="229"/>
      <c r="N287" s="229"/>
      <c r="O287" s="229"/>
      <c r="P287" s="229"/>
      <c r="Q287" s="229"/>
    </row>
    <row r="288" spans="13:17" x14ac:dyDescent="0.25">
      <c r="M288" s="229"/>
      <c r="N288" s="229"/>
      <c r="O288" s="229"/>
      <c r="P288" s="229"/>
      <c r="Q288" s="229"/>
    </row>
    <row r="289" spans="13:17" x14ac:dyDescent="0.25">
      <c r="M289" s="229"/>
      <c r="N289" s="229"/>
      <c r="O289" s="229"/>
      <c r="P289" s="229"/>
      <c r="Q289" s="229"/>
    </row>
    <row r="290" spans="13:17" x14ac:dyDescent="0.25">
      <c r="M290" s="229"/>
      <c r="N290" s="229"/>
      <c r="O290" s="229"/>
      <c r="P290" s="229"/>
      <c r="Q290" s="229"/>
    </row>
    <row r="291" spans="13:17" x14ac:dyDescent="0.25">
      <c r="M291" s="229"/>
      <c r="N291" s="229"/>
      <c r="O291" s="229"/>
      <c r="P291" s="229"/>
      <c r="Q291" s="229"/>
    </row>
    <row r="292" spans="13:17" x14ac:dyDescent="0.25">
      <c r="M292" s="229"/>
      <c r="N292" s="229"/>
      <c r="O292" s="229"/>
      <c r="P292" s="229"/>
      <c r="Q292" s="229"/>
    </row>
    <row r="293" spans="13:17" x14ac:dyDescent="0.25">
      <c r="M293" s="229"/>
      <c r="N293" s="229"/>
      <c r="O293" s="229"/>
      <c r="P293" s="229"/>
      <c r="Q293" s="229"/>
    </row>
    <row r="294" spans="13:17" x14ac:dyDescent="0.25">
      <c r="M294" s="229"/>
      <c r="N294" s="229"/>
      <c r="O294" s="229"/>
      <c r="P294" s="229"/>
      <c r="Q294" s="229"/>
    </row>
    <row r="295" spans="13:17" x14ac:dyDescent="0.25">
      <c r="M295" s="229"/>
      <c r="N295" s="229"/>
      <c r="O295" s="229"/>
      <c r="P295" s="229"/>
      <c r="Q295" s="229"/>
    </row>
    <row r="296" spans="13:17" x14ac:dyDescent="0.25">
      <c r="M296" s="229"/>
      <c r="N296" s="229"/>
      <c r="O296" s="229"/>
      <c r="P296" s="229"/>
      <c r="Q296" s="229"/>
    </row>
    <row r="297" spans="13:17" x14ac:dyDescent="0.25">
      <c r="M297" s="229"/>
      <c r="N297" s="229"/>
      <c r="O297" s="229"/>
      <c r="P297" s="229"/>
      <c r="Q297" s="229"/>
    </row>
    <row r="298" spans="13:17" x14ac:dyDescent="0.25">
      <c r="M298" s="229"/>
      <c r="N298" s="229"/>
      <c r="O298" s="229"/>
      <c r="P298" s="229"/>
      <c r="Q298" s="229"/>
    </row>
    <row r="299" spans="13:17" x14ac:dyDescent="0.25">
      <c r="M299" s="229"/>
      <c r="N299" s="229"/>
      <c r="O299" s="229"/>
      <c r="P299" s="229"/>
      <c r="Q299" s="229"/>
    </row>
    <row r="300" spans="13:17" x14ac:dyDescent="0.25">
      <c r="M300" s="229"/>
      <c r="N300" s="229"/>
      <c r="O300" s="229"/>
      <c r="P300" s="229"/>
      <c r="Q300" s="229"/>
    </row>
    <row r="301" spans="13:17" x14ac:dyDescent="0.25">
      <c r="M301" s="229"/>
      <c r="N301" s="229"/>
      <c r="O301" s="229"/>
      <c r="P301" s="229"/>
      <c r="Q301" s="229"/>
    </row>
    <row r="302" spans="13:17" x14ac:dyDescent="0.25">
      <c r="M302" s="229"/>
      <c r="N302" s="229"/>
      <c r="O302" s="229"/>
      <c r="P302" s="229"/>
      <c r="Q302" s="229"/>
    </row>
    <row r="303" spans="13:17" x14ac:dyDescent="0.25">
      <c r="M303" s="229"/>
      <c r="N303" s="229"/>
      <c r="O303" s="229"/>
      <c r="P303" s="229"/>
      <c r="Q303" s="229"/>
    </row>
    <row r="304" spans="13:17" x14ac:dyDescent="0.25">
      <c r="M304" s="229"/>
      <c r="N304" s="229"/>
      <c r="O304" s="229"/>
      <c r="P304" s="229"/>
      <c r="Q304" s="229"/>
    </row>
    <row r="305" spans="13:17" x14ac:dyDescent="0.25">
      <c r="M305" s="229"/>
      <c r="N305" s="229"/>
      <c r="O305" s="229"/>
      <c r="P305" s="229"/>
      <c r="Q305" s="229"/>
    </row>
    <row r="306" spans="13:17" x14ac:dyDescent="0.25">
      <c r="M306" s="229"/>
      <c r="N306" s="229"/>
      <c r="O306" s="229"/>
      <c r="P306" s="229"/>
      <c r="Q306" s="229"/>
    </row>
    <row r="307" spans="13:17" x14ac:dyDescent="0.25">
      <c r="M307" s="229"/>
      <c r="N307" s="229"/>
      <c r="O307" s="229"/>
      <c r="P307" s="229"/>
      <c r="Q307" s="229"/>
    </row>
    <row r="308" spans="13:17" x14ac:dyDescent="0.25">
      <c r="M308" s="229"/>
      <c r="N308" s="229"/>
      <c r="O308" s="229"/>
      <c r="P308" s="229"/>
      <c r="Q308" s="229"/>
    </row>
    <row r="309" spans="13:17" x14ac:dyDescent="0.25">
      <c r="M309" s="229"/>
      <c r="N309" s="229"/>
      <c r="O309" s="229"/>
      <c r="P309" s="229"/>
      <c r="Q309" s="229"/>
    </row>
    <row r="310" spans="13:17" x14ac:dyDescent="0.25">
      <c r="M310" s="229"/>
      <c r="N310" s="229"/>
      <c r="O310" s="229"/>
      <c r="P310" s="229"/>
      <c r="Q310" s="229"/>
    </row>
    <row r="311" spans="13:17" x14ac:dyDescent="0.25">
      <c r="M311" s="229"/>
      <c r="N311" s="229"/>
      <c r="O311" s="229"/>
      <c r="P311" s="229"/>
      <c r="Q311" s="229"/>
    </row>
    <row r="312" spans="13:17" x14ac:dyDescent="0.25">
      <c r="M312" s="229"/>
      <c r="N312" s="229"/>
      <c r="O312" s="229"/>
      <c r="P312" s="229"/>
      <c r="Q312" s="229"/>
    </row>
    <row r="313" spans="13:17" x14ac:dyDescent="0.25">
      <c r="M313" s="229"/>
      <c r="N313" s="229"/>
      <c r="O313" s="229"/>
      <c r="P313" s="229"/>
      <c r="Q313" s="229"/>
    </row>
    <row r="314" spans="13:17" x14ac:dyDescent="0.25">
      <c r="M314" s="229"/>
      <c r="N314" s="229"/>
      <c r="O314" s="229"/>
      <c r="P314" s="229"/>
      <c r="Q314" s="229"/>
    </row>
    <row r="315" spans="13:17" x14ac:dyDescent="0.25">
      <c r="M315" s="229"/>
      <c r="N315" s="229"/>
      <c r="O315" s="229"/>
      <c r="P315" s="229"/>
      <c r="Q315" s="229"/>
    </row>
    <row r="316" spans="13:17" x14ac:dyDescent="0.25">
      <c r="M316" s="229"/>
      <c r="N316" s="229"/>
      <c r="O316" s="229"/>
      <c r="P316" s="229"/>
      <c r="Q316" s="229"/>
    </row>
    <row r="317" spans="13:17" x14ac:dyDescent="0.25">
      <c r="M317" s="229"/>
      <c r="N317" s="229"/>
      <c r="O317" s="229"/>
      <c r="P317" s="229"/>
      <c r="Q317" s="229"/>
    </row>
    <row r="318" spans="13:17" x14ac:dyDescent="0.25">
      <c r="M318" s="229"/>
      <c r="N318" s="229"/>
      <c r="O318" s="229"/>
      <c r="P318" s="229"/>
      <c r="Q318" s="229"/>
    </row>
    <row r="319" spans="13:17" x14ac:dyDescent="0.25">
      <c r="M319" s="229"/>
      <c r="N319" s="229"/>
      <c r="O319" s="229"/>
      <c r="P319" s="229"/>
      <c r="Q319" s="229"/>
    </row>
    <row r="320" spans="13:17" x14ac:dyDescent="0.25">
      <c r="M320" s="229"/>
      <c r="N320" s="229"/>
      <c r="O320" s="229"/>
      <c r="P320" s="229"/>
      <c r="Q320" s="229"/>
    </row>
    <row r="321" spans="13:17" x14ac:dyDescent="0.25">
      <c r="M321" s="229"/>
      <c r="N321" s="229"/>
      <c r="O321" s="229"/>
      <c r="P321" s="229"/>
      <c r="Q321" s="229"/>
    </row>
    <row r="322" spans="13:17" x14ac:dyDescent="0.25">
      <c r="M322" s="229"/>
      <c r="N322" s="229"/>
      <c r="O322" s="229"/>
      <c r="P322" s="229"/>
      <c r="Q322" s="229"/>
    </row>
    <row r="323" spans="13:17" x14ac:dyDescent="0.25">
      <c r="M323" s="229"/>
      <c r="N323" s="229"/>
      <c r="O323" s="229"/>
      <c r="P323" s="229"/>
      <c r="Q323" s="229"/>
    </row>
    <row r="324" spans="13:17" x14ac:dyDescent="0.25">
      <c r="M324" s="229"/>
      <c r="N324" s="229"/>
      <c r="O324" s="229"/>
      <c r="P324" s="229"/>
      <c r="Q324" s="229"/>
    </row>
    <row r="325" spans="13:17" x14ac:dyDescent="0.25">
      <c r="M325" s="229"/>
      <c r="N325" s="229"/>
      <c r="O325" s="229"/>
      <c r="P325" s="229"/>
      <c r="Q325" s="229"/>
    </row>
    <row r="326" spans="13:17" x14ac:dyDescent="0.25">
      <c r="M326" s="229"/>
      <c r="N326" s="229"/>
      <c r="O326" s="229"/>
      <c r="P326" s="229"/>
      <c r="Q326" s="229"/>
    </row>
    <row r="327" spans="13:17" x14ac:dyDescent="0.25">
      <c r="M327" s="229"/>
      <c r="N327" s="229"/>
      <c r="O327" s="229"/>
      <c r="P327" s="229"/>
      <c r="Q327" s="229"/>
    </row>
    <row r="328" spans="13:17" x14ac:dyDescent="0.25">
      <c r="M328" s="229"/>
      <c r="N328" s="229"/>
      <c r="O328" s="229"/>
      <c r="P328" s="229"/>
      <c r="Q328" s="229"/>
    </row>
    <row r="329" spans="13:17" x14ac:dyDescent="0.25">
      <c r="M329" s="229"/>
      <c r="N329" s="229"/>
      <c r="O329" s="229"/>
      <c r="P329" s="229"/>
      <c r="Q329" s="229"/>
    </row>
    <row r="330" spans="13:17" x14ac:dyDescent="0.25">
      <c r="M330" s="229"/>
      <c r="N330" s="229"/>
      <c r="O330" s="229"/>
      <c r="P330" s="229"/>
      <c r="Q330" s="229"/>
    </row>
    <row r="331" spans="13:17" x14ac:dyDescent="0.25">
      <c r="M331" s="229"/>
      <c r="N331" s="229"/>
      <c r="O331" s="229"/>
      <c r="P331" s="229"/>
      <c r="Q331" s="229"/>
    </row>
    <row r="332" spans="13:17" x14ac:dyDescent="0.25">
      <c r="M332" s="229"/>
      <c r="N332" s="229"/>
      <c r="O332" s="229"/>
      <c r="P332" s="229"/>
      <c r="Q332" s="229"/>
    </row>
    <row r="333" spans="13:17" x14ac:dyDescent="0.25">
      <c r="M333" s="229"/>
      <c r="N333" s="229"/>
      <c r="O333" s="229"/>
      <c r="P333" s="229"/>
      <c r="Q333" s="229"/>
    </row>
    <row r="334" spans="13:17" x14ac:dyDescent="0.25">
      <c r="M334" s="229"/>
      <c r="N334" s="229"/>
      <c r="O334" s="229"/>
      <c r="P334" s="229"/>
      <c r="Q334" s="229"/>
    </row>
    <row r="335" spans="13:17" x14ac:dyDescent="0.25">
      <c r="M335" s="229"/>
      <c r="N335" s="229"/>
      <c r="O335" s="229"/>
      <c r="P335" s="229"/>
      <c r="Q335" s="229"/>
    </row>
    <row r="336" spans="13:17" x14ac:dyDescent="0.25">
      <c r="M336" s="229"/>
      <c r="N336" s="229"/>
      <c r="O336" s="229"/>
      <c r="P336" s="229"/>
      <c r="Q336" s="229"/>
    </row>
    <row r="337" spans="13:17" x14ac:dyDescent="0.25">
      <c r="M337" s="229"/>
      <c r="N337" s="229"/>
      <c r="O337" s="229"/>
      <c r="P337" s="229"/>
      <c r="Q337" s="229"/>
    </row>
    <row r="338" spans="13:17" x14ac:dyDescent="0.25">
      <c r="M338" s="229"/>
      <c r="N338" s="229"/>
      <c r="O338" s="229"/>
      <c r="P338" s="229"/>
      <c r="Q338" s="229"/>
    </row>
    <row r="339" spans="13:17" x14ac:dyDescent="0.25">
      <c r="M339" s="229"/>
      <c r="N339" s="229"/>
      <c r="O339" s="229"/>
      <c r="P339" s="229"/>
      <c r="Q339" s="229"/>
    </row>
    <row r="340" spans="13:17" x14ac:dyDescent="0.25">
      <c r="M340" s="229"/>
      <c r="N340" s="229"/>
      <c r="O340" s="229"/>
      <c r="P340" s="229"/>
      <c r="Q340" s="229"/>
    </row>
    <row r="341" spans="13:17" x14ac:dyDescent="0.25">
      <c r="M341" s="229"/>
      <c r="N341" s="229"/>
      <c r="O341" s="229"/>
      <c r="P341" s="229"/>
      <c r="Q341" s="229"/>
    </row>
    <row r="342" spans="13:17" x14ac:dyDescent="0.25">
      <c r="M342" s="229"/>
      <c r="N342" s="229"/>
      <c r="O342" s="229"/>
      <c r="P342" s="229"/>
      <c r="Q342" s="229"/>
    </row>
    <row r="343" spans="13:17" x14ac:dyDescent="0.25">
      <c r="M343" s="229"/>
      <c r="N343" s="229"/>
      <c r="O343" s="229"/>
      <c r="P343" s="229"/>
      <c r="Q343" s="229"/>
    </row>
    <row r="344" spans="13:17" x14ac:dyDescent="0.25">
      <c r="M344" s="229"/>
      <c r="N344" s="229"/>
      <c r="O344" s="229"/>
      <c r="P344" s="229"/>
      <c r="Q344" s="229"/>
    </row>
    <row r="345" spans="13:17" x14ac:dyDescent="0.25">
      <c r="M345" s="229"/>
      <c r="N345" s="229"/>
      <c r="O345" s="229"/>
      <c r="P345" s="229"/>
      <c r="Q345" s="229"/>
    </row>
    <row r="346" spans="13:17" x14ac:dyDescent="0.25">
      <c r="M346" s="229"/>
      <c r="N346" s="229"/>
      <c r="O346" s="229"/>
      <c r="P346" s="229"/>
      <c r="Q346" s="229"/>
    </row>
    <row r="347" spans="13:17" x14ac:dyDescent="0.25">
      <c r="M347" s="229"/>
      <c r="N347" s="229"/>
      <c r="O347" s="229"/>
      <c r="P347" s="229"/>
      <c r="Q347" s="229"/>
    </row>
    <row r="348" spans="13:17" x14ac:dyDescent="0.25">
      <c r="M348" s="229"/>
      <c r="N348" s="229"/>
      <c r="O348" s="229"/>
      <c r="P348" s="229"/>
      <c r="Q348" s="229"/>
    </row>
    <row r="349" spans="13:17" x14ac:dyDescent="0.25">
      <c r="M349" s="229"/>
      <c r="N349" s="229"/>
      <c r="O349" s="229"/>
      <c r="P349" s="229"/>
      <c r="Q349" s="229"/>
    </row>
    <row r="350" spans="13:17" x14ac:dyDescent="0.25">
      <c r="M350" s="229"/>
      <c r="N350" s="229"/>
      <c r="O350" s="229"/>
      <c r="P350" s="229"/>
      <c r="Q350" s="229"/>
    </row>
    <row r="351" spans="13:17" x14ac:dyDescent="0.25">
      <c r="M351" s="229"/>
      <c r="N351" s="229"/>
      <c r="O351" s="229"/>
      <c r="P351" s="229"/>
      <c r="Q351" s="229"/>
    </row>
    <row r="352" spans="13:17" x14ac:dyDescent="0.25">
      <c r="M352" s="229"/>
      <c r="N352" s="229"/>
      <c r="O352" s="229"/>
      <c r="P352" s="229"/>
      <c r="Q352" s="229"/>
    </row>
    <row r="353" spans="13:17" x14ac:dyDescent="0.25">
      <c r="M353" s="229"/>
      <c r="N353" s="229"/>
      <c r="O353" s="229"/>
      <c r="P353" s="229"/>
      <c r="Q353" s="229"/>
    </row>
    <row r="354" spans="13:17" x14ac:dyDescent="0.25">
      <c r="M354" s="229"/>
      <c r="N354" s="229"/>
      <c r="O354" s="229"/>
      <c r="P354" s="229"/>
      <c r="Q354" s="229"/>
    </row>
    <row r="355" spans="13:17" x14ac:dyDescent="0.25">
      <c r="M355" s="229"/>
      <c r="N355" s="229"/>
      <c r="O355" s="229"/>
      <c r="P355" s="229"/>
      <c r="Q355" s="229"/>
    </row>
    <row r="356" spans="13:17" x14ac:dyDescent="0.25">
      <c r="M356" s="229"/>
      <c r="N356" s="229"/>
      <c r="O356" s="229"/>
      <c r="P356" s="229"/>
      <c r="Q356" s="229"/>
    </row>
    <row r="357" spans="13:17" x14ac:dyDescent="0.25">
      <c r="M357" s="229"/>
      <c r="N357" s="229"/>
      <c r="O357" s="229"/>
      <c r="P357" s="229"/>
      <c r="Q357" s="229"/>
    </row>
    <row r="358" spans="13:17" x14ac:dyDescent="0.25">
      <c r="M358" s="229"/>
      <c r="N358" s="229"/>
      <c r="O358" s="229"/>
      <c r="P358" s="229"/>
      <c r="Q358" s="229"/>
    </row>
    <row r="359" spans="13:17" x14ac:dyDescent="0.25">
      <c r="M359" s="229"/>
      <c r="N359" s="229"/>
      <c r="O359" s="229"/>
      <c r="P359" s="229"/>
      <c r="Q359" s="229"/>
    </row>
    <row r="360" spans="13:17" x14ac:dyDescent="0.25">
      <c r="M360" s="229"/>
      <c r="N360" s="229"/>
      <c r="O360" s="229"/>
      <c r="P360" s="229"/>
      <c r="Q360" s="229"/>
    </row>
    <row r="361" spans="13:17" x14ac:dyDescent="0.25">
      <c r="M361" s="229"/>
      <c r="N361" s="229"/>
      <c r="O361" s="229"/>
      <c r="P361" s="229"/>
      <c r="Q361" s="229"/>
    </row>
    <row r="362" spans="13:17" x14ac:dyDescent="0.25">
      <c r="M362" s="229"/>
      <c r="N362" s="229"/>
      <c r="O362" s="229"/>
      <c r="P362" s="229"/>
      <c r="Q362" s="229"/>
    </row>
    <row r="363" spans="13:17" x14ac:dyDescent="0.25">
      <c r="M363" s="229"/>
      <c r="N363" s="229"/>
      <c r="O363" s="229"/>
      <c r="P363" s="229"/>
      <c r="Q363" s="229"/>
    </row>
    <row r="364" spans="13:17" x14ac:dyDescent="0.25">
      <c r="M364" s="229"/>
      <c r="N364" s="229"/>
      <c r="O364" s="229"/>
      <c r="P364" s="229"/>
      <c r="Q364" s="229"/>
    </row>
    <row r="365" spans="13:17" x14ac:dyDescent="0.25">
      <c r="M365" s="229"/>
      <c r="N365" s="229"/>
      <c r="O365" s="229"/>
      <c r="P365" s="229"/>
      <c r="Q365" s="229"/>
    </row>
    <row r="366" spans="13:17" x14ac:dyDescent="0.25">
      <c r="M366" s="229"/>
      <c r="N366" s="229"/>
      <c r="O366" s="229"/>
      <c r="P366" s="229"/>
      <c r="Q366" s="229"/>
    </row>
    <row r="367" spans="13:17" x14ac:dyDescent="0.25">
      <c r="M367" s="229"/>
      <c r="N367" s="229"/>
      <c r="O367" s="229"/>
      <c r="P367" s="229"/>
      <c r="Q367" s="229"/>
    </row>
    <row r="368" spans="13:17" x14ac:dyDescent="0.25">
      <c r="M368" s="229"/>
      <c r="N368" s="229"/>
      <c r="O368" s="229"/>
      <c r="P368" s="229"/>
      <c r="Q368" s="229"/>
    </row>
    <row r="369" spans="13:17" x14ac:dyDescent="0.25">
      <c r="M369" s="229"/>
      <c r="N369" s="229"/>
      <c r="O369" s="229"/>
      <c r="P369" s="229"/>
      <c r="Q369" s="229"/>
    </row>
    <row r="370" spans="13:17" x14ac:dyDescent="0.25">
      <c r="M370" s="229"/>
      <c r="N370" s="229"/>
      <c r="O370" s="229"/>
      <c r="P370" s="229"/>
      <c r="Q370" s="229"/>
    </row>
    <row r="371" spans="13:17" x14ac:dyDescent="0.25">
      <c r="M371" s="229"/>
      <c r="N371" s="229"/>
      <c r="O371" s="229"/>
      <c r="P371" s="229"/>
      <c r="Q371" s="229"/>
    </row>
    <row r="372" spans="13:17" x14ac:dyDescent="0.25">
      <c r="M372" s="229"/>
      <c r="N372" s="229"/>
      <c r="O372" s="229"/>
      <c r="P372" s="229"/>
      <c r="Q372" s="229"/>
    </row>
    <row r="373" spans="13:17" x14ac:dyDescent="0.25">
      <c r="M373" s="229"/>
      <c r="N373" s="229"/>
      <c r="O373" s="229"/>
      <c r="P373" s="229"/>
      <c r="Q373" s="229"/>
    </row>
    <row r="374" spans="13:17" x14ac:dyDescent="0.25">
      <c r="M374" s="229"/>
      <c r="N374" s="229"/>
      <c r="O374" s="229"/>
      <c r="P374" s="229"/>
      <c r="Q374" s="229"/>
    </row>
    <row r="375" spans="13:17" x14ac:dyDescent="0.25">
      <c r="M375" s="229"/>
      <c r="N375" s="229"/>
      <c r="O375" s="229"/>
      <c r="P375" s="229"/>
      <c r="Q375" s="229"/>
    </row>
    <row r="376" spans="13:17" x14ac:dyDescent="0.25">
      <c r="M376" s="229"/>
      <c r="N376" s="229"/>
      <c r="O376" s="229"/>
      <c r="P376" s="229"/>
      <c r="Q376" s="229"/>
    </row>
    <row r="377" spans="13:17" x14ac:dyDescent="0.25">
      <c r="M377" s="229"/>
      <c r="N377" s="229"/>
      <c r="O377" s="229"/>
      <c r="P377" s="229"/>
      <c r="Q377" s="229"/>
    </row>
    <row r="378" spans="13:17" x14ac:dyDescent="0.25">
      <c r="M378" s="229"/>
      <c r="N378" s="229"/>
      <c r="O378" s="229"/>
      <c r="P378" s="229"/>
      <c r="Q378" s="229"/>
    </row>
    <row r="379" spans="13:17" x14ac:dyDescent="0.25">
      <c r="M379" s="229"/>
      <c r="N379" s="229"/>
      <c r="O379" s="229"/>
      <c r="P379" s="229"/>
      <c r="Q379" s="229"/>
    </row>
    <row r="380" spans="13:17" x14ac:dyDescent="0.25">
      <c r="M380" s="229"/>
      <c r="N380" s="229"/>
      <c r="O380" s="229"/>
      <c r="P380" s="229"/>
      <c r="Q380" s="229"/>
    </row>
    <row r="381" spans="13:17" x14ac:dyDescent="0.25">
      <c r="M381" s="229"/>
      <c r="N381" s="229"/>
      <c r="O381" s="229"/>
      <c r="P381" s="229"/>
      <c r="Q381" s="229"/>
    </row>
    <row r="382" spans="13:17" x14ac:dyDescent="0.25">
      <c r="M382" s="229"/>
      <c r="N382" s="229"/>
      <c r="O382" s="229"/>
      <c r="P382" s="229"/>
      <c r="Q382" s="229"/>
    </row>
    <row r="383" spans="13:17" x14ac:dyDescent="0.25">
      <c r="M383" s="229"/>
      <c r="N383" s="229"/>
      <c r="O383" s="229"/>
      <c r="P383" s="229"/>
      <c r="Q383" s="229"/>
    </row>
    <row r="384" spans="13:17" x14ac:dyDescent="0.25">
      <c r="M384" s="229"/>
      <c r="N384" s="229"/>
      <c r="O384" s="229"/>
      <c r="P384" s="229"/>
      <c r="Q384" s="229"/>
    </row>
    <row r="385" spans="13:17" x14ac:dyDescent="0.25">
      <c r="M385" s="229"/>
      <c r="N385" s="229"/>
      <c r="O385" s="229"/>
      <c r="P385" s="229"/>
      <c r="Q385" s="229"/>
    </row>
    <row r="386" spans="13:17" x14ac:dyDescent="0.25">
      <c r="M386" s="229"/>
      <c r="N386" s="229"/>
      <c r="O386" s="229"/>
      <c r="P386" s="229"/>
      <c r="Q386" s="229"/>
    </row>
    <row r="387" spans="13:17" x14ac:dyDescent="0.25">
      <c r="M387" s="229"/>
      <c r="N387" s="229"/>
      <c r="O387" s="229"/>
      <c r="P387" s="229"/>
      <c r="Q387" s="229"/>
    </row>
    <row r="388" spans="13:17" x14ac:dyDescent="0.25">
      <c r="M388" s="229"/>
      <c r="N388" s="229"/>
      <c r="O388" s="229"/>
      <c r="P388" s="229"/>
      <c r="Q388" s="229"/>
    </row>
    <row r="389" spans="13:17" x14ac:dyDescent="0.25">
      <c r="M389" s="229"/>
      <c r="N389" s="229"/>
      <c r="O389" s="229"/>
      <c r="P389" s="229"/>
      <c r="Q389" s="229"/>
    </row>
    <row r="390" spans="13:17" x14ac:dyDescent="0.25">
      <c r="M390" s="229"/>
      <c r="N390" s="229"/>
      <c r="O390" s="229"/>
      <c r="P390" s="229"/>
      <c r="Q390" s="229"/>
    </row>
    <row r="391" spans="13:17" x14ac:dyDescent="0.25">
      <c r="M391" s="229"/>
      <c r="N391" s="229"/>
      <c r="O391" s="229"/>
      <c r="P391" s="229"/>
      <c r="Q391" s="229"/>
    </row>
    <row r="392" spans="13:17" x14ac:dyDescent="0.25">
      <c r="M392" s="229"/>
      <c r="N392" s="229"/>
      <c r="O392" s="229"/>
      <c r="P392" s="229"/>
      <c r="Q392" s="229"/>
    </row>
    <row r="393" spans="13:17" x14ac:dyDescent="0.25">
      <c r="M393" s="229"/>
      <c r="N393" s="229"/>
      <c r="O393" s="229"/>
      <c r="P393" s="229"/>
      <c r="Q393" s="229"/>
    </row>
    <row r="394" spans="13:17" x14ac:dyDescent="0.25">
      <c r="M394" s="229"/>
      <c r="N394" s="229"/>
      <c r="O394" s="229"/>
      <c r="P394" s="229"/>
      <c r="Q394" s="229"/>
    </row>
    <row r="395" spans="13:17" x14ac:dyDescent="0.25">
      <c r="M395" s="229"/>
      <c r="N395" s="229"/>
      <c r="O395" s="229"/>
      <c r="P395" s="229"/>
      <c r="Q395" s="229"/>
    </row>
    <row r="396" spans="13:17" x14ac:dyDescent="0.25">
      <c r="M396" s="229"/>
      <c r="N396" s="229"/>
      <c r="O396" s="229"/>
      <c r="P396" s="229"/>
      <c r="Q396" s="229"/>
    </row>
    <row r="397" spans="13:17" x14ac:dyDescent="0.25">
      <c r="M397" s="229"/>
      <c r="N397" s="229"/>
      <c r="O397" s="229"/>
      <c r="P397" s="229"/>
      <c r="Q397" s="229"/>
    </row>
    <row r="398" spans="13:17" x14ac:dyDescent="0.25">
      <c r="M398" s="229"/>
      <c r="N398" s="229"/>
      <c r="O398" s="229"/>
      <c r="P398" s="229"/>
      <c r="Q398" s="229"/>
    </row>
    <row r="399" spans="13:17" x14ac:dyDescent="0.25">
      <c r="M399" s="229"/>
      <c r="N399" s="229"/>
      <c r="O399" s="229"/>
      <c r="P399" s="229"/>
      <c r="Q399" s="229"/>
    </row>
    <row r="400" spans="13:17" x14ac:dyDescent="0.25">
      <c r="M400" s="229"/>
      <c r="N400" s="229"/>
      <c r="O400" s="229"/>
      <c r="P400" s="229"/>
      <c r="Q400" s="229"/>
    </row>
    <row r="401" spans="13:17" x14ac:dyDescent="0.25">
      <c r="M401" s="229"/>
      <c r="N401" s="229"/>
      <c r="O401" s="229"/>
      <c r="P401" s="229"/>
      <c r="Q401" s="229"/>
    </row>
    <row r="402" spans="13:17" x14ac:dyDescent="0.25">
      <c r="M402" s="229"/>
      <c r="N402" s="229"/>
      <c r="O402" s="229"/>
      <c r="P402" s="229"/>
      <c r="Q402" s="229"/>
    </row>
    <row r="403" spans="13:17" x14ac:dyDescent="0.25">
      <c r="M403" s="229"/>
      <c r="N403" s="229"/>
      <c r="O403" s="229"/>
      <c r="P403" s="229"/>
      <c r="Q403" s="229"/>
    </row>
    <row r="404" spans="13:17" x14ac:dyDescent="0.25">
      <c r="M404" s="229"/>
      <c r="N404" s="229"/>
      <c r="O404" s="229"/>
      <c r="P404" s="229"/>
      <c r="Q404" s="229"/>
    </row>
    <row r="405" spans="13:17" x14ac:dyDescent="0.25">
      <c r="M405" s="229"/>
      <c r="N405" s="229"/>
      <c r="O405" s="229"/>
      <c r="P405" s="229"/>
      <c r="Q405" s="229"/>
    </row>
    <row r="406" spans="13:17" x14ac:dyDescent="0.25">
      <c r="M406" s="229"/>
      <c r="N406" s="229"/>
      <c r="O406" s="229"/>
      <c r="P406" s="229"/>
      <c r="Q406" s="229"/>
    </row>
    <row r="407" spans="13:17" x14ac:dyDescent="0.25">
      <c r="M407" s="229"/>
      <c r="N407" s="229"/>
      <c r="O407" s="229"/>
      <c r="P407" s="229"/>
      <c r="Q407" s="229"/>
    </row>
    <row r="408" spans="13:17" x14ac:dyDescent="0.25">
      <c r="M408" s="229"/>
      <c r="N408" s="229"/>
      <c r="O408" s="229"/>
      <c r="P408" s="229"/>
      <c r="Q408" s="229"/>
    </row>
    <row r="409" spans="13:17" x14ac:dyDescent="0.25">
      <c r="M409" s="229"/>
      <c r="N409" s="229"/>
      <c r="O409" s="229"/>
      <c r="P409" s="229"/>
      <c r="Q409" s="229"/>
    </row>
    <row r="410" spans="13:17" x14ac:dyDescent="0.25">
      <c r="M410" s="229"/>
      <c r="N410" s="229"/>
      <c r="O410" s="229"/>
      <c r="P410" s="229"/>
      <c r="Q410" s="229"/>
    </row>
    <row r="411" spans="13:17" x14ac:dyDescent="0.25">
      <c r="M411" s="229"/>
      <c r="N411" s="229"/>
      <c r="O411" s="229"/>
      <c r="P411" s="229"/>
      <c r="Q411" s="229"/>
    </row>
    <row r="412" spans="13:17" x14ac:dyDescent="0.25">
      <c r="M412" s="229"/>
      <c r="N412" s="229"/>
      <c r="O412" s="229"/>
      <c r="P412" s="229"/>
      <c r="Q412" s="229"/>
    </row>
    <row r="413" spans="13:17" x14ac:dyDescent="0.25">
      <c r="M413" s="229"/>
      <c r="N413" s="229"/>
      <c r="O413" s="229"/>
      <c r="P413" s="229"/>
      <c r="Q413" s="229"/>
    </row>
    <row r="414" spans="13:17" x14ac:dyDescent="0.25">
      <c r="M414" s="229"/>
      <c r="N414" s="229"/>
      <c r="O414" s="229"/>
      <c r="P414" s="229"/>
      <c r="Q414" s="229"/>
    </row>
    <row r="415" spans="13:17" x14ac:dyDescent="0.25">
      <c r="M415" s="229"/>
      <c r="N415" s="229"/>
      <c r="O415" s="229"/>
      <c r="P415" s="229"/>
      <c r="Q415" s="229"/>
    </row>
    <row r="416" spans="13:17" x14ac:dyDescent="0.25">
      <c r="M416" s="229"/>
      <c r="N416" s="229"/>
      <c r="O416" s="229"/>
      <c r="P416" s="229"/>
      <c r="Q416" s="229"/>
    </row>
    <row r="417" spans="13:17" x14ac:dyDescent="0.25">
      <c r="M417" s="229"/>
      <c r="N417" s="229"/>
      <c r="O417" s="229"/>
      <c r="P417" s="229"/>
      <c r="Q417" s="229"/>
    </row>
    <row r="418" spans="13:17" x14ac:dyDescent="0.25">
      <c r="M418" s="229"/>
      <c r="N418" s="229"/>
      <c r="O418" s="229"/>
      <c r="P418" s="229"/>
      <c r="Q418" s="229"/>
    </row>
    <row r="419" spans="13:17" x14ac:dyDescent="0.25">
      <c r="M419" s="229"/>
      <c r="N419" s="229"/>
      <c r="O419" s="229"/>
      <c r="P419" s="229"/>
      <c r="Q419" s="229"/>
    </row>
    <row r="420" spans="13:17" x14ac:dyDescent="0.25">
      <c r="M420" s="229"/>
      <c r="N420" s="229"/>
      <c r="O420" s="229"/>
      <c r="P420" s="229"/>
      <c r="Q420" s="229"/>
    </row>
    <row r="421" spans="13:17" x14ac:dyDescent="0.25">
      <c r="M421" s="229"/>
      <c r="N421" s="229"/>
      <c r="O421" s="229"/>
      <c r="P421" s="229"/>
      <c r="Q421" s="229"/>
    </row>
    <row r="422" spans="13:17" x14ac:dyDescent="0.25">
      <c r="M422" s="229"/>
      <c r="N422" s="229"/>
      <c r="O422" s="229"/>
      <c r="P422" s="229"/>
      <c r="Q422" s="229"/>
    </row>
    <row r="423" spans="13:17" x14ac:dyDescent="0.25">
      <c r="M423" s="229"/>
      <c r="N423" s="229"/>
      <c r="O423" s="229"/>
      <c r="P423" s="229"/>
      <c r="Q423" s="229"/>
    </row>
    <row r="424" spans="13:17" x14ac:dyDescent="0.25">
      <c r="M424" s="229"/>
      <c r="N424" s="229"/>
      <c r="O424" s="229"/>
      <c r="P424" s="229"/>
      <c r="Q424" s="229"/>
    </row>
    <row r="425" spans="13:17" x14ac:dyDescent="0.25">
      <c r="M425" s="229"/>
      <c r="N425" s="229"/>
      <c r="O425" s="229"/>
      <c r="P425" s="229"/>
      <c r="Q425" s="229"/>
    </row>
    <row r="426" spans="13:17" x14ac:dyDescent="0.25">
      <c r="M426" s="229"/>
      <c r="N426" s="229"/>
      <c r="O426" s="229"/>
      <c r="P426" s="229"/>
      <c r="Q426" s="229"/>
    </row>
    <row r="427" spans="13:17" x14ac:dyDescent="0.25">
      <c r="M427" s="229"/>
      <c r="N427" s="229"/>
      <c r="O427" s="229"/>
      <c r="P427" s="229"/>
      <c r="Q427" s="229"/>
    </row>
    <row r="428" spans="13:17" x14ac:dyDescent="0.25">
      <c r="M428" s="229"/>
      <c r="N428" s="229"/>
      <c r="O428" s="229"/>
      <c r="P428" s="229"/>
      <c r="Q428" s="229"/>
    </row>
    <row r="429" spans="13:17" x14ac:dyDescent="0.25">
      <c r="M429" s="229"/>
      <c r="N429" s="229"/>
      <c r="O429" s="229"/>
      <c r="P429" s="229"/>
      <c r="Q429" s="229"/>
    </row>
    <row r="430" spans="13:17" x14ac:dyDescent="0.25">
      <c r="M430" s="229"/>
      <c r="N430" s="229"/>
      <c r="O430" s="229"/>
      <c r="P430" s="229"/>
      <c r="Q430" s="229"/>
    </row>
    <row r="431" spans="13:17" x14ac:dyDescent="0.25">
      <c r="M431" s="229"/>
      <c r="N431" s="229"/>
      <c r="O431" s="229"/>
      <c r="P431" s="229"/>
      <c r="Q431" s="229"/>
    </row>
    <row r="432" spans="13:17" x14ac:dyDescent="0.25">
      <c r="M432" s="229"/>
      <c r="N432" s="229"/>
      <c r="O432" s="229"/>
      <c r="P432" s="229"/>
      <c r="Q432" s="229"/>
    </row>
    <row r="433" spans="13:17" x14ac:dyDescent="0.25">
      <c r="M433" s="229"/>
      <c r="N433" s="229"/>
      <c r="O433" s="229"/>
      <c r="P433" s="229"/>
      <c r="Q433" s="229"/>
    </row>
    <row r="434" spans="13:17" x14ac:dyDescent="0.25">
      <c r="M434" s="229"/>
      <c r="N434" s="229"/>
      <c r="O434" s="229"/>
      <c r="P434" s="229"/>
      <c r="Q434" s="229"/>
    </row>
    <row r="435" spans="13:17" x14ac:dyDescent="0.25">
      <c r="M435" s="229"/>
      <c r="N435" s="229"/>
      <c r="O435" s="229"/>
      <c r="P435" s="229"/>
      <c r="Q435" s="229"/>
    </row>
    <row r="436" spans="13:17" x14ac:dyDescent="0.25">
      <c r="M436" s="229"/>
      <c r="N436" s="229"/>
      <c r="O436" s="229"/>
      <c r="P436" s="229"/>
      <c r="Q436" s="229"/>
    </row>
    <row r="437" spans="13:17" x14ac:dyDescent="0.25">
      <c r="M437" s="229"/>
      <c r="N437" s="229"/>
      <c r="O437" s="229"/>
      <c r="P437" s="229"/>
      <c r="Q437" s="229"/>
    </row>
    <row r="438" spans="13:17" x14ac:dyDescent="0.25">
      <c r="M438" s="229"/>
      <c r="N438" s="229"/>
      <c r="O438" s="229"/>
      <c r="P438" s="229"/>
      <c r="Q438" s="229"/>
    </row>
    <row r="439" spans="13:17" x14ac:dyDescent="0.25">
      <c r="M439" s="229"/>
      <c r="N439" s="229"/>
      <c r="O439" s="229"/>
      <c r="P439" s="229"/>
      <c r="Q439" s="229"/>
    </row>
    <row r="440" spans="13:17" x14ac:dyDescent="0.25">
      <c r="M440" s="229"/>
      <c r="N440" s="229"/>
      <c r="O440" s="229"/>
      <c r="P440" s="229"/>
      <c r="Q440" s="229"/>
    </row>
    <row r="441" spans="13:17" x14ac:dyDescent="0.25">
      <c r="M441" s="229"/>
      <c r="N441" s="229"/>
      <c r="O441" s="229"/>
      <c r="P441" s="229"/>
      <c r="Q441" s="229"/>
    </row>
    <row r="442" spans="13:17" x14ac:dyDescent="0.25">
      <c r="M442" s="229"/>
      <c r="N442" s="229"/>
      <c r="O442" s="229"/>
      <c r="P442" s="229"/>
      <c r="Q442" s="229"/>
    </row>
    <row r="443" spans="13:17" x14ac:dyDescent="0.25">
      <c r="M443" s="229"/>
      <c r="N443" s="229"/>
      <c r="O443" s="229"/>
      <c r="P443" s="229"/>
      <c r="Q443" s="229"/>
    </row>
    <row r="444" spans="13:17" x14ac:dyDescent="0.25">
      <c r="M444" s="229"/>
      <c r="N444" s="229"/>
      <c r="O444" s="229"/>
      <c r="P444" s="229"/>
      <c r="Q444" s="229"/>
    </row>
  </sheetData>
  <autoFilter ref="A1:Y50">
    <filterColumn colId="7">
      <filters>
        <filter val="fishing day"/>
        <filter val="vessel x trip"/>
      </filters>
    </filterColumn>
    <filterColumn colId="14">
      <filters>
        <filter val="All Crustaceans/Molluscs sampling including that from IRL E 5,6 &amp;7"/>
        <filter val="All lobster and crab"/>
        <filter val="Crab"/>
        <filter val="Lobster and Crab in the SE"/>
        <filter val="Pot fishery for Lobster and Crab in the West and South West"/>
        <filter val="targeting lobster and Crab in the East"/>
        <filter val="targeting Lobster and crab in the NW region"/>
        <filter val="targeting Lobster and crab off the NW coast"/>
      </filters>
    </filterColumn>
  </autoFilter>
  <mergeCells count="2">
    <mergeCell ref="P4:R4"/>
    <mergeCell ref="S4:Y4"/>
  </mergeCells>
  <pageMargins left="0.7" right="0.7" top="0.75" bottom="0.75" header="0.3" footer="0.3"/>
  <pageSetup paperSize="9" scale="50" fitToHeight="0"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Y463"/>
  <sheetViews>
    <sheetView zoomScale="90" zoomScaleNormal="90" workbookViewId="0">
      <selection activeCell="D40" sqref="D40"/>
    </sheetView>
  </sheetViews>
  <sheetFormatPr defaultRowHeight="12.75" x14ac:dyDescent="0.2"/>
  <cols>
    <col min="2" max="2" width="13" customWidth="1"/>
    <col min="3" max="3" width="16.7109375" customWidth="1"/>
    <col min="4" max="4" width="31.42578125" customWidth="1"/>
    <col min="5" max="5" width="27.42578125" customWidth="1"/>
    <col min="6" max="6" width="63.5703125" customWidth="1"/>
    <col min="7" max="7" width="17.140625" customWidth="1"/>
    <col min="9" max="9" width="11" customWidth="1"/>
    <col min="10" max="10" width="12.28515625" customWidth="1"/>
    <col min="12" max="12" width="16.28515625" customWidth="1"/>
    <col min="13" max="13" width="14.28515625" customWidth="1"/>
    <col min="15" max="15" width="12.7109375" customWidth="1"/>
    <col min="25" max="25" width="52.7109375" customWidth="1"/>
  </cols>
  <sheetData>
    <row r="1" spans="1:25" ht="13.5" thickBot="1" x14ac:dyDescent="0.25">
      <c r="A1" s="46" t="s">
        <v>207</v>
      </c>
      <c r="B1" s="125"/>
      <c r="C1" s="125"/>
      <c r="D1" s="125"/>
      <c r="E1" s="52"/>
      <c r="F1" s="52"/>
    </row>
    <row r="2" spans="1:25" x14ac:dyDescent="0.2">
      <c r="A2" s="126"/>
      <c r="B2" s="81"/>
      <c r="C2" s="81"/>
      <c r="D2" s="81"/>
      <c r="E2" s="96" t="s">
        <v>56</v>
      </c>
      <c r="F2" s="88" t="s">
        <v>50</v>
      </c>
    </row>
    <row r="3" spans="1:25" ht="13.5" thickBot="1" x14ac:dyDescent="0.25">
      <c r="A3" s="78"/>
      <c r="B3" s="79"/>
      <c r="C3" s="79"/>
      <c r="D3" s="79"/>
      <c r="E3" s="97" t="s">
        <v>55</v>
      </c>
      <c r="F3" s="150">
        <v>2019</v>
      </c>
    </row>
    <row r="4" spans="1:25" ht="26.25" thickBot="1" x14ac:dyDescent="0.25">
      <c r="A4" s="127" t="s">
        <v>0</v>
      </c>
      <c r="B4" s="127" t="s">
        <v>208</v>
      </c>
      <c r="C4" s="127" t="s">
        <v>209</v>
      </c>
      <c r="D4" s="127" t="s">
        <v>210</v>
      </c>
      <c r="E4" s="127" t="s">
        <v>211</v>
      </c>
      <c r="F4" s="105" t="s">
        <v>4</v>
      </c>
    </row>
    <row r="5" spans="1:25" ht="38.25" x14ac:dyDescent="0.2">
      <c r="A5" s="368" t="s">
        <v>277</v>
      </c>
      <c r="B5" s="368" t="s">
        <v>1038</v>
      </c>
      <c r="C5" s="368" t="s">
        <v>1149</v>
      </c>
      <c r="D5" s="368" t="s">
        <v>1150</v>
      </c>
      <c r="E5" s="368" t="s">
        <v>1151</v>
      </c>
      <c r="F5" s="368" t="s">
        <v>1152</v>
      </c>
      <c r="G5" s="227"/>
      <c r="H5" s="227"/>
      <c r="I5" s="227"/>
      <c r="J5" s="227"/>
      <c r="K5" s="227"/>
      <c r="L5" s="227"/>
      <c r="M5" s="227"/>
      <c r="N5" s="227"/>
      <c r="O5" s="227"/>
      <c r="P5" s="227"/>
      <c r="Q5" s="227"/>
      <c r="R5" s="227"/>
      <c r="S5" s="227"/>
      <c r="T5" s="227"/>
      <c r="U5" s="227"/>
      <c r="V5" s="227"/>
      <c r="W5" s="227"/>
      <c r="X5" s="227"/>
      <c r="Y5" s="227"/>
    </row>
    <row r="6" spans="1:25" ht="25.5" x14ac:dyDescent="0.2">
      <c r="A6" s="368" t="s">
        <v>277</v>
      </c>
      <c r="B6" s="368" t="s">
        <v>1045</v>
      </c>
      <c r="C6" s="368" t="s">
        <v>1153</v>
      </c>
      <c r="D6" s="368" t="s">
        <v>1154</v>
      </c>
      <c r="E6" s="368" t="s">
        <v>1151</v>
      </c>
      <c r="F6" s="368" t="s">
        <v>1155</v>
      </c>
      <c r="G6" s="364"/>
      <c r="H6" s="364"/>
      <c r="I6" s="277"/>
      <c r="J6" s="277"/>
      <c r="K6" s="355"/>
      <c r="L6" s="356"/>
      <c r="M6" s="357"/>
      <c r="N6" s="365"/>
      <c r="O6" s="366"/>
      <c r="P6" s="227"/>
      <c r="Q6" s="227"/>
      <c r="R6" s="227"/>
      <c r="S6" s="227"/>
      <c r="T6" s="227"/>
      <c r="U6" s="227"/>
      <c r="V6" s="227"/>
      <c r="W6" s="227"/>
      <c r="X6" s="227"/>
      <c r="Y6" s="227"/>
    </row>
    <row r="7" spans="1:25" ht="25.5" x14ac:dyDescent="0.2">
      <c r="A7" s="368" t="s">
        <v>277</v>
      </c>
      <c r="B7" s="368" t="s">
        <v>1048</v>
      </c>
      <c r="C7" s="368" t="s">
        <v>1156</v>
      </c>
      <c r="D7" s="368" t="s">
        <v>1157</v>
      </c>
      <c r="E7" s="368" t="s">
        <v>1151</v>
      </c>
      <c r="F7" s="368" t="s">
        <v>1158</v>
      </c>
      <c r="G7" s="278"/>
      <c r="H7" s="277"/>
      <c r="I7" s="277"/>
      <c r="J7" s="278"/>
      <c r="K7" s="355"/>
      <c r="L7" s="356"/>
      <c r="M7" s="357"/>
      <c r="N7" s="365"/>
      <c r="O7" s="366"/>
      <c r="P7" s="227"/>
      <c r="Q7" s="227"/>
      <c r="R7" s="227"/>
      <c r="S7" s="227"/>
      <c r="T7" s="227"/>
      <c r="U7" s="227"/>
      <c r="V7" s="227"/>
      <c r="W7" s="227"/>
      <c r="X7" s="227"/>
      <c r="Y7" s="227"/>
    </row>
    <row r="8" spans="1:25" ht="38.25" x14ac:dyDescent="0.2">
      <c r="A8" s="368" t="s">
        <v>277</v>
      </c>
      <c r="B8" s="368" t="s">
        <v>1053</v>
      </c>
      <c r="C8" s="368" t="s">
        <v>1159</v>
      </c>
      <c r="D8" s="368" t="s">
        <v>1160</v>
      </c>
      <c r="E8" s="368" t="s">
        <v>1161</v>
      </c>
      <c r="F8" s="368" t="s">
        <v>1162</v>
      </c>
      <c r="G8" s="278"/>
      <c r="H8" s="277"/>
      <c r="I8" s="277"/>
      <c r="J8" s="278"/>
      <c r="K8" s="355"/>
      <c r="L8" s="356"/>
      <c r="M8" s="357"/>
      <c r="N8" s="365"/>
      <c r="O8" s="366"/>
      <c r="P8" s="227"/>
      <c r="Q8" s="227"/>
      <c r="R8" s="227"/>
      <c r="S8" s="227"/>
      <c r="T8" s="227"/>
      <c r="U8" s="227"/>
      <c r="V8" s="227"/>
      <c r="W8" s="227"/>
      <c r="X8" s="227"/>
      <c r="Y8" s="227"/>
    </row>
    <row r="9" spans="1:25" ht="51" x14ac:dyDescent="0.2">
      <c r="A9" s="368" t="s">
        <v>277</v>
      </c>
      <c r="B9" s="368" t="s">
        <v>1059</v>
      </c>
      <c r="C9" s="368" t="s">
        <v>1159</v>
      </c>
      <c r="D9" s="368" t="s">
        <v>1163</v>
      </c>
      <c r="E9" s="368" t="s">
        <v>1161</v>
      </c>
      <c r="F9" s="368" t="s">
        <v>1164</v>
      </c>
      <c r="G9" s="278"/>
      <c r="H9" s="277"/>
      <c r="I9" s="277"/>
      <c r="J9" s="278"/>
      <c r="K9" s="355"/>
      <c r="L9" s="356"/>
      <c r="M9" s="357"/>
      <c r="N9" s="365"/>
      <c r="O9" s="366"/>
      <c r="P9" s="227"/>
      <c r="Q9" s="227"/>
      <c r="R9" s="227"/>
      <c r="S9" s="227"/>
      <c r="T9" s="227"/>
      <c r="U9" s="227"/>
      <c r="V9" s="227"/>
      <c r="W9" s="227"/>
      <c r="X9" s="227"/>
      <c r="Y9" s="227"/>
    </row>
    <row r="10" spans="1:25" ht="38.25" x14ac:dyDescent="0.2">
      <c r="A10" s="368" t="s">
        <v>277</v>
      </c>
      <c r="B10" s="368" t="s">
        <v>1061</v>
      </c>
      <c r="C10" s="368" t="s">
        <v>1159</v>
      </c>
      <c r="D10" s="368" t="s">
        <v>1165</v>
      </c>
      <c r="E10" s="368" t="s">
        <v>1166</v>
      </c>
      <c r="F10" s="368" t="s">
        <v>1167</v>
      </c>
      <c r="G10" s="278"/>
      <c r="H10" s="277"/>
      <c r="I10" s="277"/>
      <c r="J10" s="278"/>
      <c r="K10" s="355"/>
      <c r="L10" s="356"/>
      <c r="M10" s="357"/>
      <c r="N10" s="365"/>
      <c r="O10" s="366"/>
      <c r="P10" s="227"/>
      <c r="Q10" s="227"/>
      <c r="R10" s="227"/>
      <c r="S10" s="227"/>
      <c r="T10" s="227"/>
      <c r="U10" s="227"/>
      <c r="V10" s="227"/>
      <c r="W10" s="227"/>
      <c r="X10" s="227"/>
      <c r="Y10" s="227"/>
    </row>
    <row r="11" spans="1:25" ht="25.5" x14ac:dyDescent="0.2">
      <c r="A11" s="368" t="s">
        <v>277</v>
      </c>
      <c r="B11" s="368" t="s">
        <v>1063</v>
      </c>
      <c r="C11" s="368" t="s">
        <v>1159</v>
      </c>
      <c r="D11" s="368" t="s">
        <v>1168</v>
      </c>
      <c r="E11" s="368" t="s">
        <v>1166</v>
      </c>
      <c r="F11" s="368" t="s">
        <v>1169</v>
      </c>
      <c r="G11" s="278"/>
      <c r="H11" s="277"/>
      <c r="I11" s="277"/>
      <c r="J11" s="278"/>
      <c r="K11" s="355"/>
      <c r="L11" s="356"/>
      <c r="M11" s="357"/>
      <c r="N11" s="365"/>
      <c r="O11" s="366"/>
      <c r="P11" s="227"/>
      <c r="Q11" s="227"/>
      <c r="R11" s="227"/>
      <c r="S11" s="227"/>
      <c r="T11" s="227"/>
      <c r="U11" s="227"/>
      <c r="V11" s="227"/>
      <c r="W11" s="227"/>
      <c r="X11" s="227"/>
      <c r="Y11" s="227"/>
    </row>
    <row r="12" spans="1:25" ht="25.5" x14ac:dyDescent="0.2">
      <c r="A12" s="368" t="s">
        <v>277</v>
      </c>
      <c r="B12" s="368" t="s">
        <v>1067</v>
      </c>
      <c r="C12" s="368" t="s">
        <v>1170</v>
      </c>
      <c r="D12" s="368" t="s">
        <v>1171</v>
      </c>
      <c r="E12" s="368" t="s">
        <v>1151</v>
      </c>
      <c r="F12" s="368" t="s">
        <v>1172</v>
      </c>
      <c r="G12" s="278"/>
      <c r="H12" s="277"/>
      <c r="I12" s="277"/>
      <c r="J12" s="278"/>
      <c r="K12" s="355"/>
      <c r="L12" s="356"/>
      <c r="M12" s="357"/>
      <c r="N12" s="365"/>
      <c r="O12" s="366"/>
      <c r="P12" s="227"/>
      <c r="Q12" s="227"/>
      <c r="R12" s="227"/>
      <c r="S12" s="227"/>
      <c r="T12" s="227"/>
      <c r="U12" s="227"/>
      <c r="V12" s="227"/>
      <c r="W12" s="227"/>
      <c r="X12" s="227"/>
      <c r="Y12" s="227"/>
    </row>
    <row r="13" spans="1:25" ht="38.25" x14ac:dyDescent="0.2">
      <c r="A13" s="368" t="s">
        <v>277</v>
      </c>
      <c r="B13" s="368" t="s">
        <v>1069</v>
      </c>
      <c r="C13" s="368" t="s">
        <v>1173</v>
      </c>
      <c r="D13" s="368" t="s">
        <v>1174</v>
      </c>
      <c r="E13" s="368" t="s">
        <v>1151</v>
      </c>
      <c r="F13" s="368" t="s">
        <v>1175</v>
      </c>
      <c r="G13" s="277"/>
      <c r="H13" s="277"/>
      <c r="I13" s="277"/>
      <c r="J13" s="277"/>
      <c r="K13" s="355"/>
      <c r="L13" s="355"/>
      <c r="M13" s="357"/>
      <c r="N13" s="365"/>
      <c r="O13" s="366"/>
      <c r="P13" s="227"/>
      <c r="Q13" s="227"/>
      <c r="R13" s="227"/>
      <c r="S13" s="227"/>
      <c r="T13" s="227"/>
      <c r="U13" s="227"/>
      <c r="V13" s="227"/>
      <c r="W13" s="227"/>
      <c r="X13" s="227"/>
      <c r="Y13" s="227"/>
    </row>
    <row r="14" spans="1:25" ht="25.5" x14ac:dyDescent="0.2">
      <c r="A14" s="368" t="s">
        <v>277</v>
      </c>
      <c r="B14" s="368" t="s">
        <v>1071</v>
      </c>
      <c r="C14" s="368" t="s">
        <v>1176</v>
      </c>
      <c r="D14" s="368" t="s">
        <v>1177</v>
      </c>
      <c r="E14" s="368" t="s">
        <v>1151</v>
      </c>
      <c r="F14" s="368" t="s">
        <v>1178</v>
      </c>
      <c r="G14" s="277"/>
      <c r="H14" s="277"/>
      <c r="I14" s="277"/>
      <c r="J14" s="277"/>
      <c r="K14" s="355"/>
      <c r="L14" s="355"/>
      <c r="M14" s="357"/>
      <c r="N14" s="365"/>
      <c r="O14" s="366"/>
      <c r="P14" s="227"/>
      <c r="Q14" s="227"/>
      <c r="R14" s="227"/>
      <c r="S14" s="227"/>
      <c r="T14" s="227"/>
      <c r="U14" s="227"/>
      <c r="V14" s="227"/>
      <c r="W14" s="227"/>
      <c r="X14" s="227"/>
      <c r="Y14" s="227"/>
    </row>
    <row r="15" spans="1:25" ht="25.5" x14ac:dyDescent="0.2">
      <c r="A15" s="368" t="s">
        <v>277</v>
      </c>
      <c r="B15" s="368" t="s">
        <v>1074</v>
      </c>
      <c r="C15" s="368" t="s">
        <v>1179</v>
      </c>
      <c r="D15" s="368" t="s">
        <v>1180</v>
      </c>
      <c r="E15" s="368" t="s">
        <v>1151</v>
      </c>
      <c r="F15" s="368" t="s">
        <v>1181</v>
      </c>
      <c r="G15" s="277"/>
      <c r="H15" s="277"/>
      <c r="I15" s="277"/>
      <c r="J15" s="277"/>
      <c r="K15" s="355"/>
      <c r="L15" s="355"/>
      <c r="M15" s="357"/>
      <c r="N15" s="365"/>
      <c r="O15" s="366"/>
      <c r="P15" s="227"/>
      <c r="Q15" s="227"/>
      <c r="R15" s="227"/>
      <c r="S15" s="227"/>
      <c r="T15" s="227"/>
      <c r="U15" s="227"/>
      <c r="V15" s="227"/>
      <c r="W15" s="227"/>
      <c r="X15" s="227"/>
      <c r="Y15" s="227"/>
    </row>
    <row r="16" spans="1:25" ht="229.5" x14ac:dyDescent="0.2">
      <c r="A16" s="368" t="s">
        <v>277</v>
      </c>
      <c r="B16" s="368" t="s">
        <v>1076</v>
      </c>
      <c r="C16" s="368" t="s">
        <v>1182</v>
      </c>
      <c r="D16" s="368" t="s">
        <v>1073</v>
      </c>
      <c r="E16" s="368" t="s">
        <v>1151</v>
      </c>
      <c r="F16" s="368" t="s">
        <v>1183</v>
      </c>
      <c r="G16" s="277"/>
      <c r="H16" s="277"/>
      <c r="I16" s="277"/>
      <c r="J16" s="278"/>
      <c r="K16" s="355"/>
      <c r="L16" s="355"/>
      <c r="M16" s="357"/>
      <c r="N16" s="365"/>
      <c r="O16" s="366"/>
      <c r="P16" s="227"/>
      <c r="Q16" s="227"/>
      <c r="R16" s="227"/>
      <c r="S16" s="227"/>
      <c r="T16" s="227"/>
      <c r="U16" s="227"/>
      <c r="V16" s="227"/>
      <c r="W16" s="227"/>
      <c r="X16" s="227"/>
      <c r="Y16" s="227"/>
    </row>
    <row r="17" spans="1:25" ht="25.5" x14ac:dyDescent="0.2">
      <c r="A17" s="368" t="s">
        <v>277</v>
      </c>
      <c r="B17" s="368" t="s">
        <v>1078</v>
      </c>
      <c r="C17" s="368" t="s">
        <v>1179</v>
      </c>
      <c r="D17" s="368" t="s">
        <v>1047</v>
      </c>
      <c r="E17" s="368" t="s">
        <v>1151</v>
      </c>
      <c r="F17" s="368" t="s">
        <v>1184</v>
      </c>
      <c r="G17" s="277"/>
      <c r="H17" s="277"/>
      <c r="I17" s="277"/>
      <c r="J17" s="278"/>
      <c r="K17" s="358"/>
      <c r="L17" s="356"/>
      <c r="M17" s="358"/>
      <c r="N17" s="356"/>
      <c r="O17" s="366"/>
      <c r="P17" s="227"/>
      <c r="Q17" s="227"/>
      <c r="R17" s="227"/>
      <c r="S17" s="227"/>
      <c r="T17" s="227"/>
      <c r="U17" s="227"/>
      <c r="V17" s="227"/>
      <c r="W17" s="227"/>
      <c r="X17" s="227"/>
      <c r="Y17" s="227"/>
    </row>
    <row r="18" spans="1:25" ht="38.25" x14ac:dyDescent="0.2">
      <c r="A18" s="368" t="s">
        <v>277</v>
      </c>
      <c r="B18" s="368" t="s">
        <v>1080</v>
      </c>
      <c r="C18" s="368" t="s">
        <v>1185</v>
      </c>
      <c r="D18" s="368" t="s">
        <v>1186</v>
      </c>
      <c r="E18" s="368" t="s">
        <v>1187</v>
      </c>
      <c r="F18" s="368" t="s">
        <v>1188</v>
      </c>
      <c r="G18" s="277"/>
      <c r="H18" s="277"/>
      <c r="I18" s="277"/>
      <c r="J18" s="278"/>
      <c r="K18" s="358"/>
      <c r="L18" s="356"/>
      <c r="M18" s="358"/>
      <c r="N18" s="356"/>
      <c r="O18" s="366"/>
      <c r="P18" s="227"/>
      <c r="Q18" s="227"/>
      <c r="R18" s="227"/>
      <c r="S18" s="227"/>
      <c r="T18" s="227"/>
      <c r="U18" s="227"/>
      <c r="V18" s="227"/>
      <c r="W18" s="227"/>
      <c r="X18" s="227"/>
      <c r="Y18" s="227"/>
    </row>
    <row r="19" spans="1:25" ht="25.5" x14ac:dyDescent="0.2">
      <c r="A19" s="368" t="s">
        <v>277</v>
      </c>
      <c r="B19" s="368" t="s">
        <v>1082</v>
      </c>
      <c r="C19" s="368" t="s">
        <v>1185</v>
      </c>
      <c r="D19" s="368" t="s">
        <v>1189</v>
      </c>
      <c r="E19" s="368" t="s">
        <v>1187</v>
      </c>
      <c r="F19" s="368" t="s">
        <v>1190</v>
      </c>
      <c r="G19" s="277"/>
      <c r="H19" s="277"/>
      <c r="I19" s="277"/>
      <c r="J19" s="278"/>
      <c r="K19" s="358"/>
      <c r="L19" s="356"/>
      <c r="M19" s="358"/>
      <c r="N19" s="356"/>
      <c r="O19" s="366"/>
      <c r="P19" s="227"/>
      <c r="Q19" s="227"/>
      <c r="R19" s="227"/>
      <c r="S19" s="227"/>
      <c r="T19" s="227"/>
      <c r="U19" s="227"/>
      <c r="V19" s="227"/>
      <c r="W19" s="227"/>
      <c r="X19" s="227"/>
      <c r="Y19" s="227"/>
    </row>
    <row r="20" spans="1:25" ht="38.25" x14ac:dyDescent="0.2">
      <c r="A20" s="368" t="s">
        <v>277</v>
      </c>
      <c r="B20" s="368" t="s">
        <v>1085</v>
      </c>
      <c r="C20" s="368" t="s">
        <v>1191</v>
      </c>
      <c r="D20" s="368" t="s">
        <v>1192</v>
      </c>
      <c r="E20" s="368" t="s">
        <v>1151</v>
      </c>
      <c r="F20" s="368" t="s">
        <v>1193</v>
      </c>
      <c r="G20" s="277"/>
      <c r="H20" s="277"/>
      <c r="I20" s="277"/>
      <c r="J20" s="278"/>
      <c r="K20" s="358"/>
      <c r="L20" s="356"/>
      <c r="M20" s="358"/>
      <c r="N20" s="356"/>
      <c r="O20" s="366"/>
      <c r="P20" s="227"/>
      <c r="Q20" s="227"/>
      <c r="R20" s="227"/>
      <c r="S20" s="227"/>
      <c r="T20" s="227"/>
      <c r="U20" s="227"/>
      <c r="V20" s="227"/>
      <c r="W20" s="227"/>
      <c r="X20" s="227"/>
      <c r="Y20" s="227"/>
    </row>
    <row r="21" spans="1:25" ht="38.25" x14ac:dyDescent="0.2">
      <c r="A21" s="368" t="s">
        <v>277</v>
      </c>
      <c r="B21" s="368" t="s">
        <v>1087</v>
      </c>
      <c r="C21" s="368" t="s">
        <v>1194</v>
      </c>
      <c r="D21" s="368" t="s">
        <v>1195</v>
      </c>
      <c r="E21" s="368" t="s">
        <v>1196</v>
      </c>
      <c r="F21" s="368" t="s">
        <v>1197</v>
      </c>
      <c r="G21" s="364"/>
      <c r="H21" s="367"/>
      <c r="I21" s="358"/>
      <c r="J21" s="356"/>
      <c r="K21" s="358"/>
      <c r="L21" s="356"/>
      <c r="M21" s="358"/>
      <c r="N21" s="356"/>
      <c r="O21" s="366"/>
      <c r="P21" s="227"/>
      <c r="Q21" s="227"/>
      <c r="R21" s="227"/>
      <c r="S21" s="227"/>
      <c r="T21" s="227"/>
      <c r="U21" s="227"/>
      <c r="V21" s="227"/>
      <c r="W21" s="227"/>
      <c r="X21" s="227"/>
      <c r="Y21" s="227"/>
    </row>
    <row r="22" spans="1:25" ht="25.5" x14ac:dyDescent="0.2">
      <c r="A22" s="368" t="s">
        <v>277</v>
      </c>
      <c r="B22" s="368" t="s">
        <v>1089</v>
      </c>
      <c r="C22" s="368" t="s">
        <v>1198</v>
      </c>
      <c r="D22" s="368" t="s">
        <v>1199</v>
      </c>
      <c r="E22" s="368" t="s">
        <v>1151</v>
      </c>
      <c r="F22" s="368" t="s">
        <v>1200</v>
      </c>
      <c r="G22" s="364"/>
      <c r="H22" s="367"/>
      <c r="I22" s="358"/>
      <c r="J22" s="356"/>
      <c r="K22" s="358"/>
      <c r="L22" s="356"/>
      <c r="M22" s="358"/>
      <c r="N22" s="356"/>
      <c r="O22" s="366"/>
      <c r="P22" s="227"/>
      <c r="Q22" s="227"/>
      <c r="R22" s="227"/>
      <c r="S22" s="227"/>
      <c r="T22" s="227"/>
      <c r="U22" s="227"/>
      <c r="V22" s="227"/>
      <c r="W22" s="227"/>
      <c r="X22" s="227"/>
      <c r="Y22" s="227"/>
    </row>
    <row r="23" spans="1:25" ht="25.5" x14ac:dyDescent="0.2">
      <c r="A23" s="368" t="s">
        <v>277</v>
      </c>
      <c r="B23" s="368" t="s">
        <v>1091</v>
      </c>
      <c r="C23" s="368" t="s">
        <v>1201</v>
      </c>
      <c r="D23" s="368" t="s">
        <v>1202</v>
      </c>
      <c r="E23" s="368"/>
      <c r="F23" s="368" t="s">
        <v>1203</v>
      </c>
      <c r="G23" s="364"/>
      <c r="H23" s="367"/>
      <c r="I23" s="358"/>
      <c r="J23" s="356"/>
      <c r="K23" s="358"/>
      <c r="L23" s="356"/>
      <c r="M23" s="358"/>
      <c r="N23" s="356"/>
      <c r="O23" s="366"/>
      <c r="P23" s="227"/>
      <c r="Q23" s="227"/>
      <c r="R23" s="227"/>
      <c r="S23" s="227"/>
      <c r="T23" s="227"/>
      <c r="U23" s="227"/>
      <c r="V23" s="227"/>
      <c r="W23" s="227"/>
      <c r="X23" s="227"/>
      <c r="Y23" s="227"/>
    </row>
    <row r="24" spans="1:25" ht="25.5" x14ac:dyDescent="0.2">
      <c r="A24" s="368" t="s">
        <v>277</v>
      </c>
      <c r="B24" s="368" t="s">
        <v>1093</v>
      </c>
      <c r="C24" s="368" t="s">
        <v>1204</v>
      </c>
      <c r="D24" s="368" t="s">
        <v>1205</v>
      </c>
      <c r="E24" s="368" t="s">
        <v>1151</v>
      </c>
      <c r="F24" s="368" t="s">
        <v>1206</v>
      </c>
      <c r="G24" s="364"/>
      <c r="H24" s="367"/>
      <c r="I24" s="358"/>
      <c r="J24" s="356"/>
      <c r="K24" s="358"/>
      <c r="L24" s="356"/>
      <c r="M24" s="358"/>
      <c r="N24" s="356"/>
      <c r="O24" s="366"/>
      <c r="P24" s="227"/>
      <c r="Q24" s="227"/>
      <c r="R24" s="227"/>
      <c r="S24" s="227"/>
      <c r="T24" s="227"/>
      <c r="U24" s="227"/>
      <c r="V24" s="227"/>
      <c r="W24" s="227"/>
      <c r="X24" s="227"/>
      <c r="Y24" s="227"/>
    </row>
    <row r="25" spans="1:25" ht="25.5" x14ac:dyDescent="0.2">
      <c r="A25" s="368" t="s">
        <v>277</v>
      </c>
      <c r="B25" s="368" t="s">
        <v>1095</v>
      </c>
      <c r="C25" s="368" t="s">
        <v>1207</v>
      </c>
      <c r="D25" s="368" t="s">
        <v>1208</v>
      </c>
      <c r="E25" s="368" t="s">
        <v>1151</v>
      </c>
      <c r="F25" s="368" t="s">
        <v>1209</v>
      </c>
      <c r="G25" s="359"/>
      <c r="H25" s="359"/>
      <c r="I25" s="360"/>
      <c r="J25" s="360"/>
      <c r="K25" s="361"/>
      <c r="L25" s="361"/>
      <c r="M25" s="362"/>
      <c r="N25" s="363"/>
      <c r="O25" s="366"/>
      <c r="P25" s="227"/>
      <c r="Q25" s="227"/>
      <c r="R25" s="227"/>
      <c r="S25" s="227"/>
      <c r="T25" s="227"/>
      <c r="U25" s="227"/>
      <c r="V25" s="227"/>
      <c r="W25" s="227"/>
      <c r="X25" s="227"/>
      <c r="Y25" s="227"/>
    </row>
    <row r="26" spans="1:25" ht="25.5" x14ac:dyDescent="0.2">
      <c r="A26" s="368" t="s">
        <v>277</v>
      </c>
      <c r="B26" s="368" t="s">
        <v>1097</v>
      </c>
      <c r="C26" s="368" t="s">
        <v>1210</v>
      </c>
      <c r="D26" s="368" t="s">
        <v>1211</v>
      </c>
      <c r="E26" s="368" t="s">
        <v>1151</v>
      </c>
      <c r="F26" s="368" t="s">
        <v>1212</v>
      </c>
      <c r="G26" s="358"/>
      <c r="H26" s="358"/>
      <c r="I26" s="358"/>
      <c r="J26" s="358"/>
      <c r="K26" s="358"/>
      <c r="L26" s="358"/>
      <c r="M26" s="358"/>
      <c r="N26" s="358"/>
      <c r="O26" s="366"/>
      <c r="P26" s="227"/>
      <c r="Q26" s="227"/>
      <c r="R26" s="227"/>
      <c r="S26" s="227"/>
      <c r="T26" s="227"/>
      <c r="U26" s="227"/>
      <c r="V26" s="227"/>
      <c r="W26" s="227"/>
      <c r="X26" s="227"/>
      <c r="Y26" s="227"/>
    </row>
    <row r="27" spans="1:25" ht="25.5" x14ac:dyDescent="0.2">
      <c r="A27" s="368" t="s">
        <v>277</v>
      </c>
      <c r="B27" s="368" t="s">
        <v>1099</v>
      </c>
      <c r="C27" s="368" t="s">
        <v>1213</v>
      </c>
      <c r="D27" s="368" t="s">
        <v>1214</v>
      </c>
      <c r="E27" s="368" t="s">
        <v>1151</v>
      </c>
      <c r="F27" s="368" t="s">
        <v>1158</v>
      </c>
      <c r="G27" s="358"/>
      <c r="H27" s="358"/>
      <c r="I27" s="358"/>
      <c r="J27" s="358"/>
      <c r="K27" s="358"/>
      <c r="L27" s="358"/>
      <c r="M27" s="358"/>
      <c r="N27" s="358"/>
      <c r="O27" s="366"/>
      <c r="P27" s="227"/>
      <c r="Q27" s="227"/>
      <c r="R27" s="227"/>
      <c r="S27" s="227"/>
      <c r="T27" s="227"/>
      <c r="U27" s="227"/>
      <c r="V27" s="227"/>
      <c r="W27" s="227"/>
      <c r="X27" s="227"/>
      <c r="Y27" s="227"/>
    </row>
    <row r="28" spans="1:25" ht="25.5" x14ac:dyDescent="0.2">
      <c r="A28" s="368" t="s">
        <v>277</v>
      </c>
      <c r="B28" s="368" t="s">
        <v>1101</v>
      </c>
      <c r="C28" s="368" t="s">
        <v>1185</v>
      </c>
      <c r="D28" s="368" t="s">
        <v>1215</v>
      </c>
      <c r="E28" s="368" t="s">
        <v>1187</v>
      </c>
      <c r="F28" s="368" t="s">
        <v>1216</v>
      </c>
      <c r="G28" s="358"/>
      <c r="H28" s="358"/>
      <c r="I28" s="358"/>
      <c r="J28" s="358"/>
      <c r="K28" s="358"/>
      <c r="L28" s="358"/>
      <c r="M28" s="358"/>
      <c r="N28" s="358"/>
      <c r="O28" s="366"/>
      <c r="P28" s="227"/>
      <c r="Q28" s="227"/>
      <c r="R28" s="227"/>
      <c r="S28" s="227"/>
      <c r="T28" s="227"/>
      <c r="U28" s="227"/>
      <c r="V28" s="227"/>
      <c r="W28" s="227"/>
      <c r="X28" s="227"/>
      <c r="Y28" s="227"/>
    </row>
    <row r="29" spans="1:25" ht="25.5" x14ac:dyDescent="0.2">
      <c r="A29" s="368" t="s">
        <v>277</v>
      </c>
      <c r="B29" s="368" t="s">
        <v>1103</v>
      </c>
      <c r="C29" s="368" t="s">
        <v>1185</v>
      </c>
      <c r="D29" s="368" t="s">
        <v>1217</v>
      </c>
      <c r="E29" s="368" t="s">
        <v>1187</v>
      </c>
      <c r="F29" s="350" t="s">
        <v>1218</v>
      </c>
      <c r="G29" s="358"/>
      <c r="H29" s="358"/>
      <c r="I29" s="358"/>
      <c r="J29" s="358"/>
      <c r="K29" s="358"/>
      <c r="L29" s="358"/>
      <c r="M29" s="358"/>
      <c r="N29" s="358"/>
      <c r="O29" s="366"/>
      <c r="P29" s="227"/>
      <c r="Q29" s="227"/>
      <c r="R29" s="227"/>
      <c r="S29" s="227"/>
      <c r="T29" s="227"/>
      <c r="U29" s="227"/>
      <c r="V29" s="227"/>
      <c r="W29" s="227"/>
      <c r="X29" s="227"/>
      <c r="Y29" s="227"/>
    </row>
    <row r="30" spans="1:25" ht="25.5" x14ac:dyDescent="0.2">
      <c r="A30" s="368" t="s">
        <v>277</v>
      </c>
      <c r="B30" s="368" t="s">
        <v>1106</v>
      </c>
      <c r="C30" s="368" t="s">
        <v>1185</v>
      </c>
      <c r="D30" s="368" t="s">
        <v>1219</v>
      </c>
      <c r="E30" s="368" t="s">
        <v>1187</v>
      </c>
      <c r="F30" s="368" t="s">
        <v>1220</v>
      </c>
      <c r="G30" s="227"/>
      <c r="H30" s="227"/>
      <c r="I30" s="227"/>
      <c r="J30" s="227"/>
      <c r="K30" s="227"/>
      <c r="L30" s="227"/>
      <c r="M30" s="227"/>
      <c r="N30" s="227"/>
      <c r="O30" s="227"/>
      <c r="P30" s="227"/>
      <c r="Q30" s="227"/>
      <c r="R30" s="227"/>
      <c r="S30" s="227"/>
      <c r="T30" s="227"/>
      <c r="U30" s="227"/>
      <c r="V30" s="227"/>
      <c r="W30" s="227"/>
      <c r="X30" s="227"/>
      <c r="Y30" s="227"/>
    </row>
    <row r="31" spans="1:25" ht="38.25" x14ac:dyDescent="0.2">
      <c r="A31" s="368" t="s">
        <v>277</v>
      </c>
      <c r="B31" s="368" t="s">
        <v>1108</v>
      </c>
      <c r="C31" s="368" t="s">
        <v>1185</v>
      </c>
      <c r="D31" s="368" t="s">
        <v>1221</v>
      </c>
      <c r="E31" s="368" t="s">
        <v>1187</v>
      </c>
      <c r="F31" s="368" t="s">
        <v>1222</v>
      </c>
      <c r="G31" s="227"/>
      <c r="H31" s="227"/>
      <c r="I31" s="227"/>
      <c r="J31" s="227"/>
      <c r="K31" s="227"/>
      <c r="L31" s="227"/>
      <c r="M31" s="227"/>
      <c r="N31" s="227"/>
      <c r="O31" s="227"/>
      <c r="P31" s="227"/>
      <c r="Q31" s="227"/>
      <c r="R31" s="227"/>
      <c r="S31" s="227"/>
      <c r="T31" s="227"/>
      <c r="U31" s="227"/>
      <c r="V31" s="227"/>
      <c r="W31" s="227"/>
      <c r="X31" s="227"/>
      <c r="Y31" s="227"/>
    </row>
    <row r="32" spans="1:25" ht="39.75" customHeight="1" x14ac:dyDescent="0.2">
      <c r="A32" s="368" t="s">
        <v>277</v>
      </c>
      <c r="B32" s="368" t="s">
        <v>1112</v>
      </c>
      <c r="C32" s="368" t="s">
        <v>1223</v>
      </c>
      <c r="D32" s="368" t="s">
        <v>1224</v>
      </c>
      <c r="E32" s="368" t="s">
        <v>1151</v>
      </c>
      <c r="F32" s="368" t="s">
        <v>1225</v>
      </c>
      <c r="G32" s="227"/>
      <c r="H32" s="227"/>
      <c r="I32" s="227"/>
      <c r="J32" s="227"/>
      <c r="K32" s="227"/>
      <c r="L32" s="227"/>
      <c r="M32" s="227"/>
      <c r="N32" s="227"/>
      <c r="O32" s="227"/>
      <c r="P32" s="227"/>
      <c r="Q32" s="227"/>
      <c r="R32" s="227"/>
      <c r="S32" s="227"/>
      <c r="T32" s="227"/>
      <c r="U32" s="227"/>
      <c r="V32" s="227"/>
      <c r="W32" s="227"/>
      <c r="X32" s="227"/>
      <c r="Y32" s="227"/>
    </row>
    <row r="33" spans="1:25" ht="36.75" customHeight="1" x14ac:dyDescent="0.2">
      <c r="A33" s="368" t="s">
        <v>277</v>
      </c>
      <c r="B33" s="368" t="s">
        <v>1114</v>
      </c>
      <c r="C33" s="368" t="s">
        <v>1223</v>
      </c>
      <c r="D33" s="368" t="s">
        <v>1226</v>
      </c>
      <c r="E33" s="368" t="s">
        <v>1151</v>
      </c>
      <c r="F33" s="368" t="s">
        <v>1227</v>
      </c>
      <c r="G33" s="227"/>
      <c r="H33" s="227"/>
      <c r="I33" s="227"/>
      <c r="J33" s="227"/>
      <c r="K33" s="227"/>
      <c r="L33" s="227"/>
      <c r="M33" s="227"/>
      <c r="N33" s="227"/>
      <c r="O33" s="227"/>
      <c r="P33" s="227"/>
      <c r="Q33" s="227"/>
      <c r="R33" s="227"/>
      <c r="S33" s="227"/>
      <c r="T33" s="227"/>
      <c r="U33" s="227"/>
      <c r="V33" s="227"/>
      <c r="W33" s="227"/>
      <c r="X33" s="227"/>
      <c r="Y33" s="227"/>
    </row>
    <row r="34" spans="1:25" ht="39" customHeight="1" x14ac:dyDescent="0.2">
      <c r="A34" s="368" t="s">
        <v>277</v>
      </c>
      <c r="B34" s="368" t="s">
        <v>1116</v>
      </c>
      <c r="C34" s="368" t="s">
        <v>1228</v>
      </c>
      <c r="D34" s="368" t="s">
        <v>1229</v>
      </c>
      <c r="E34" s="368" t="s">
        <v>1151</v>
      </c>
      <c r="F34" s="368" t="s">
        <v>1230</v>
      </c>
      <c r="M34" s="227"/>
      <c r="N34" s="227"/>
      <c r="O34" s="227"/>
      <c r="P34" s="227"/>
      <c r="Q34" s="227"/>
    </row>
    <row r="35" spans="1:25" ht="38.25" x14ac:dyDescent="0.2">
      <c r="A35" s="368" t="s">
        <v>277</v>
      </c>
      <c r="B35" s="368" t="s">
        <v>1118</v>
      </c>
      <c r="C35" s="368" t="s">
        <v>1231</v>
      </c>
      <c r="D35" s="368" t="s">
        <v>1232</v>
      </c>
      <c r="E35" s="368" t="s">
        <v>1151</v>
      </c>
      <c r="F35" s="368" t="s">
        <v>1233</v>
      </c>
      <c r="M35" s="227"/>
      <c r="N35" s="227"/>
      <c r="O35" s="227"/>
      <c r="P35" s="227"/>
      <c r="Q35" s="227"/>
    </row>
    <row r="36" spans="1:25" ht="25.5" x14ac:dyDescent="0.2">
      <c r="A36" s="368" t="s">
        <v>277</v>
      </c>
      <c r="B36" s="368" t="s">
        <v>1120</v>
      </c>
      <c r="C36" s="368" t="s">
        <v>1234</v>
      </c>
      <c r="D36" s="368" t="s">
        <v>1235</v>
      </c>
      <c r="E36" s="368" t="s">
        <v>1151</v>
      </c>
      <c r="F36" s="368" t="s">
        <v>1236</v>
      </c>
      <c r="M36" s="227"/>
      <c r="N36" s="227"/>
      <c r="O36" s="227"/>
      <c r="P36" s="227"/>
      <c r="Q36" s="227"/>
    </row>
    <row r="37" spans="1:25" ht="25.5" x14ac:dyDescent="0.2">
      <c r="A37" s="368" t="s">
        <v>277</v>
      </c>
      <c r="B37" s="368" t="s">
        <v>1122</v>
      </c>
      <c r="C37" s="368" t="s">
        <v>1237</v>
      </c>
      <c r="D37" s="368" t="s">
        <v>1238</v>
      </c>
      <c r="E37" s="368" t="s">
        <v>1151</v>
      </c>
      <c r="F37" s="368" t="s">
        <v>1239</v>
      </c>
      <c r="M37" s="227"/>
      <c r="N37" s="227"/>
      <c r="O37" s="227"/>
      <c r="P37" s="227"/>
      <c r="Q37" s="227"/>
    </row>
    <row r="38" spans="1:25" ht="38.25" x14ac:dyDescent="0.2">
      <c r="A38" s="368" t="s">
        <v>277</v>
      </c>
      <c r="B38" s="368" t="s">
        <v>1124</v>
      </c>
      <c r="C38" s="368" t="s">
        <v>1240</v>
      </c>
      <c r="D38" s="368" t="s">
        <v>1208</v>
      </c>
      <c r="E38" s="368" t="s">
        <v>1151</v>
      </c>
      <c r="F38" s="368" t="s">
        <v>1241</v>
      </c>
      <c r="M38" s="227"/>
      <c r="N38" s="227"/>
      <c r="O38" s="227"/>
      <c r="P38" s="227"/>
      <c r="Q38" s="227"/>
    </row>
    <row r="39" spans="1:25" ht="38.25" x14ac:dyDescent="0.2">
      <c r="A39" s="368" t="s">
        <v>277</v>
      </c>
      <c r="B39" s="368" t="s">
        <v>1126</v>
      </c>
      <c r="C39" s="368" t="s">
        <v>1242</v>
      </c>
      <c r="D39" s="368" t="s">
        <v>1214</v>
      </c>
      <c r="E39" s="368" t="s">
        <v>1151</v>
      </c>
      <c r="F39" s="368" t="s">
        <v>1243</v>
      </c>
      <c r="M39" s="227"/>
      <c r="N39" s="227"/>
      <c r="O39" s="227"/>
      <c r="P39" s="227"/>
      <c r="Q39" s="227"/>
    </row>
    <row r="40" spans="1:25" ht="38.25" x14ac:dyDescent="0.2">
      <c r="A40" s="368" t="s">
        <v>277</v>
      </c>
      <c r="B40" s="368" t="s">
        <v>1128</v>
      </c>
      <c r="C40" s="368" t="s">
        <v>1185</v>
      </c>
      <c r="D40" s="368" t="s">
        <v>1244</v>
      </c>
      <c r="E40" s="368" t="s">
        <v>1187</v>
      </c>
      <c r="F40" s="368" t="s">
        <v>1245</v>
      </c>
      <c r="M40" s="227"/>
      <c r="N40" s="227"/>
      <c r="O40" s="227"/>
      <c r="P40" s="227"/>
      <c r="Q40" s="227"/>
    </row>
    <row r="41" spans="1:25" ht="25.5" x14ac:dyDescent="0.2">
      <c r="A41" s="368" t="s">
        <v>277</v>
      </c>
      <c r="B41" s="368" t="s">
        <v>1130</v>
      </c>
      <c r="C41" s="368" t="s">
        <v>1185</v>
      </c>
      <c r="D41" s="368" t="s">
        <v>1217</v>
      </c>
      <c r="E41" s="368" t="s">
        <v>1187</v>
      </c>
      <c r="F41" s="368" t="s">
        <v>1246</v>
      </c>
      <c r="M41" s="227"/>
      <c r="N41" s="227"/>
      <c r="O41" s="227"/>
      <c r="P41" s="227"/>
      <c r="Q41" s="227"/>
    </row>
    <row r="42" spans="1:25" ht="25.5" x14ac:dyDescent="0.2">
      <c r="A42" s="368" t="s">
        <v>277</v>
      </c>
      <c r="B42" s="368" t="s">
        <v>1132</v>
      </c>
      <c r="C42" s="368" t="s">
        <v>1185</v>
      </c>
      <c r="D42" s="368" t="s">
        <v>1219</v>
      </c>
      <c r="E42" s="368" t="s">
        <v>1187</v>
      </c>
      <c r="F42" s="368" t="s">
        <v>1247</v>
      </c>
      <c r="M42" s="227"/>
      <c r="N42" s="227"/>
      <c r="O42" s="227"/>
      <c r="P42" s="227"/>
      <c r="Q42" s="227"/>
    </row>
    <row r="43" spans="1:25" ht="25.5" x14ac:dyDescent="0.2">
      <c r="A43" s="368" t="s">
        <v>277</v>
      </c>
      <c r="B43" s="368" t="s">
        <v>1134</v>
      </c>
      <c r="C43" s="368" t="s">
        <v>1185</v>
      </c>
      <c r="D43" s="368" t="s">
        <v>1221</v>
      </c>
      <c r="E43" s="368" t="s">
        <v>1187</v>
      </c>
      <c r="F43" s="368" t="s">
        <v>1248</v>
      </c>
      <c r="M43" s="227"/>
      <c r="N43" s="227"/>
      <c r="O43" s="227"/>
      <c r="P43" s="227"/>
      <c r="Q43" s="227"/>
    </row>
    <row r="44" spans="1:25" ht="38.25" x14ac:dyDescent="0.2">
      <c r="A44" s="368" t="s">
        <v>277</v>
      </c>
      <c r="B44" s="368" t="s">
        <v>1137</v>
      </c>
      <c r="C44" s="368" t="s">
        <v>1249</v>
      </c>
      <c r="D44" s="368" t="s">
        <v>1250</v>
      </c>
      <c r="E44" s="368" t="s">
        <v>1151</v>
      </c>
      <c r="F44" s="368" t="s">
        <v>1251</v>
      </c>
      <c r="M44" s="227"/>
      <c r="N44" s="227"/>
      <c r="O44" s="227"/>
      <c r="P44" s="227"/>
      <c r="Q44" s="227"/>
    </row>
    <row r="45" spans="1:25" ht="25.5" x14ac:dyDescent="0.2">
      <c r="A45" s="368" t="s">
        <v>277</v>
      </c>
      <c r="B45" s="368" t="s">
        <v>1139</v>
      </c>
      <c r="C45" s="368" t="s">
        <v>1185</v>
      </c>
      <c r="D45" s="368" t="s">
        <v>1217</v>
      </c>
      <c r="E45" s="368" t="s">
        <v>1187</v>
      </c>
      <c r="F45" s="368" t="s">
        <v>1252</v>
      </c>
      <c r="M45" s="227"/>
      <c r="N45" s="227"/>
      <c r="O45" s="227"/>
      <c r="P45" s="227"/>
      <c r="Q45" s="227"/>
    </row>
    <row r="46" spans="1:25" ht="38.25" x14ac:dyDescent="0.2">
      <c r="A46" s="368" t="s">
        <v>277</v>
      </c>
      <c r="B46" s="368" t="s">
        <v>1142</v>
      </c>
      <c r="C46" s="368" t="s">
        <v>1185</v>
      </c>
      <c r="D46" s="369" t="s">
        <v>1253</v>
      </c>
      <c r="E46" s="368" t="s">
        <v>1166</v>
      </c>
      <c r="F46" s="369" t="s">
        <v>1254</v>
      </c>
      <c r="M46" s="227"/>
      <c r="N46" s="227"/>
      <c r="O46" s="227"/>
      <c r="P46" s="227"/>
      <c r="Q46" s="227"/>
    </row>
    <row r="47" spans="1:25" ht="38.25" x14ac:dyDescent="0.2">
      <c r="A47" s="368" t="s">
        <v>277</v>
      </c>
      <c r="B47" s="368" t="s">
        <v>1145</v>
      </c>
      <c r="C47" s="368" t="s">
        <v>1249</v>
      </c>
      <c r="D47" s="368" t="s">
        <v>1250</v>
      </c>
      <c r="E47" s="368" t="s">
        <v>1151</v>
      </c>
      <c r="F47" s="368" t="s">
        <v>1255</v>
      </c>
      <c r="M47" s="227"/>
      <c r="N47" s="227"/>
      <c r="O47" s="227"/>
      <c r="P47" s="227"/>
      <c r="Q47" s="227"/>
    </row>
    <row r="48" spans="1:25" ht="25.5" x14ac:dyDescent="0.2">
      <c r="A48" s="368" t="s">
        <v>277</v>
      </c>
      <c r="B48" s="368" t="s">
        <v>1147</v>
      </c>
      <c r="C48" s="368" t="s">
        <v>1185</v>
      </c>
      <c r="D48" s="368" t="s">
        <v>1217</v>
      </c>
      <c r="E48" s="368" t="s">
        <v>1187</v>
      </c>
      <c r="F48" s="368" t="s">
        <v>1256</v>
      </c>
      <c r="M48" s="227"/>
      <c r="N48" s="227"/>
      <c r="O48" s="227"/>
      <c r="P48" s="227"/>
      <c r="Q48" s="227"/>
    </row>
    <row r="49" spans="1:17" x14ac:dyDescent="0.2">
      <c r="A49" s="368" t="s">
        <v>277</v>
      </c>
      <c r="B49" s="368" t="s">
        <v>1148</v>
      </c>
      <c r="C49" s="368" t="s">
        <v>1185</v>
      </c>
      <c r="D49" s="369" t="s">
        <v>1257</v>
      </c>
      <c r="E49" s="368" t="s">
        <v>1166</v>
      </c>
      <c r="F49" s="369" t="s">
        <v>1258</v>
      </c>
      <c r="M49" s="227"/>
      <c r="N49" s="227"/>
      <c r="O49" s="227"/>
      <c r="P49" s="227"/>
      <c r="Q49" s="227"/>
    </row>
    <row r="50" spans="1:17" ht="25.5" x14ac:dyDescent="0.2">
      <c r="A50" s="368" t="s">
        <v>277</v>
      </c>
      <c r="B50" s="368" t="s">
        <v>1259</v>
      </c>
      <c r="C50" s="368" t="s">
        <v>1185</v>
      </c>
      <c r="D50" s="369" t="s">
        <v>1260</v>
      </c>
      <c r="E50" s="368" t="s">
        <v>1261</v>
      </c>
      <c r="F50" s="369" t="s">
        <v>1262</v>
      </c>
      <c r="M50" s="227"/>
      <c r="N50" s="227"/>
      <c r="O50" s="227"/>
      <c r="P50" s="227"/>
      <c r="Q50" s="227"/>
    </row>
    <row r="51" spans="1:17" x14ac:dyDescent="0.2">
      <c r="A51" s="370"/>
      <c r="B51" s="370"/>
      <c r="C51" s="370"/>
      <c r="D51" s="370"/>
      <c r="E51" s="370"/>
      <c r="F51" s="370"/>
      <c r="M51" s="227"/>
      <c r="N51" s="227"/>
      <c r="O51" s="227"/>
      <c r="P51" s="227"/>
      <c r="Q51" s="227"/>
    </row>
    <row r="52" spans="1:17" x14ac:dyDescent="0.2">
      <c r="M52" s="227"/>
      <c r="N52" s="227"/>
      <c r="O52" s="227"/>
      <c r="P52" s="227"/>
      <c r="Q52" s="227"/>
    </row>
    <row r="53" spans="1:17" x14ac:dyDescent="0.2">
      <c r="M53" s="227"/>
      <c r="N53" s="227"/>
      <c r="O53" s="227"/>
      <c r="P53" s="227"/>
      <c r="Q53" s="227"/>
    </row>
    <row r="54" spans="1:17" x14ac:dyDescent="0.2">
      <c r="M54" s="227"/>
      <c r="N54" s="227"/>
      <c r="O54" s="227"/>
      <c r="P54" s="227"/>
      <c r="Q54" s="227"/>
    </row>
    <row r="55" spans="1:17" x14ac:dyDescent="0.2">
      <c r="M55" s="227"/>
      <c r="N55" s="227"/>
      <c r="O55" s="227"/>
      <c r="P55" s="227"/>
      <c r="Q55" s="227"/>
    </row>
    <row r="56" spans="1:17" x14ac:dyDescent="0.2">
      <c r="M56" s="227"/>
      <c r="N56" s="227"/>
      <c r="O56" s="227"/>
      <c r="P56" s="227"/>
      <c r="Q56" s="227"/>
    </row>
    <row r="57" spans="1:17" x14ac:dyDescent="0.2">
      <c r="M57" s="227"/>
      <c r="N57" s="227"/>
      <c r="O57" s="227"/>
      <c r="P57" s="227"/>
      <c r="Q57" s="227"/>
    </row>
    <row r="58" spans="1:17" x14ac:dyDescent="0.2">
      <c r="M58" s="227"/>
      <c r="N58" s="227"/>
      <c r="O58" s="227"/>
      <c r="P58" s="227"/>
      <c r="Q58" s="227"/>
    </row>
    <row r="59" spans="1:17" x14ac:dyDescent="0.2">
      <c r="M59" s="227"/>
      <c r="N59" s="227"/>
      <c r="O59" s="227"/>
      <c r="P59" s="227"/>
      <c r="Q59" s="227"/>
    </row>
    <row r="60" spans="1:17" x14ac:dyDescent="0.2">
      <c r="M60" s="227"/>
      <c r="N60" s="227"/>
      <c r="O60" s="227"/>
      <c r="P60" s="227"/>
      <c r="Q60" s="227"/>
    </row>
    <row r="61" spans="1:17" x14ac:dyDescent="0.2">
      <c r="M61" s="227"/>
      <c r="N61" s="227"/>
      <c r="O61" s="227"/>
      <c r="P61" s="227"/>
      <c r="Q61" s="227"/>
    </row>
    <row r="62" spans="1:17" x14ac:dyDescent="0.2">
      <c r="M62" s="227"/>
      <c r="N62" s="227"/>
      <c r="O62" s="227"/>
      <c r="P62" s="227"/>
      <c r="Q62" s="227"/>
    </row>
    <row r="63" spans="1:17" x14ac:dyDescent="0.2">
      <c r="M63" s="227"/>
      <c r="N63" s="227"/>
      <c r="O63" s="227"/>
      <c r="P63" s="227"/>
      <c r="Q63" s="227"/>
    </row>
    <row r="64" spans="1:17" x14ac:dyDescent="0.2">
      <c r="M64" s="227"/>
      <c r="N64" s="227"/>
      <c r="O64" s="227"/>
      <c r="P64" s="227"/>
      <c r="Q64" s="227"/>
    </row>
    <row r="65" spans="13:17" x14ac:dyDescent="0.2">
      <c r="M65" s="227"/>
      <c r="N65" s="227"/>
      <c r="O65" s="227"/>
      <c r="P65" s="227"/>
      <c r="Q65" s="227"/>
    </row>
    <row r="66" spans="13:17" x14ac:dyDescent="0.2">
      <c r="M66" s="227"/>
      <c r="N66" s="227"/>
      <c r="O66" s="227"/>
      <c r="P66" s="227"/>
      <c r="Q66" s="227"/>
    </row>
    <row r="67" spans="13:17" x14ac:dyDescent="0.2">
      <c r="M67" s="227"/>
      <c r="N67" s="227"/>
      <c r="O67" s="227"/>
      <c r="P67" s="227"/>
      <c r="Q67" s="227"/>
    </row>
    <row r="68" spans="13:17" x14ac:dyDescent="0.2">
      <c r="M68" s="227"/>
      <c r="N68" s="227"/>
      <c r="O68" s="227"/>
      <c r="P68" s="227"/>
      <c r="Q68" s="227"/>
    </row>
    <row r="69" spans="13:17" x14ac:dyDescent="0.2">
      <c r="M69" s="227"/>
      <c r="N69" s="227"/>
      <c r="O69" s="227"/>
      <c r="P69" s="227"/>
      <c r="Q69" s="227"/>
    </row>
    <row r="70" spans="13:17" x14ac:dyDescent="0.2">
      <c r="M70" s="227"/>
      <c r="N70" s="227"/>
      <c r="O70" s="227"/>
      <c r="P70" s="227"/>
      <c r="Q70" s="227"/>
    </row>
    <row r="71" spans="13:17" x14ac:dyDescent="0.2">
      <c r="M71" s="227"/>
      <c r="N71" s="227"/>
      <c r="O71" s="227"/>
      <c r="P71" s="227"/>
      <c r="Q71" s="227"/>
    </row>
    <row r="72" spans="13:17" x14ac:dyDescent="0.2">
      <c r="M72" s="227"/>
      <c r="N72" s="227"/>
      <c r="O72" s="227"/>
      <c r="P72" s="227"/>
      <c r="Q72" s="227"/>
    </row>
    <row r="73" spans="13:17" x14ac:dyDescent="0.2">
      <c r="M73" s="227"/>
      <c r="N73" s="227"/>
      <c r="O73" s="227"/>
      <c r="P73" s="227"/>
      <c r="Q73" s="227"/>
    </row>
    <row r="74" spans="13:17" x14ac:dyDescent="0.2">
      <c r="M74" s="227"/>
      <c r="N74" s="227"/>
      <c r="O74" s="227"/>
      <c r="P74" s="227"/>
      <c r="Q74" s="227"/>
    </row>
    <row r="75" spans="13:17" x14ac:dyDescent="0.2">
      <c r="M75" s="227"/>
      <c r="N75" s="227"/>
      <c r="O75" s="227"/>
      <c r="P75" s="227"/>
      <c r="Q75" s="227"/>
    </row>
    <row r="76" spans="13:17" x14ac:dyDescent="0.2">
      <c r="M76" s="227"/>
      <c r="N76" s="227"/>
      <c r="O76" s="227"/>
      <c r="P76" s="227"/>
      <c r="Q76" s="227"/>
    </row>
    <row r="77" spans="13:17" x14ac:dyDescent="0.2">
      <c r="M77" s="227"/>
      <c r="N77" s="227"/>
      <c r="O77" s="227"/>
      <c r="P77" s="227"/>
      <c r="Q77" s="227"/>
    </row>
    <row r="78" spans="13:17" x14ac:dyDescent="0.2">
      <c r="M78" s="227"/>
      <c r="N78" s="227"/>
      <c r="O78" s="227"/>
      <c r="P78" s="227"/>
      <c r="Q78" s="227"/>
    </row>
    <row r="79" spans="13:17" x14ac:dyDescent="0.2">
      <c r="M79" s="227"/>
      <c r="N79" s="227"/>
      <c r="O79" s="227"/>
      <c r="P79" s="227"/>
      <c r="Q79" s="227"/>
    </row>
    <row r="80" spans="13:17" x14ac:dyDescent="0.2">
      <c r="M80" s="227"/>
      <c r="N80" s="227"/>
      <c r="O80" s="227"/>
      <c r="P80" s="227"/>
      <c r="Q80" s="227"/>
    </row>
    <row r="81" spans="13:17" x14ac:dyDescent="0.2">
      <c r="M81" s="227"/>
      <c r="N81" s="227"/>
      <c r="O81" s="227"/>
      <c r="P81" s="227"/>
      <c r="Q81" s="227"/>
    </row>
    <row r="82" spans="13:17" x14ac:dyDescent="0.2">
      <c r="M82" s="227"/>
      <c r="N82" s="227"/>
      <c r="O82" s="227"/>
      <c r="P82" s="227"/>
      <c r="Q82" s="227"/>
    </row>
    <row r="83" spans="13:17" x14ac:dyDescent="0.2">
      <c r="M83" s="227"/>
      <c r="N83" s="227"/>
      <c r="O83" s="227"/>
      <c r="P83" s="227"/>
      <c r="Q83" s="227"/>
    </row>
    <row r="84" spans="13:17" x14ac:dyDescent="0.2">
      <c r="M84" s="227"/>
      <c r="N84" s="227"/>
      <c r="O84" s="227"/>
      <c r="P84" s="227"/>
      <c r="Q84" s="227"/>
    </row>
    <row r="85" spans="13:17" x14ac:dyDescent="0.2">
      <c r="M85" s="227"/>
      <c r="N85" s="227"/>
      <c r="O85" s="227"/>
      <c r="P85" s="227"/>
      <c r="Q85" s="227"/>
    </row>
    <row r="86" spans="13:17" x14ac:dyDescent="0.2">
      <c r="M86" s="227"/>
      <c r="N86" s="227"/>
      <c r="O86" s="227"/>
      <c r="P86" s="227"/>
      <c r="Q86" s="227"/>
    </row>
    <row r="87" spans="13:17" x14ac:dyDescent="0.2">
      <c r="M87" s="227"/>
      <c r="N87" s="227"/>
      <c r="O87" s="227"/>
      <c r="P87" s="227"/>
      <c r="Q87" s="227"/>
    </row>
    <row r="88" spans="13:17" x14ac:dyDescent="0.2">
      <c r="M88" s="227"/>
      <c r="N88" s="227"/>
      <c r="O88" s="227"/>
      <c r="P88" s="227"/>
      <c r="Q88" s="227"/>
    </row>
    <row r="89" spans="13:17" x14ac:dyDescent="0.2">
      <c r="M89" s="227"/>
      <c r="N89" s="227"/>
      <c r="O89" s="227"/>
      <c r="P89" s="227"/>
      <c r="Q89" s="227"/>
    </row>
    <row r="90" spans="13:17" x14ac:dyDescent="0.2">
      <c r="M90" s="227"/>
      <c r="N90" s="227"/>
      <c r="O90" s="227"/>
      <c r="P90" s="227"/>
      <c r="Q90" s="227"/>
    </row>
    <row r="91" spans="13:17" x14ac:dyDescent="0.2">
      <c r="M91" s="227"/>
      <c r="N91" s="227"/>
      <c r="O91" s="227"/>
      <c r="P91" s="227"/>
      <c r="Q91" s="227"/>
    </row>
    <row r="92" spans="13:17" x14ac:dyDescent="0.2">
      <c r="M92" s="227"/>
      <c r="N92" s="227"/>
      <c r="O92" s="227"/>
      <c r="P92" s="227"/>
      <c r="Q92" s="227"/>
    </row>
    <row r="93" spans="13:17" x14ac:dyDescent="0.2">
      <c r="M93" s="227"/>
      <c r="N93" s="227"/>
      <c r="O93" s="227"/>
      <c r="P93" s="227"/>
      <c r="Q93" s="227"/>
    </row>
    <row r="94" spans="13:17" x14ac:dyDescent="0.2">
      <c r="M94" s="227"/>
      <c r="N94" s="227"/>
      <c r="O94" s="227"/>
      <c r="P94" s="227"/>
      <c r="Q94" s="227"/>
    </row>
    <row r="95" spans="13:17" x14ac:dyDescent="0.2">
      <c r="M95" s="227"/>
      <c r="N95" s="227"/>
      <c r="O95" s="227"/>
      <c r="P95" s="227"/>
      <c r="Q95" s="227"/>
    </row>
    <row r="96" spans="13:17" x14ac:dyDescent="0.2">
      <c r="M96" s="227"/>
      <c r="N96" s="227"/>
      <c r="O96" s="227"/>
      <c r="P96" s="227"/>
      <c r="Q96" s="227"/>
    </row>
    <row r="97" spans="13:17" x14ac:dyDescent="0.2">
      <c r="M97" s="227"/>
      <c r="N97" s="227"/>
      <c r="O97" s="227"/>
      <c r="P97" s="227"/>
      <c r="Q97" s="227"/>
    </row>
    <row r="98" spans="13:17" x14ac:dyDescent="0.2">
      <c r="M98" s="227"/>
      <c r="N98" s="227"/>
      <c r="O98" s="227"/>
      <c r="P98" s="227"/>
      <c r="Q98" s="227"/>
    </row>
    <row r="99" spans="13:17" x14ac:dyDescent="0.2">
      <c r="M99" s="227"/>
      <c r="N99" s="227"/>
      <c r="O99" s="227"/>
      <c r="P99" s="227"/>
      <c r="Q99" s="227"/>
    </row>
    <row r="100" spans="13:17" x14ac:dyDescent="0.2">
      <c r="M100" s="227"/>
      <c r="N100" s="227"/>
      <c r="O100" s="227"/>
      <c r="P100" s="227"/>
      <c r="Q100" s="227"/>
    </row>
    <row r="101" spans="13:17" x14ac:dyDescent="0.2">
      <c r="M101" s="227"/>
      <c r="N101" s="227"/>
      <c r="O101" s="227"/>
      <c r="P101" s="227"/>
      <c r="Q101" s="227"/>
    </row>
    <row r="102" spans="13:17" x14ac:dyDescent="0.2">
      <c r="M102" s="227"/>
      <c r="N102" s="227"/>
      <c r="O102" s="227"/>
      <c r="P102" s="227"/>
      <c r="Q102" s="227"/>
    </row>
    <row r="103" spans="13:17" x14ac:dyDescent="0.2">
      <c r="M103" s="227"/>
      <c r="N103" s="227"/>
      <c r="O103" s="227"/>
      <c r="P103" s="227"/>
      <c r="Q103" s="227"/>
    </row>
    <row r="104" spans="13:17" x14ac:dyDescent="0.2">
      <c r="M104" s="227"/>
      <c r="N104" s="227"/>
      <c r="O104" s="227"/>
      <c r="P104" s="227"/>
      <c r="Q104" s="227"/>
    </row>
    <row r="105" spans="13:17" x14ac:dyDescent="0.2">
      <c r="M105" s="227"/>
      <c r="N105" s="227"/>
      <c r="O105" s="227"/>
      <c r="P105" s="227"/>
      <c r="Q105" s="227"/>
    </row>
    <row r="106" spans="13:17" x14ac:dyDescent="0.2">
      <c r="M106" s="227"/>
      <c r="N106" s="227"/>
      <c r="O106" s="227"/>
      <c r="P106" s="227"/>
      <c r="Q106" s="227"/>
    </row>
    <row r="107" spans="13:17" x14ac:dyDescent="0.2">
      <c r="M107" s="227"/>
      <c r="N107" s="227"/>
      <c r="O107" s="227"/>
      <c r="P107" s="227"/>
      <c r="Q107" s="227"/>
    </row>
    <row r="108" spans="13:17" x14ac:dyDescent="0.2">
      <c r="M108" s="227"/>
      <c r="N108" s="227"/>
      <c r="O108" s="227"/>
      <c r="P108" s="227"/>
      <c r="Q108" s="227"/>
    </row>
    <row r="109" spans="13:17" x14ac:dyDescent="0.2">
      <c r="M109" s="227"/>
      <c r="N109" s="227"/>
      <c r="O109" s="227"/>
      <c r="P109" s="227"/>
      <c r="Q109" s="227"/>
    </row>
    <row r="110" spans="13:17" x14ac:dyDescent="0.2">
      <c r="M110" s="227"/>
      <c r="N110" s="227"/>
      <c r="O110" s="227"/>
      <c r="P110" s="227"/>
      <c r="Q110" s="227"/>
    </row>
    <row r="111" spans="13:17" x14ac:dyDescent="0.2">
      <c r="M111" s="227"/>
      <c r="N111" s="227"/>
      <c r="O111" s="227"/>
      <c r="P111" s="227"/>
      <c r="Q111" s="227"/>
    </row>
    <row r="112" spans="13:17" x14ac:dyDescent="0.2">
      <c r="M112" s="227"/>
      <c r="N112" s="227"/>
      <c r="O112" s="227"/>
      <c r="P112" s="227"/>
      <c r="Q112" s="227"/>
    </row>
    <row r="113" spans="13:17" x14ac:dyDescent="0.2">
      <c r="M113" s="227"/>
      <c r="N113" s="227"/>
      <c r="O113" s="227"/>
      <c r="P113" s="227"/>
      <c r="Q113" s="227"/>
    </row>
    <row r="114" spans="13:17" x14ac:dyDescent="0.2">
      <c r="M114" s="227"/>
      <c r="N114" s="227"/>
      <c r="O114" s="227"/>
      <c r="P114" s="227"/>
      <c r="Q114" s="227"/>
    </row>
    <row r="115" spans="13:17" x14ac:dyDescent="0.2">
      <c r="M115" s="227"/>
      <c r="N115" s="227"/>
      <c r="O115" s="227"/>
      <c r="P115" s="227"/>
      <c r="Q115" s="227"/>
    </row>
    <row r="116" spans="13:17" x14ac:dyDescent="0.2">
      <c r="M116" s="227"/>
      <c r="N116" s="227"/>
      <c r="O116" s="227"/>
      <c r="P116" s="227"/>
      <c r="Q116" s="227"/>
    </row>
    <row r="117" spans="13:17" x14ac:dyDescent="0.2">
      <c r="M117" s="227"/>
      <c r="N117" s="227"/>
      <c r="O117" s="227"/>
      <c r="P117" s="227"/>
      <c r="Q117" s="227"/>
    </row>
    <row r="118" spans="13:17" x14ac:dyDescent="0.2">
      <c r="M118" s="227"/>
      <c r="N118" s="227"/>
      <c r="O118" s="227"/>
      <c r="P118" s="227"/>
      <c r="Q118" s="227"/>
    </row>
    <row r="119" spans="13:17" x14ac:dyDescent="0.2">
      <c r="M119" s="227"/>
      <c r="N119" s="227"/>
      <c r="O119" s="227"/>
      <c r="P119" s="227"/>
      <c r="Q119" s="227"/>
    </row>
    <row r="120" spans="13:17" x14ac:dyDescent="0.2">
      <c r="M120" s="227"/>
      <c r="N120" s="227"/>
      <c r="O120" s="227"/>
      <c r="P120" s="227"/>
      <c r="Q120" s="227"/>
    </row>
    <row r="121" spans="13:17" x14ac:dyDescent="0.2">
      <c r="M121" s="227"/>
      <c r="N121" s="227"/>
      <c r="O121" s="227"/>
      <c r="P121" s="227"/>
      <c r="Q121" s="227"/>
    </row>
    <row r="122" spans="13:17" x14ac:dyDescent="0.2">
      <c r="M122" s="227"/>
      <c r="N122" s="227"/>
      <c r="O122" s="227"/>
      <c r="P122" s="227"/>
      <c r="Q122" s="227"/>
    </row>
    <row r="123" spans="13:17" x14ac:dyDescent="0.2">
      <c r="M123" s="227"/>
      <c r="N123" s="227"/>
      <c r="O123" s="227"/>
      <c r="P123" s="227"/>
      <c r="Q123" s="227"/>
    </row>
    <row r="124" spans="13:17" x14ac:dyDescent="0.2">
      <c r="M124" s="227"/>
      <c r="N124" s="227"/>
      <c r="O124" s="227"/>
      <c r="P124" s="227"/>
      <c r="Q124" s="227"/>
    </row>
    <row r="125" spans="13:17" x14ac:dyDescent="0.2">
      <c r="M125" s="227"/>
      <c r="N125" s="227"/>
      <c r="O125" s="227"/>
      <c r="P125" s="227"/>
      <c r="Q125" s="227"/>
    </row>
    <row r="126" spans="13:17" x14ac:dyDescent="0.2">
      <c r="M126" s="227"/>
      <c r="N126" s="227"/>
      <c r="O126" s="227"/>
      <c r="P126" s="227"/>
      <c r="Q126" s="227"/>
    </row>
    <row r="127" spans="13:17" x14ac:dyDescent="0.2">
      <c r="M127" s="227"/>
      <c r="N127" s="227"/>
      <c r="O127" s="227"/>
      <c r="P127" s="227"/>
      <c r="Q127" s="227"/>
    </row>
    <row r="128" spans="13:17" x14ac:dyDescent="0.2">
      <c r="M128" s="227"/>
      <c r="N128" s="227"/>
      <c r="O128" s="227"/>
      <c r="P128" s="227"/>
      <c r="Q128" s="227"/>
    </row>
    <row r="129" spans="13:17" x14ac:dyDescent="0.2">
      <c r="M129" s="227"/>
      <c r="N129" s="227"/>
      <c r="O129" s="227"/>
      <c r="P129" s="227"/>
      <c r="Q129" s="227"/>
    </row>
    <row r="130" spans="13:17" x14ac:dyDescent="0.2">
      <c r="M130" s="227"/>
      <c r="N130" s="227"/>
      <c r="O130" s="227"/>
      <c r="P130" s="227"/>
      <c r="Q130" s="227"/>
    </row>
    <row r="131" spans="13:17" x14ac:dyDescent="0.2">
      <c r="M131" s="227"/>
      <c r="N131" s="227"/>
      <c r="O131" s="227"/>
      <c r="P131" s="227"/>
      <c r="Q131" s="227"/>
    </row>
    <row r="132" spans="13:17" x14ac:dyDescent="0.2">
      <c r="M132" s="227"/>
      <c r="N132" s="227"/>
      <c r="O132" s="227"/>
      <c r="P132" s="227"/>
      <c r="Q132" s="227"/>
    </row>
    <row r="133" spans="13:17" x14ac:dyDescent="0.2">
      <c r="M133" s="227"/>
      <c r="N133" s="227"/>
      <c r="O133" s="227"/>
      <c r="P133" s="227"/>
      <c r="Q133" s="227"/>
    </row>
    <row r="134" spans="13:17" x14ac:dyDescent="0.2">
      <c r="M134" s="227"/>
      <c r="N134" s="227"/>
      <c r="O134" s="227"/>
      <c r="P134" s="227"/>
      <c r="Q134" s="227"/>
    </row>
    <row r="135" spans="13:17" x14ac:dyDescent="0.2">
      <c r="M135" s="227"/>
      <c r="N135" s="227"/>
      <c r="O135" s="227"/>
      <c r="P135" s="227"/>
      <c r="Q135" s="227"/>
    </row>
    <row r="136" spans="13:17" x14ac:dyDescent="0.2">
      <c r="M136" s="227"/>
      <c r="N136" s="227"/>
      <c r="O136" s="227"/>
      <c r="P136" s="227"/>
      <c r="Q136" s="227"/>
    </row>
    <row r="137" spans="13:17" x14ac:dyDescent="0.2">
      <c r="M137" s="227"/>
      <c r="N137" s="227"/>
      <c r="O137" s="227"/>
      <c r="P137" s="227"/>
      <c r="Q137" s="227"/>
    </row>
    <row r="138" spans="13:17" x14ac:dyDescent="0.2">
      <c r="M138" s="227"/>
      <c r="N138" s="227"/>
      <c r="O138" s="227"/>
      <c r="P138" s="227"/>
      <c r="Q138" s="227"/>
    </row>
    <row r="139" spans="13:17" x14ac:dyDescent="0.2">
      <c r="M139" s="227"/>
      <c r="N139" s="227"/>
      <c r="O139" s="227"/>
      <c r="P139" s="227"/>
      <c r="Q139" s="227"/>
    </row>
    <row r="140" spans="13:17" x14ac:dyDescent="0.2">
      <c r="M140" s="227"/>
      <c r="N140" s="227"/>
      <c r="O140" s="227"/>
      <c r="P140" s="227"/>
      <c r="Q140" s="227"/>
    </row>
    <row r="141" spans="13:17" x14ac:dyDescent="0.2">
      <c r="M141" s="227"/>
      <c r="N141" s="227"/>
      <c r="O141" s="227"/>
      <c r="P141" s="227"/>
      <c r="Q141" s="227"/>
    </row>
    <row r="142" spans="13:17" x14ac:dyDescent="0.2">
      <c r="M142" s="227"/>
      <c r="N142" s="227"/>
      <c r="O142" s="227"/>
      <c r="P142" s="227"/>
      <c r="Q142" s="227"/>
    </row>
    <row r="143" spans="13:17" x14ac:dyDescent="0.2">
      <c r="M143" s="227"/>
      <c r="N143" s="227"/>
      <c r="O143" s="227"/>
      <c r="P143" s="227"/>
      <c r="Q143" s="227"/>
    </row>
    <row r="144" spans="13:17" x14ac:dyDescent="0.2">
      <c r="M144" s="227"/>
      <c r="N144" s="227"/>
      <c r="O144" s="227"/>
      <c r="P144" s="227"/>
      <c r="Q144" s="227"/>
    </row>
    <row r="145" spans="13:17" x14ac:dyDescent="0.2">
      <c r="M145" s="227"/>
      <c r="N145" s="227"/>
      <c r="O145" s="227"/>
      <c r="P145" s="227"/>
      <c r="Q145" s="227"/>
    </row>
    <row r="146" spans="13:17" x14ac:dyDescent="0.2">
      <c r="M146" s="227"/>
      <c r="N146" s="227"/>
      <c r="O146" s="227"/>
      <c r="P146" s="227"/>
      <c r="Q146" s="227"/>
    </row>
    <row r="147" spans="13:17" x14ac:dyDescent="0.2">
      <c r="M147" s="227"/>
      <c r="N147" s="227"/>
      <c r="O147" s="227"/>
      <c r="P147" s="227"/>
      <c r="Q147" s="227"/>
    </row>
    <row r="148" spans="13:17" x14ac:dyDescent="0.2">
      <c r="M148" s="227"/>
      <c r="N148" s="227"/>
      <c r="O148" s="227"/>
      <c r="P148" s="227"/>
      <c r="Q148" s="227"/>
    </row>
    <row r="149" spans="13:17" x14ac:dyDescent="0.2">
      <c r="M149" s="227"/>
      <c r="N149" s="227"/>
      <c r="O149" s="227"/>
      <c r="P149" s="227"/>
      <c r="Q149" s="227"/>
    </row>
    <row r="150" spans="13:17" x14ac:dyDescent="0.2">
      <c r="M150" s="227"/>
      <c r="N150" s="227"/>
      <c r="O150" s="227"/>
      <c r="P150" s="227"/>
      <c r="Q150" s="227"/>
    </row>
    <row r="151" spans="13:17" x14ac:dyDescent="0.2">
      <c r="M151" s="227"/>
      <c r="N151" s="227"/>
      <c r="O151" s="227"/>
      <c r="P151" s="227"/>
      <c r="Q151" s="227"/>
    </row>
    <row r="152" spans="13:17" x14ac:dyDescent="0.2">
      <c r="M152" s="227"/>
      <c r="N152" s="227"/>
      <c r="O152" s="227"/>
      <c r="P152" s="227"/>
      <c r="Q152" s="227"/>
    </row>
    <row r="153" spans="13:17" x14ac:dyDescent="0.2">
      <c r="M153" s="227"/>
      <c r="N153" s="227"/>
      <c r="O153" s="227"/>
      <c r="P153" s="227"/>
      <c r="Q153" s="227"/>
    </row>
    <row r="154" spans="13:17" x14ac:dyDescent="0.2">
      <c r="M154" s="227"/>
      <c r="N154" s="227"/>
      <c r="O154" s="227"/>
      <c r="P154" s="227"/>
      <c r="Q154" s="227"/>
    </row>
    <row r="155" spans="13:17" x14ac:dyDescent="0.2">
      <c r="M155" s="227"/>
      <c r="N155" s="227"/>
      <c r="O155" s="227"/>
      <c r="P155" s="227"/>
      <c r="Q155" s="227"/>
    </row>
    <row r="156" spans="13:17" x14ac:dyDescent="0.2">
      <c r="M156" s="227"/>
      <c r="N156" s="227"/>
      <c r="O156" s="227"/>
      <c r="P156" s="227"/>
      <c r="Q156" s="227"/>
    </row>
    <row r="157" spans="13:17" x14ac:dyDescent="0.2">
      <c r="M157" s="227"/>
      <c r="N157" s="227"/>
      <c r="O157" s="227"/>
      <c r="P157" s="227"/>
      <c r="Q157" s="227"/>
    </row>
    <row r="158" spans="13:17" x14ac:dyDescent="0.2">
      <c r="M158" s="227"/>
      <c r="N158" s="227"/>
      <c r="O158" s="227"/>
      <c r="P158" s="227"/>
      <c r="Q158" s="227"/>
    </row>
    <row r="159" spans="13:17" x14ac:dyDescent="0.2">
      <c r="M159" s="227"/>
      <c r="N159" s="227"/>
      <c r="O159" s="227"/>
      <c r="P159" s="227"/>
      <c r="Q159" s="227"/>
    </row>
    <row r="160" spans="13:17" x14ac:dyDescent="0.2">
      <c r="M160" s="227"/>
      <c r="N160" s="227"/>
      <c r="O160" s="227"/>
      <c r="P160" s="227"/>
      <c r="Q160" s="227"/>
    </row>
    <row r="161" spans="13:17" x14ac:dyDescent="0.2">
      <c r="M161" s="227"/>
      <c r="N161" s="227"/>
      <c r="O161" s="227"/>
      <c r="P161" s="227"/>
      <c r="Q161" s="227"/>
    </row>
    <row r="162" spans="13:17" x14ac:dyDescent="0.2">
      <c r="M162" s="227"/>
      <c r="N162" s="227"/>
      <c r="O162" s="227"/>
      <c r="P162" s="227"/>
      <c r="Q162" s="227"/>
    </row>
    <row r="163" spans="13:17" x14ac:dyDescent="0.2">
      <c r="M163" s="227"/>
      <c r="N163" s="227"/>
      <c r="O163" s="227"/>
      <c r="P163" s="227"/>
      <c r="Q163" s="227"/>
    </row>
    <row r="164" spans="13:17" x14ac:dyDescent="0.2">
      <c r="M164" s="227"/>
      <c r="N164" s="227"/>
      <c r="O164" s="227"/>
      <c r="P164" s="227"/>
      <c r="Q164" s="227"/>
    </row>
    <row r="165" spans="13:17" x14ac:dyDescent="0.2">
      <c r="M165" s="227"/>
      <c r="N165" s="227"/>
      <c r="O165" s="227"/>
      <c r="P165" s="227"/>
      <c r="Q165" s="227"/>
    </row>
    <row r="166" spans="13:17" x14ac:dyDescent="0.2">
      <c r="M166" s="227"/>
      <c r="N166" s="227"/>
      <c r="O166" s="227"/>
      <c r="P166" s="227"/>
      <c r="Q166" s="227"/>
    </row>
    <row r="167" spans="13:17" x14ac:dyDescent="0.2">
      <c r="M167" s="227"/>
      <c r="N167" s="227"/>
      <c r="O167" s="227"/>
      <c r="P167" s="227"/>
      <c r="Q167" s="227"/>
    </row>
    <row r="168" spans="13:17" x14ac:dyDescent="0.2">
      <c r="M168" s="227"/>
      <c r="N168" s="227"/>
      <c r="O168" s="227"/>
      <c r="P168" s="227"/>
      <c r="Q168" s="227"/>
    </row>
    <row r="169" spans="13:17" x14ac:dyDescent="0.2">
      <c r="M169" s="227"/>
      <c r="N169" s="227"/>
      <c r="O169" s="227"/>
      <c r="P169" s="227"/>
      <c r="Q169" s="227"/>
    </row>
    <row r="170" spans="13:17" x14ac:dyDescent="0.2">
      <c r="M170" s="227"/>
      <c r="N170" s="227"/>
      <c r="O170" s="227"/>
      <c r="P170" s="227"/>
      <c r="Q170" s="227"/>
    </row>
    <row r="171" spans="13:17" x14ac:dyDescent="0.2">
      <c r="M171" s="227"/>
      <c r="N171" s="227"/>
      <c r="O171" s="227"/>
      <c r="P171" s="227"/>
      <c r="Q171" s="227"/>
    </row>
    <row r="172" spans="13:17" x14ac:dyDescent="0.2">
      <c r="M172" s="227"/>
      <c r="N172" s="227"/>
      <c r="O172" s="227"/>
      <c r="P172" s="227"/>
      <c r="Q172" s="227"/>
    </row>
    <row r="173" spans="13:17" x14ac:dyDescent="0.2">
      <c r="M173" s="227"/>
      <c r="N173" s="227"/>
      <c r="O173" s="227"/>
      <c r="P173" s="227"/>
      <c r="Q173" s="227"/>
    </row>
    <row r="174" spans="13:17" x14ac:dyDescent="0.2">
      <c r="M174" s="227"/>
      <c r="N174" s="227"/>
      <c r="O174" s="227"/>
      <c r="P174" s="227"/>
      <c r="Q174" s="227"/>
    </row>
    <row r="175" spans="13:17" x14ac:dyDescent="0.2">
      <c r="M175" s="227"/>
      <c r="N175" s="227"/>
      <c r="O175" s="227"/>
      <c r="P175" s="227"/>
      <c r="Q175" s="227"/>
    </row>
    <row r="176" spans="13:17" x14ac:dyDescent="0.2">
      <c r="M176" s="227"/>
      <c r="N176" s="227"/>
      <c r="O176" s="227"/>
      <c r="P176" s="227"/>
      <c r="Q176" s="227"/>
    </row>
    <row r="177" spans="13:17" x14ac:dyDescent="0.2">
      <c r="M177" s="227"/>
      <c r="N177" s="227"/>
      <c r="O177" s="227"/>
      <c r="P177" s="227"/>
      <c r="Q177" s="227"/>
    </row>
    <row r="178" spans="13:17" x14ac:dyDescent="0.2">
      <c r="M178" s="227"/>
      <c r="N178" s="227"/>
      <c r="O178" s="227"/>
      <c r="P178" s="227"/>
      <c r="Q178" s="227"/>
    </row>
    <row r="179" spans="13:17" x14ac:dyDescent="0.2">
      <c r="M179" s="227"/>
      <c r="N179" s="227"/>
      <c r="O179" s="227"/>
      <c r="P179" s="227"/>
      <c r="Q179" s="227"/>
    </row>
    <row r="180" spans="13:17" x14ac:dyDescent="0.2">
      <c r="M180" s="227"/>
      <c r="N180" s="227"/>
      <c r="O180" s="227"/>
      <c r="P180" s="227"/>
      <c r="Q180" s="227"/>
    </row>
    <row r="181" spans="13:17" x14ac:dyDescent="0.2">
      <c r="M181" s="227"/>
      <c r="N181" s="227"/>
      <c r="O181" s="227"/>
      <c r="P181" s="227"/>
      <c r="Q181" s="227"/>
    </row>
    <row r="182" spans="13:17" x14ac:dyDescent="0.2">
      <c r="M182" s="227"/>
      <c r="N182" s="227"/>
      <c r="O182" s="227"/>
      <c r="P182" s="227"/>
      <c r="Q182" s="227"/>
    </row>
    <row r="183" spans="13:17" x14ac:dyDescent="0.2">
      <c r="M183" s="227"/>
      <c r="N183" s="227"/>
      <c r="O183" s="227"/>
      <c r="P183" s="227"/>
      <c r="Q183" s="227"/>
    </row>
    <row r="184" spans="13:17" x14ac:dyDescent="0.2">
      <c r="M184" s="227"/>
      <c r="N184" s="227"/>
      <c r="O184" s="227"/>
      <c r="P184" s="227"/>
      <c r="Q184" s="227"/>
    </row>
    <row r="185" spans="13:17" x14ac:dyDescent="0.2">
      <c r="M185" s="227"/>
      <c r="N185" s="227"/>
      <c r="O185" s="227"/>
      <c r="P185" s="227"/>
      <c r="Q185" s="227"/>
    </row>
    <row r="186" spans="13:17" x14ac:dyDescent="0.2">
      <c r="M186" s="227"/>
      <c r="N186" s="227"/>
      <c r="O186" s="227"/>
      <c r="P186" s="227"/>
      <c r="Q186" s="227"/>
    </row>
    <row r="187" spans="13:17" x14ac:dyDescent="0.2">
      <c r="M187" s="227"/>
      <c r="N187" s="227"/>
      <c r="O187" s="227"/>
      <c r="P187" s="227"/>
      <c r="Q187" s="227"/>
    </row>
    <row r="188" spans="13:17" x14ac:dyDescent="0.2">
      <c r="M188" s="227"/>
      <c r="N188" s="227"/>
      <c r="O188" s="227"/>
      <c r="P188" s="227"/>
      <c r="Q188" s="227"/>
    </row>
    <row r="189" spans="13:17" x14ac:dyDescent="0.2">
      <c r="M189" s="227"/>
      <c r="N189" s="227"/>
      <c r="O189" s="227"/>
      <c r="P189" s="227"/>
      <c r="Q189" s="227"/>
    </row>
    <row r="190" spans="13:17" x14ac:dyDescent="0.2">
      <c r="M190" s="227"/>
      <c r="N190" s="227"/>
      <c r="O190" s="227"/>
      <c r="P190" s="227"/>
      <c r="Q190" s="227"/>
    </row>
    <row r="191" spans="13:17" x14ac:dyDescent="0.2">
      <c r="M191" s="227"/>
      <c r="N191" s="227"/>
      <c r="O191" s="227"/>
      <c r="P191" s="227"/>
      <c r="Q191" s="227"/>
    </row>
    <row r="192" spans="13:17" x14ac:dyDescent="0.2">
      <c r="M192" s="227"/>
      <c r="N192" s="227"/>
      <c r="O192" s="227"/>
      <c r="P192" s="227"/>
      <c r="Q192" s="227"/>
    </row>
    <row r="193" spans="13:17" x14ac:dyDescent="0.2">
      <c r="M193" s="227"/>
      <c r="N193" s="227"/>
      <c r="O193" s="227"/>
      <c r="P193" s="227"/>
      <c r="Q193" s="227"/>
    </row>
    <row r="194" spans="13:17" x14ac:dyDescent="0.2">
      <c r="M194" s="227"/>
      <c r="N194" s="227"/>
      <c r="O194" s="227"/>
      <c r="P194" s="227"/>
      <c r="Q194" s="227"/>
    </row>
    <row r="195" spans="13:17" x14ac:dyDescent="0.2">
      <c r="M195" s="227"/>
      <c r="N195" s="227"/>
      <c r="O195" s="227"/>
      <c r="P195" s="227"/>
      <c r="Q195" s="227"/>
    </row>
    <row r="196" spans="13:17" x14ac:dyDescent="0.2">
      <c r="M196" s="227"/>
      <c r="N196" s="227"/>
      <c r="O196" s="227"/>
      <c r="P196" s="227"/>
      <c r="Q196" s="227"/>
    </row>
    <row r="197" spans="13:17" x14ac:dyDescent="0.2">
      <c r="M197" s="227"/>
      <c r="N197" s="227"/>
      <c r="O197" s="227"/>
      <c r="P197" s="227"/>
      <c r="Q197" s="227"/>
    </row>
    <row r="198" spans="13:17" x14ac:dyDescent="0.2">
      <c r="M198" s="227"/>
      <c r="N198" s="227"/>
      <c r="O198" s="227"/>
      <c r="P198" s="227"/>
      <c r="Q198" s="227"/>
    </row>
    <row r="199" spans="13:17" x14ac:dyDescent="0.2">
      <c r="M199" s="227"/>
      <c r="N199" s="227"/>
      <c r="O199" s="227"/>
      <c r="P199" s="227"/>
      <c r="Q199" s="227"/>
    </row>
    <row r="200" spans="13:17" x14ac:dyDescent="0.2">
      <c r="M200" s="227"/>
      <c r="N200" s="227"/>
      <c r="O200" s="227"/>
      <c r="P200" s="227"/>
      <c r="Q200" s="227"/>
    </row>
    <row r="201" spans="13:17" x14ac:dyDescent="0.2">
      <c r="M201" s="227"/>
      <c r="N201" s="227"/>
      <c r="O201" s="227"/>
      <c r="P201" s="227"/>
      <c r="Q201" s="227"/>
    </row>
    <row r="202" spans="13:17" x14ac:dyDescent="0.2">
      <c r="M202" s="227"/>
      <c r="N202" s="227"/>
      <c r="O202" s="227"/>
      <c r="P202" s="227"/>
      <c r="Q202" s="227"/>
    </row>
    <row r="203" spans="13:17" x14ac:dyDescent="0.2">
      <c r="M203" s="227"/>
      <c r="N203" s="227"/>
      <c r="O203" s="227"/>
      <c r="P203" s="227"/>
      <c r="Q203" s="227"/>
    </row>
    <row r="204" spans="13:17" x14ac:dyDescent="0.2">
      <c r="M204" s="227"/>
      <c r="N204" s="227"/>
      <c r="O204" s="227"/>
      <c r="P204" s="227"/>
      <c r="Q204" s="227"/>
    </row>
    <row r="205" spans="13:17" x14ac:dyDescent="0.2">
      <c r="M205" s="227"/>
      <c r="N205" s="227"/>
      <c r="O205" s="227"/>
      <c r="P205" s="227"/>
      <c r="Q205" s="227"/>
    </row>
    <row r="206" spans="13:17" x14ac:dyDescent="0.2">
      <c r="M206" s="227"/>
      <c r="N206" s="227"/>
      <c r="O206" s="227"/>
      <c r="P206" s="227"/>
      <c r="Q206" s="227"/>
    </row>
    <row r="207" spans="13:17" x14ac:dyDescent="0.2">
      <c r="M207" s="227"/>
      <c r="N207" s="227"/>
      <c r="O207" s="227"/>
      <c r="P207" s="227"/>
      <c r="Q207" s="227"/>
    </row>
    <row r="208" spans="13:17" x14ac:dyDescent="0.2">
      <c r="M208" s="227"/>
      <c r="N208" s="227"/>
      <c r="O208" s="227"/>
      <c r="P208" s="227"/>
      <c r="Q208" s="227"/>
    </row>
    <row r="209" spans="13:17" x14ac:dyDescent="0.2">
      <c r="M209" s="227"/>
      <c r="N209" s="227"/>
      <c r="O209" s="227"/>
      <c r="P209" s="227"/>
      <c r="Q209" s="227"/>
    </row>
    <row r="210" spans="13:17" x14ac:dyDescent="0.2">
      <c r="M210" s="227"/>
      <c r="N210" s="227"/>
      <c r="O210" s="227"/>
      <c r="P210" s="227"/>
      <c r="Q210" s="227"/>
    </row>
    <row r="211" spans="13:17" x14ac:dyDescent="0.2">
      <c r="M211" s="227"/>
      <c r="N211" s="227"/>
      <c r="O211" s="227"/>
      <c r="P211" s="227"/>
      <c r="Q211" s="227"/>
    </row>
    <row r="212" spans="13:17" x14ac:dyDescent="0.2">
      <c r="M212" s="227"/>
      <c r="N212" s="227"/>
      <c r="O212" s="227"/>
      <c r="P212" s="227"/>
      <c r="Q212" s="227"/>
    </row>
    <row r="213" spans="13:17" x14ac:dyDescent="0.2">
      <c r="M213" s="227"/>
      <c r="N213" s="227"/>
      <c r="O213" s="227"/>
      <c r="P213" s="227"/>
      <c r="Q213" s="227"/>
    </row>
    <row r="214" spans="13:17" x14ac:dyDescent="0.2">
      <c r="M214" s="227"/>
      <c r="N214" s="227"/>
      <c r="O214" s="227"/>
      <c r="P214" s="227"/>
      <c r="Q214" s="227"/>
    </row>
    <row r="215" spans="13:17" x14ac:dyDescent="0.2">
      <c r="M215" s="227"/>
      <c r="N215" s="227"/>
      <c r="O215" s="227"/>
      <c r="P215" s="227"/>
      <c r="Q215" s="227"/>
    </row>
    <row r="216" spans="13:17" x14ac:dyDescent="0.2">
      <c r="M216" s="227"/>
      <c r="N216" s="227"/>
      <c r="O216" s="227"/>
      <c r="P216" s="227"/>
      <c r="Q216" s="227"/>
    </row>
    <row r="217" spans="13:17" x14ac:dyDescent="0.2">
      <c r="M217" s="227"/>
      <c r="N217" s="227"/>
      <c r="O217" s="227"/>
      <c r="P217" s="227"/>
      <c r="Q217" s="227"/>
    </row>
    <row r="218" spans="13:17" x14ac:dyDescent="0.2">
      <c r="M218" s="227"/>
      <c r="N218" s="227"/>
      <c r="O218" s="227"/>
      <c r="P218" s="227"/>
      <c r="Q218" s="227"/>
    </row>
    <row r="219" spans="13:17" x14ac:dyDescent="0.2">
      <c r="M219" s="227"/>
      <c r="N219" s="227"/>
      <c r="O219" s="227"/>
      <c r="P219" s="227"/>
      <c r="Q219" s="227"/>
    </row>
    <row r="220" spans="13:17" x14ac:dyDescent="0.2">
      <c r="M220" s="227"/>
      <c r="N220" s="227"/>
      <c r="O220" s="227"/>
      <c r="P220" s="227"/>
      <c r="Q220" s="227"/>
    </row>
    <row r="221" spans="13:17" x14ac:dyDescent="0.2">
      <c r="M221" s="227"/>
      <c r="N221" s="227"/>
      <c r="O221" s="227"/>
      <c r="P221" s="227"/>
      <c r="Q221" s="227"/>
    </row>
    <row r="222" spans="13:17" x14ac:dyDescent="0.2">
      <c r="M222" s="227"/>
      <c r="N222" s="227"/>
      <c r="O222" s="227"/>
      <c r="P222" s="227"/>
      <c r="Q222" s="227"/>
    </row>
    <row r="223" spans="13:17" x14ac:dyDescent="0.2">
      <c r="M223" s="227"/>
      <c r="N223" s="227"/>
      <c r="O223" s="227"/>
      <c r="P223" s="227"/>
      <c r="Q223" s="227"/>
    </row>
    <row r="224" spans="13:17" x14ac:dyDescent="0.2">
      <c r="M224" s="227"/>
      <c r="N224" s="227"/>
      <c r="O224" s="227"/>
      <c r="P224" s="227"/>
      <c r="Q224" s="227"/>
    </row>
    <row r="225" spans="13:17" x14ac:dyDescent="0.2">
      <c r="M225" s="227"/>
      <c r="N225" s="227"/>
      <c r="O225" s="227"/>
      <c r="P225" s="227"/>
      <c r="Q225" s="227"/>
    </row>
    <row r="226" spans="13:17" x14ac:dyDescent="0.2">
      <c r="M226" s="227"/>
      <c r="N226" s="227"/>
      <c r="O226" s="227"/>
      <c r="P226" s="227"/>
      <c r="Q226" s="227"/>
    </row>
    <row r="227" spans="13:17" x14ac:dyDescent="0.2">
      <c r="M227" s="227"/>
      <c r="N227" s="227"/>
      <c r="O227" s="227"/>
      <c r="P227" s="227"/>
      <c r="Q227" s="227"/>
    </row>
    <row r="228" spans="13:17" x14ac:dyDescent="0.2">
      <c r="M228" s="227"/>
      <c r="N228" s="227"/>
      <c r="O228" s="227"/>
      <c r="P228" s="227"/>
      <c r="Q228" s="227"/>
    </row>
    <row r="229" spans="13:17" x14ac:dyDescent="0.2">
      <c r="M229" s="227"/>
      <c r="N229" s="227"/>
      <c r="O229" s="227"/>
      <c r="P229" s="227"/>
      <c r="Q229" s="227"/>
    </row>
    <row r="230" spans="13:17" x14ac:dyDescent="0.2">
      <c r="M230" s="227"/>
      <c r="N230" s="227"/>
      <c r="O230" s="227"/>
      <c r="P230" s="227"/>
      <c r="Q230" s="227"/>
    </row>
    <row r="231" spans="13:17" x14ac:dyDescent="0.2">
      <c r="M231" s="227"/>
      <c r="N231" s="227"/>
      <c r="O231" s="227"/>
      <c r="P231" s="227"/>
      <c r="Q231" s="227"/>
    </row>
    <row r="232" spans="13:17" x14ac:dyDescent="0.2">
      <c r="M232" s="227"/>
      <c r="N232" s="227"/>
      <c r="O232" s="227"/>
      <c r="P232" s="227"/>
      <c r="Q232" s="227"/>
    </row>
    <row r="233" spans="13:17" x14ac:dyDescent="0.2">
      <c r="M233" s="227"/>
      <c r="N233" s="227"/>
      <c r="O233" s="227"/>
      <c r="P233" s="227"/>
      <c r="Q233" s="227"/>
    </row>
    <row r="234" spans="13:17" x14ac:dyDescent="0.2">
      <c r="M234" s="227"/>
      <c r="N234" s="227"/>
      <c r="O234" s="227"/>
      <c r="P234" s="227"/>
      <c r="Q234" s="227"/>
    </row>
    <row r="235" spans="13:17" x14ac:dyDescent="0.2">
      <c r="M235" s="227"/>
      <c r="N235" s="227"/>
      <c r="O235" s="227"/>
      <c r="P235" s="227"/>
      <c r="Q235" s="227"/>
    </row>
    <row r="236" spans="13:17" x14ac:dyDescent="0.2">
      <c r="M236" s="227"/>
      <c r="N236" s="227"/>
      <c r="O236" s="227"/>
      <c r="P236" s="227"/>
      <c r="Q236" s="227"/>
    </row>
    <row r="237" spans="13:17" x14ac:dyDescent="0.2">
      <c r="M237" s="227"/>
      <c r="N237" s="227"/>
      <c r="O237" s="227"/>
      <c r="P237" s="227"/>
      <c r="Q237" s="227"/>
    </row>
    <row r="238" spans="13:17" x14ac:dyDescent="0.2">
      <c r="M238" s="227"/>
      <c r="N238" s="227"/>
      <c r="O238" s="227"/>
      <c r="P238" s="227"/>
      <c r="Q238" s="227"/>
    </row>
    <row r="239" spans="13:17" x14ac:dyDescent="0.2">
      <c r="M239" s="227"/>
      <c r="N239" s="227"/>
      <c r="O239" s="227"/>
      <c r="P239" s="227"/>
      <c r="Q239" s="227"/>
    </row>
    <row r="240" spans="13:17" x14ac:dyDescent="0.2">
      <c r="M240" s="227"/>
      <c r="N240" s="227"/>
      <c r="O240" s="227"/>
      <c r="P240" s="227"/>
      <c r="Q240" s="227"/>
    </row>
    <row r="241" spans="13:17" x14ac:dyDescent="0.2">
      <c r="M241" s="227"/>
      <c r="N241" s="227"/>
      <c r="O241" s="227"/>
      <c r="P241" s="227"/>
      <c r="Q241" s="227"/>
    </row>
    <row r="242" spans="13:17" x14ac:dyDescent="0.2">
      <c r="M242" s="227"/>
      <c r="N242" s="227"/>
      <c r="O242" s="227"/>
      <c r="P242" s="227"/>
      <c r="Q242" s="227"/>
    </row>
    <row r="243" spans="13:17" x14ac:dyDescent="0.2">
      <c r="M243" s="227"/>
      <c r="N243" s="227"/>
      <c r="O243" s="227"/>
      <c r="P243" s="227"/>
      <c r="Q243" s="227"/>
    </row>
    <row r="244" spans="13:17" x14ac:dyDescent="0.2">
      <c r="M244" s="227"/>
      <c r="N244" s="227"/>
      <c r="O244" s="227"/>
      <c r="P244" s="227"/>
      <c r="Q244" s="227"/>
    </row>
    <row r="245" spans="13:17" x14ac:dyDescent="0.2">
      <c r="M245" s="227"/>
      <c r="N245" s="227"/>
      <c r="O245" s="227"/>
      <c r="P245" s="227"/>
      <c r="Q245" s="227"/>
    </row>
    <row r="246" spans="13:17" x14ac:dyDescent="0.2">
      <c r="M246" s="227"/>
      <c r="N246" s="227"/>
      <c r="O246" s="227"/>
      <c r="P246" s="227"/>
      <c r="Q246" s="227"/>
    </row>
    <row r="247" spans="13:17" x14ac:dyDescent="0.2">
      <c r="M247" s="227"/>
      <c r="N247" s="227"/>
      <c r="O247" s="227"/>
      <c r="P247" s="227"/>
      <c r="Q247" s="227"/>
    </row>
    <row r="248" spans="13:17" x14ac:dyDescent="0.2">
      <c r="M248" s="227"/>
      <c r="N248" s="227"/>
      <c r="O248" s="227"/>
      <c r="P248" s="227"/>
      <c r="Q248" s="227"/>
    </row>
    <row r="249" spans="13:17" x14ac:dyDescent="0.2">
      <c r="M249" s="227"/>
      <c r="N249" s="227"/>
      <c r="O249" s="227"/>
      <c r="P249" s="227"/>
      <c r="Q249" s="227"/>
    </row>
    <row r="250" spans="13:17" x14ac:dyDescent="0.2">
      <c r="M250" s="227"/>
      <c r="N250" s="227"/>
      <c r="O250" s="227"/>
      <c r="P250" s="227"/>
      <c r="Q250" s="227"/>
    </row>
    <row r="251" spans="13:17" x14ac:dyDescent="0.2">
      <c r="M251" s="227"/>
      <c r="N251" s="227"/>
      <c r="O251" s="227"/>
      <c r="P251" s="227"/>
      <c r="Q251" s="227"/>
    </row>
    <row r="252" spans="13:17" x14ac:dyDescent="0.2">
      <c r="M252" s="227"/>
      <c r="N252" s="227"/>
      <c r="O252" s="227"/>
      <c r="P252" s="227"/>
      <c r="Q252" s="227"/>
    </row>
    <row r="253" spans="13:17" x14ac:dyDescent="0.2">
      <c r="M253" s="227"/>
      <c r="N253" s="227"/>
      <c r="O253" s="227"/>
      <c r="P253" s="227"/>
      <c r="Q253" s="227"/>
    </row>
    <row r="254" spans="13:17" x14ac:dyDescent="0.2">
      <c r="M254" s="227"/>
      <c r="N254" s="227"/>
      <c r="O254" s="227"/>
      <c r="P254" s="227"/>
      <c r="Q254" s="227"/>
    </row>
    <row r="255" spans="13:17" x14ac:dyDescent="0.2">
      <c r="M255" s="227"/>
      <c r="N255" s="227"/>
      <c r="O255" s="227"/>
      <c r="P255" s="227"/>
      <c r="Q255" s="227"/>
    </row>
    <row r="256" spans="13:17" x14ac:dyDescent="0.2">
      <c r="M256" s="227"/>
      <c r="N256" s="227"/>
      <c r="O256" s="227"/>
      <c r="P256" s="227"/>
      <c r="Q256" s="227"/>
    </row>
    <row r="257" spans="13:17" x14ac:dyDescent="0.2">
      <c r="M257" s="227"/>
      <c r="N257" s="227"/>
      <c r="O257" s="227"/>
      <c r="P257" s="227"/>
      <c r="Q257" s="227"/>
    </row>
    <row r="258" spans="13:17" x14ac:dyDescent="0.2">
      <c r="M258" s="227"/>
      <c r="N258" s="227"/>
      <c r="O258" s="227"/>
      <c r="P258" s="227"/>
      <c r="Q258" s="227"/>
    </row>
    <row r="259" spans="13:17" x14ac:dyDescent="0.2">
      <c r="M259" s="227"/>
      <c r="N259" s="227"/>
      <c r="O259" s="227"/>
      <c r="P259" s="227"/>
      <c r="Q259" s="227"/>
    </row>
    <row r="260" spans="13:17" x14ac:dyDescent="0.2">
      <c r="M260" s="227"/>
      <c r="N260" s="227"/>
      <c r="O260" s="227"/>
      <c r="P260" s="227"/>
      <c r="Q260" s="227"/>
    </row>
    <row r="261" spans="13:17" x14ac:dyDescent="0.2">
      <c r="M261" s="227"/>
      <c r="N261" s="227"/>
      <c r="O261" s="227"/>
      <c r="P261" s="227"/>
      <c r="Q261" s="227"/>
    </row>
    <row r="262" spans="13:17" x14ac:dyDescent="0.2">
      <c r="M262" s="227"/>
      <c r="N262" s="227"/>
      <c r="O262" s="227"/>
      <c r="P262" s="227"/>
      <c r="Q262" s="227"/>
    </row>
    <row r="263" spans="13:17" x14ac:dyDescent="0.2">
      <c r="M263" s="227"/>
      <c r="N263" s="227"/>
      <c r="O263" s="227"/>
      <c r="P263" s="227"/>
      <c r="Q263" s="227"/>
    </row>
    <row r="264" spans="13:17" x14ac:dyDescent="0.2">
      <c r="M264" s="227"/>
      <c r="N264" s="227"/>
      <c r="O264" s="227"/>
      <c r="P264" s="227"/>
      <c r="Q264" s="227"/>
    </row>
    <row r="265" spans="13:17" x14ac:dyDescent="0.2">
      <c r="M265" s="227"/>
      <c r="N265" s="227"/>
      <c r="O265" s="227"/>
      <c r="P265" s="227"/>
      <c r="Q265" s="227"/>
    </row>
    <row r="266" spans="13:17" x14ac:dyDescent="0.2">
      <c r="M266" s="227"/>
      <c r="N266" s="227"/>
      <c r="O266" s="227"/>
      <c r="P266" s="227"/>
      <c r="Q266" s="227"/>
    </row>
    <row r="267" spans="13:17" x14ac:dyDescent="0.2">
      <c r="M267" s="227"/>
      <c r="N267" s="227"/>
      <c r="O267" s="227"/>
      <c r="P267" s="227"/>
      <c r="Q267" s="227"/>
    </row>
    <row r="268" spans="13:17" x14ac:dyDescent="0.2">
      <c r="M268" s="227"/>
      <c r="N268" s="227"/>
      <c r="O268" s="227"/>
      <c r="P268" s="227"/>
      <c r="Q268" s="227"/>
    </row>
    <row r="269" spans="13:17" x14ac:dyDescent="0.2">
      <c r="M269" s="227"/>
      <c r="N269" s="227"/>
      <c r="O269" s="227"/>
      <c r="P269" s="227"/>
      <c r="Q269" s="227"/>
    </row>
    <row r="270" spans="13:17" x14ac:dyDescent="0.2">
      <c r="M270" s="227"/>
      <c r="N270" s="227"/>
      <c r="O270" s="227"/>
      <c r="P270" s="227"/>
      <c r="Q270" s="227"/>
    </row>
    <row r="271" spans="13:17" x14ac:dyDescent="0.2">
      <c r="M271" s="227"/>
      <c r="N271" s="227"/>
      <c r="O271" s="227"/>
      <c r="P271" s="227"/>
      <c r="Q271" s="227"/>
    </row>
    <row r="272" spans="13:17" x14ac:dyDescent="0.2">
      <c r="M272" s="227"/>
      <c r="N272" s="227"/>
      <c r="O272" s="227"/>
      <c r="P272" s="227"/>
      <c r="Q272" s="227"/>
    </row>
    <row r="273" spans="13:17" x14ac:dyDescent="0.2">
      <c r="M273" s="227"/>
      <c r="N273" s="227"/>
      <c r="O273" s="227"/>
      <c r="P273" s="227"/>
      <c r="Q273" s="227"/>
    </row>
    <row r="274" spans="13:17" x14ac:dyDescent="0.2">
      <c r="M274" s="227"/>
      <c r="N274" s="227"/>
      <c r="O274" s="227"/>
      <c r="P274" s="227"/>
      <c r="Q274" s="227"/>
    </row>
    <row r="275" spans="13:17" x14ac:dyDescent="0.2">
      <c r="M275" s="227"/>
      <c r="N275" s="227"/>
      <c r="O275" s="227"/>
      <c r="P275" s="227"/>
      <c r="Q275" s="227"/>
    </row>
    <row r="276" spans="13:17" x14ac:dyDescent="0.2">
      <c r="M276" s="227"/>
      <c r="N276" s="227"/>
      <c r="O276" s="227"/>
      <c r="P276" s="227"/>
      <c r="Q276" s="227"/>
    </row>
    <row r="277" spans="13:17" x14ac:dyDescent="0.2">
      <c r="M277" s="227"/>
      <c r="N277" s="227"/>
      <c r="O277" s="227"/>
      <c r="P277" s="227"/>
      <c r="Q277" s="227"/>
    </row>
    <row r="278" spans="13:17" x14ac:dyDescent="0.2">
      <c r="M278" s="227"/>
      <c r="N278" s="227"/>
      <c r="O278" s="227"/>
      <c r="P278" s="227"/>
      <c r="Q278" s="227"/>
    </row>
    <row r="279" spans="13:17" x14ac:dyDescent="0.2">
      <c r="M279" s="227"/>
      <c r="N279" s="227"/>
      <c r="O279" s="227"/>
      <c r="P279" s="227"/>
      <c r="Q279" s="227"/>
    </row>
    <row r="280" spans="13:17" x14ac:dyDescent="0.2">
      <c r="M280" s="227"/>
      <c r="N280" s="227"/>
      <c r="O280" s="227"/>
      <c r="P280" s="227"/>
      <c r="Q280" s="227"/>
    </row>
    <row r="281" spans="13:17" x14ac:dyDescent="0.2">
      <c r="M281" s="227"/>
      <c r="N281" s="227"/>
      <c r="O281" s="227"/>
      <c r="P281" s="227"/>
      <c r="Q281" s="227"/>
    </row>
    <row r="282" spans="13:17" x14ac:dyDescent="0.2">
      <c r="M282" s="227"/>
      <c r="N282" s="227"/>
      <c r="O282" s="227"/>
      <c r="P282" s="227"/>
      <c r="Q282" s="227"/>
    </row>
    <row r="283" spans="13:17" x14ac:dyDescent="0.2">
      <c r="M283" s="227"/>
      <c r="N283" s="227"/>
      <c r="O283" s="227"/>
      <c r="P283" s="227"/>
      <c r="Q283" s="227"/>
    </row>
    <row r="284" spans="13:17" x14ac:dyDescent="0.2">
      <c r="M284" s="227"/>
      <c r="N284" s="227"/>
      <c r="O284" s="227"/>
      <c r="P284" s="227"/>
      <c r="Q284" s="227"/>
    </row>
    <row r="285" spans="13:17" x14ac:dyDescent="0.2">
      <c r="M285" s="227"/>
      <c r="N285" s="227"/>
      <c r="O285" s="227"/>
      <c r="P285" s="227"/>
      <c r="Q285" s="227"/>
    </row>
    <row r="286" spans="13:17" x14ac:dyDescent="0.2">
      <c r="M286" s="227"/>
      <c r="N286" s="227"/>
      <c r="O286" s="227"/>
      <c r="P286" s="227"/>
      <c r="Q286" s="227"/>
    </row>
    <row r="287" spans="13:17" x14ac:dyDescent="0.2">
      <c r="M287" s="227"/>
      <c r="N287" s="227"/>
      <c r="O287" s="227"/>
      <c r="P287" s="227"/>
      <c r="Q287" s="227"/>
    </row>
    <row r="288" spans="13:17" x14ac:dyDescent="0.2">
      <c r="M288" s="227"/>
      <c r="N288" s="227"/>
      <c r="O288" s="227"/>
      <c r="P288" s="227"/>
      <c r="Q288" s="227"/>
    </row>
    <row r="289" spans="13:17" x14ac:dyDescent="0.2">
      <c r="M289" s="227"/>
      <c r="N289" s="227"/>
      <c r="O289" s="227"/>
      <c r="P289" s="227"/>
      <c r="Q289" s="227"/>
    </row>
    <row r="290" spans="13:17" x14ac:dyDescent="0.2">
      <c r="M290" s="227"/>
      <c r="N290" s="227"/>
      <c r="O290" s="227"/>
      <c r="P290" s="227"/>
      <c r="Q290" s="227"/>
    </row>
    <row r="291" spans="13:17" x14ac:dyDescent="0.2">
      <c r="M291" s="227"/>
      <c r="N291" s="227"/>
      <c r="O291" s="227"/>
      <c r="P291" s="227"/>
      <c r="Q291" s="227"/>
    </row>
    <row r="292" spans="13:17" x14ac:dyDescent="0.2">
      <c r="M292" s="227"/>
      <c r="N292" s="227"/>
      <c r="O292" s="227"/>
      <c r="P292" s="227"/>
      <c r="Q292" s="227"/>
    </row>
    <row r="293" spans="13:17" x14ac:dyDescent="0.2">
      <c r="M293" s="227"/>
      <c r="N293" s="227"/>
      <c r="O293" s="227"/>
      <c r="P293" s="227"/>
      <c r="Q293" s="227"/>
    </row>
    <row r="294" spans="13:17" x14ac:dyDescent="0.2">
      <c r="M294" s="227"/>
      <c r="N294" s="227"/>
      <c r="O294" s="227"/>
      <c r="P294" s="227"/>
      <c r="Q294" s="227"/>
    </row>
    <row r="295" spans="13:17" x14ac:dyDescent="0.2">
      <c r="M295" s="227"/>
      <c r="N295" s="227"/>
      <c r="O295" s="227"/>
      <c r="P295" s="227"/>
      <c r="Q295" s="227"/>
    </row>
    <row r="296" spans="13:17" x14ac:dyDescent="0.2">
      <c r="M296" s="227"/>
      <c r="N296" s="227"/>
      <c r="O296" s="227"/>
      <c r="P296" s="227"/>
      <c r="Q296" s="227"/>
    </row>
    <row r="297" spans="13:17" x14ac:dyDescent="0.2">
      <c r="M297" s="227"/>
      <c r="N297" s="227"/>
      <c r="O297" s="227"/>
      <c r="P297" s="227"/>
      <c r="Q297" s="227"/>
    </row>
    <row r="298" spans="13:17" x14ac:dyDescent="0.2">
      <c r="M298" s="227"/>
      <c r="N298" s="227"/>
      <c r="O298" s="227"/>
      <c r="P298" s="227"/>
      <c r="Q298" s="227"/>
    </row>
    <row r="299" spans="13:17" x14ac:dyDescent="0.2">
      <c r="M299" s="227"/>
      <c r="N299" s="227"/>
      <c r="O299" s="227"/>
      <c r="P299" s="227"/>
      <c r="Q299" s="227"/>
    </row>
    <row r="300" spans="13:17" x14ac:dyDescent="0.2">
      <c r="M300" s="227"/>
      <c r="N300" s="227"/>
      <c r="O300" s="227"/>
      <c r="P300" s="227"/>
      <c r="Q300" s="227"/>
    </row>
    <row r="301" spans="13:17" x14ac:dyDescent="0.2">
      <c r="M301" s="227"/>
      <c r="N301" s="227"/>
      <c r="O301" s="227"/>
      <c r="P301" s="227"/>
      <c r="Q301" s="227"/>
    </row>
    <row r="302" spans="13:17" x14ac:dyDescent="0.2">
      <c r="M302" s="227"/>
      <c r="N302" s="227"/>
      <c r="O302" s="227"/>
      <c r="P302" s="227"/>
      <c r="Q302" s="227"/>
    </row>
    <row r="303" spans="13:17" x14ac:dyDescent="0.2">
      <c r="M303" s="227"/>
      <c r="N303" s="227"/>
      <c r="O303" s="227"/>
      <c r="P303" s="227"/>
      <c r="Q303" s="227"/>
    </row>
    <row r="304" spans="13:17" x14ac:dyDescent="0.2">
      <c r="M304" s="227"/>
      <c r="N304" s="227"/>
      <c r="O304" s="227"/>
      <c r="P304" s="227"/>
      <c r="Q304" s="227"/>
    </row>
    <row r="305" spans="13:17" x14ac:dyDescent="0.2">
      <c r="M305" s="227"/>
      <c r="N305" s="227"/>
      <c r="O305" s="227"/>
      <c r="P305" s="227"/>
      <c r="Q305" s="227"/>
    </row>
    <row r="306" spans="13:17" x14ac:dyDescent="0.2">
      <c r="M306" s="227"/>
      <c r="N306" s="227"/>
      <c r="O306" s="227"/>
      <c r="P306" s="227"/>
      <c r="Q306" s="227"/>
    </row>
    <row r="307" spans="13:17" x14ac:dyDescent="0.2">
      <c r="M307" s="227"/>
      <c r="N307" s="227"/>
      <c r="O307" s="227"/>
      <c r="P307" s="227"/>
      <c r="Q307" s="227"/>
    </row>
    <row r="308" spans="13:17" x14ac:dyDescent="0.2">
      <c r="M308" s="227"/>
      <c r="N308" s="227"/>
      <c r="O308" s="227"/>
      <c r="P308" s="227"/>
      <c r="Q308" s="227"/>
    </row>
    <row r="309" spans="13:17" x14ac:dyDescent="0.2">
      <c r="M309" s="227"/>
      <c r="N309" s="227"/>
      <c r="O309" s="227"/>
      <c r="P309" s="227"/>
      <c r="Q309" s="227"/>
    </row>
    <row r="310" spans="13:17" x14ac:dyDescent="0.2">
      <c r="M310" s="227"/>
      <c r="N310" s="227"/>
      <c r="O310" s="227"/>
      <c r="P310" s="227"/>
      <c r="Q310" s="227"/>
    </row>
    <row r="311" spans="13:17" x14ac:dyDescent="0.2">
      <c r="M311" s="227"/>
      <c r="N311" s="227"/>
      <c r="O311" s="227"/>
      <c r="P311" s="227"/>
      <c r="Q311" s="227"/>
    </row>
    <row r="312" spans="13:17" x14ac:dyDescent="0.2">
      <c r="M312" s="227"/>
      <c r="N312" s="227"/>
      <c r="O312" s="227"/>
      <c r="P312" s="227"/>
      <c r="Q312" s="227"/>
    </row>
    <row r="313" spans="13:17" x14ac:dyDescent="0.2">
      <c r="M313" s="227"/>
      <c r="N313" s="227"/>
      <c r="O313" s="227"/>
      <c r="P313" s="227"/>
      <c r="Q313" s="227"/>
    </row>
    <row r="314" spans="13:17" x14ac:dyDescent="0.2">
      <c r="M314" s="227"/>
      <c r="N314" s="227"/>
      <c r="O314" s="227"/>
      <c r="P314" s="227"/>
      <c r="Q314" s="227"/>
    </row>
    <row r="315" spans="13:17" x14ac:dyDescent="0.2">
      <c r="M315" s="227"/>
      <c r="N315" s="227"/>
      <c r="O315" s="227"/>
      <c r="P315" s="227"/>
      <c r="Q315" s="227"/>
    </row>
    <row r="316" spans="13:17" x14ac:dyDescent="0.2">
      <c r="M316" s="227"/>
      <c r="N316" s="227"/>
      <c r="O316" s="227"/>
      <c r="P316" s="227"/>
      <c r="Q316" s="227"/>
    </row>
    <row r="317" spans="13:17" x14ac:dyDescent="0.2">
      <c r="M317" s="227"/>
      <c r="N317" s="227"/>
      <c r="O317" s="227"/>
      <c r="P317" s="227"/>
      <c r="Q317" s="227"/>
    </row>
    <row r="318" spans="13:17" x14ac:dyDescent="0.2">
      <c r="M318" s="227"/>
      <c r="N318" s="227"/>
      <c r="O318" s="227"/>
      <c r="P318" s="227"/>
      <c r="Q318" s="227"/>
    </row>
    <row r="319" spans="13:17" x14ac:dyDescent="0.2">
      <c r="M319" s="227"/>
      <c r="N319" s="227"/>
      <c r="O319" s="227"/>
      <c r="P319" s="227"/>
      <c r="Q319" s="227"/>
    </row>
    <row r="320" spans="13:17" x14ac:dyDescent="0.2">
      <c r="M320" s="227"/>
      <c r="N320" s="227"/>
      <c r="O320" s="227"/>
      <c r="P320" s="227"/>
      <c r="Q320" s="227"/>
    </row>
    <row r="321" spans="13:17" x14ac:dyDescent="0.2">
      <c r="M321" s="227"/>
      <c r="N321" s="227"/>
      <c r="O321" s="227"/>
      <c r="P321" s="227"/>
      <c r="Q321" s="227"/>
    </row>
    <row r="322" spans="13:17" x14ac:dyDescent="0.2">
      <c r="M322" s="227"/>
      <c r="N322" s="227"/>
      <c r="O322" s="227"/>
      <c r="P322" s="227"/>
      <c r="Q322" s="227"/>
    </row>
    <row r="323" spans="13:17" x14ac:dyDescent="0.2">
      <c r="M323" s="227"/>
      <c r="N323" s="227"/>
      <c r="O323" s="227"/>
      <c r="P323" s="227"/>
      <c r="Q323" s="227"/>
    </row>
    <row r="324" spans="13:17" x14ac:dyDescent="0.2">
      <c r="M324" s="227"/>
      <c r="N324" s="227"/>
      <c r="O324" s="227"/>
      <c r="P324" s="227"/>
      <c r="Q324" s="227"/>
    </row>
    <row r="325" spans="13:17" x14ac:dyDescent="0.2">
      <c r="M325" s="227"/>
      <c r="N325" s="227"/>
      <c r="O325" s="227"/>
      <c r="P325" s="227"/>
      <c r="Q325" s="227"/>
    </row>
    <row r="326" spans="13:17" x14ac:dyDescent="0.2">
      <c r="M326" s="227"/>
      <c r="N326" s="227"/>
      <c r="O326" s="227"/>
      <c r="P326" s="227"/>
      <c r="Q326" s="227"/>
    </row>
    <row r="327" spans="13:17" x14ac:dyDescent="0.2">
      <c r="M327" s="227"/>
      <c r="N327" s="227"/>
      <c r="O327" s="227"/>
      <c r="P327" s="227"/>
      <c r="Q327" s="227"/>
    </row>
    <row r="328" spans="13:17" x14ac:dyDescent="0.2">
      <c r="M328" s="227"/>
      <c r="N328" s="227"/>
      <c r="O328" s="227"/>
      <c r="P328" s="227"/>
      <c r="Q328" s="227"/>
    </row>
    <row r="329" spans="13:17" x14ac:dyDescent="0.2">
      <c r="M329" s="227"/>
      <c r="N329" s="227"/>
      <c r="O329" s="227"/>
      <c r="P329" s="227"/>
      <c r="Q329" s="227"/>
    </row>
    <row r="330" spans="13:17" x14ac:dyDescent="0.2">
      <c r="M330" s="227"/>
      <c r="N330" s="227"/>
      <c r="O330" s="227"/>
      <c r="P330" s="227"/>
      <c r="Q330" s="227"/>
    </row>
    <row r="331" spans="13:17" x14ac:dyDescent="0.2">
      <c r="M331" s="227"/>
      <c r="N331" s="227"/>
      <c r="O331" s="227"/>
      <c r="P331" s="227"/>
      <c r="Q331" s="227"/>
    </row>
    <row r="332" spans="13:17" x14ac:dyDescent="0.2">
      <c r="M332" s="227"/>
      <c r="N332" s="227"/>
      <c r="O332" s="227"/>
      <c r="P332" s="227"/>
      <c r="Q332" s="227"/>
    </row>
    <row r="333" spans="13:17" x14ac:dyDescent="0.2">
      <c r="M333" s="227"/>
      <c r="N333" s="227"/>
      <c r="O333" s="227"/>
      <c r="P333" s="227"/>
      <c r="Q333" s="227"/>
    </row>
    <row r="334" spans="13:17" x14ac:dyDescent="0.2">
      <c r="M334" s="227"/>
      <c r="N334" s="227"/>
      <c r="O334" s="227"/>
      <c r="P334" s="227"/>
      <c r="Q334" s="227"/>
    </row>
    <row r="335" spans="13:17" x14ac:dyDescent="0.2">
      <c r="M335" s="227"/>
      <c r="N335" s="227"/>
      <c r="O335" s="227"/>
      <c r="P335" s="227"/>
      <c r="Q335" s="227"/>
    </row>
    <row r="336" spans="13:17" x14ac:dyDescent="0.2">
      <c r="M336" s="227"/>
      <c r="N336" s="227"/>
      <c r="O336" s="227"/>
      <c r="P336" s="227"/>
      <c r="Q336" s="227"/>
    </row>
    <row r="337" spans="13:17" x14ac:dyDescent="0.2">
      <c r="M337" s="227"/>
      <c r="N337" s="227"/>
      <c r="O337" s="227"/>
      <c r="P337" s="227"/>
      <c r="Q337" s="227"/>
    </row>
    <row r="338" spans="13:17" x14ac:dyDescent="0.2">
      <c r="M338" s="227"/>
      <c r="N338" s="227"/>
      <c r="O338" s="227"/>
      <c r="P338" s="227"/>
      <c r="Q338" s="227"/>
    </row>
    <row r="339" spans="13:17" x14ac:dyDescent="0.2">
      <c r="M339" s="227"/>
      <c r="N339" s="227"/>
      <c r="O339" s="227"/>
      <c r="P339" s="227"/>
      <c r="Q339" s="227"/>
    </row>
    <row r="340" spans="13:17" x14ac:dyDescent="0.2">
      <c r="M340" s="227"/>
      <c r="N340" s="227"/>
      <c r="O340" s="227"/>
      <c r="P340" s="227"/>
      <c r="Q340" s="227"/>
    </row>
    <row r="341" spans="13:17" x14ac:dyDescent="0.2">
      <c r="M341" s="227"/>
      <c r="N341" s="227"/>
      <c r="O341" s="227"/>
      <c r="P341" s="227"/>
      <c r="Q341" s="227"/>
    </row>
    <row r="342" spans="13:17" x14ac:dyDescent="0.2">
      <c r="M342" s="227"/>
      <c r="N342" s="227"/>
      <c r="O342" s="227"/>
      <c r="P342" s="227"/>
      <c r="Q342" s="227"/>
    </row>
    <row r="343" spans="13:17" x14ac:dyDescent="0.2">
      <c r="M343" s="227"/>
      <c r="N343" s="227"/>
      <c r="O343" s="227"/>
      <c r="P343" s="227"/>
      <c r="Q343" s="227"/>
    </row>
    <row r="344" spans="13:17" x14ac:dyDescent="0.2">
      <c r="M344" s="227"/>
      <c r="N344" s="227"/>
      <c r="O344" s="227"/>
      <c r="P344" s="227"/>
      <c r="Q344" s="227"/>
    </row>
    <row r="345" spans="13:17" x14ac:dyDescent="0.2">
      <c r="M345" s="227"/>
      <c r="N345" s="227"/>
      <c r="O345" s="227"/>
      <c r="P345" s="227"/>
      <c r="Q345" s="227"/>
    </row>
    <row r="346" spans="13:17" x14ac:dyDescent="0.2">
      <c r="M346" s="227"/>
      <c r="N346" s="227"/>
      <c r="O346" s="227"/>
      <c r="P346" s="227"/>
      <c r="Q346" s="227"/>
    </row>
    <row r="347" spans="13:17" x14ac:dyDescent="0.2">
      <c r="M347" s="227"/>
      <c r="N347" s="227"/>
      <c r="O347" s="227"/>
      <c r="P347" s="227"/>
      <c r="Q347" s="227"/>
    </row>
    <row r="348" spans="13:17" x14ac:dyDescent="0.2">
      <c r="M348" s="227"/>
      <c r="N348" s="227"/>
      <c r="O348" s="227"/>
      <c r="P348" s="227"/>
      <c r="Q348" s="227"/>
    </row>
    <row r="349" spans="13:17" x14ac:dyDescent="0.2">
      <c r="M349" s="227"/>
      <c r="N349" s="227"/>
      <c r="O349" s="227"/>
      <c r="P349" s="227"/>
      <c r="Q349" s="227"/>
    </row>
    <row r="350" spans="13:17" x14ac:dyDescent="0.2">
      <c r="M350" s="227"/>
      <c r="N350" s="227"/>
      <c r="O350" s="227"/>
      <c r="P350" s="227"/>
      <c r="Q350" s="227"/>
    </row>
    <row r="351" spans="13:17" x14ac:dyDescent="0.2">
      <c r="M351" s="227"/>
      <c r="N351" s="227"/>
      <c r="O351" s="227"/>
      <c r="P351" s="227"/>
      <c r="Q351" s="227"/>
    </row>
    <row r="352" spans="13:17" x14ac:dyDescent="0.2">
      <c r="M352" s="227"/>
      <c r="N352" s="227"/>
      <c r="O352" s="227"/>
      <c r="P352" s="227"/>
      <c r="Q352" s="227"/>
    </row>
    <row r="353" spans="13:17" x14ac:dyDescent="0.2">
      <c r="M353" s="227"/>
      <c r="N353" s="227"/>
      <c r="O353" s="227"/>
      <c r="P353" s="227"/>
      <c r="Q353" s="227"/>
    </row>
    <row r="354" spans="13:17" x14ac:dyDescent="0.2">
      <c r="M354" s="227"/>
      <c r="N354" s="227"/>
      <c r="O354" s="227"/>
      <c r="P354" s="227"/>
      <c r="Q354" s="227"/>
    </row>
    <row r="355" spans="13:17" x14ac:dyDescent="0.2">
      <c r="M355" s="227"/>
      <c r="N355" s="227"/>
      <c r="O355" s="227"/>
      <c r="P355" s="227"/>
      <c r="Q355" s="227"/>
    </row>
    <row r="356" spans="13:17" x14ac:dyDescent="0.2">
      <c r="M356" s="227"/>
      <c r="N356" s="227"/>
      <c r="O356" s="227"/>
      <c r="P356" s="227"/>
      <c r="Q356" s="227"/>
    </row>
    <row r="357" spans="13:17" x14ac:dyDescent="0.2">
      <c r="M357" s="227"/>
      <c r="N357" s="227"/>
      <c r="O357" s="227"/>
      <c r="P357" s="227"/>
      <c r="Q357" s="227"/>
    </row>
    <row r="358" spans="13:17" x14ac:dyDescent="0.2">
      <c r="M358" s="227"/>
      <c r="N358" s="227"/>
      <c r="O358" s="227"/>
      <c r="P358" s="227"/>
      <c r="Q358" s="227"/>
    </row>
    <row r="359" spans="13:17" x14ac:dyDescent="0.2">
      <c r="M359" s="227"/>
      <c r="N359" s="227"/>
      <c r="O359" s="227"/>
      <c r="P359" s="227"/>
      <c r="Q359" s="227"/>
    </row>
    <row r="360" spans="13:17" x14ac:dyDescent="0.2">
      <c r="M360" s="227"/>
      <c r="N360" s="227"/>
      <c r="O360" s="227"/>
      <c r="P360" s="227"/>
      <c r="Q360" s="227"/>
    </row>
    <row r="361" spans="13:17" x14ac:dyDescent="0.2">
      <c r="M361" s="227"/>
      <c r="N361" s="227"/>
      <c r="O361" s="227"/>
      <c r="P361" s="227"/>
      <c r="Q361" s="227"/>
    </row>
    <row r="362" spans="13:17" x14ac:dyDescent="0.2">
      <c r="M362" s="227"/>
      <c r="N362" s="227"/>
      <c r="O362" s="227"/>
      <c r="P362" s="227"/>
      <c r="Q362" s="227"/>
    </row>
    <row r="363" spans="13:17" x14ac:dyDescent="0.2">
      <c r="M363" s="227"/>
      <c r="N363" s="227"/>
      <c r="O363" s="227"/>
      <c r="P363" s="227"/>
      <c r="Q363" s="227"/>
    </row>
    <row r="364" spans="13:17" x14ac:dyDescent="0.2">
      <c r="M364" s="227"/>
      <c r="N364" s="227"/>
      <c r="O364" s="227"/>
      <c r="P364" s="227"/>
      <c r="Q364" s="227"/>
    </row>
    <row r="365" spans="13:17" x14ac:dyDescent="0.2">
      <c r="M365" s="227"/>
      <c r="N365" s="227"/>
      <c r="O365" s="227"/>
      <c r="P365" s="227"/>
      <c r="Q365" s="227"/>
    </row>
    <row r="366" spans="13:17" x14ac:dyDescent="0.2">
      <c r="M366" s="227"/>
      <c r="N366" s="227"/>
      <c r="O366" s="227"/>
      <c r="P366" s="227"/>
      <c r="Q366" s="227"/>
    </row>
    <row r="367" spans="13:17" x14ac:dyDescent="0.2">
      <c r="M367" s="227"/>
      <c r="N367" s="227"/>
      <c r="O367" s="227"/>
      <c r="P367" s="227"/>
      <c r="Q367" s="227"/>
    </row>
    <row r="368" spans="13:17" x14ac:dyDescent="0.2">
      <c r="M368" s="227"/>
      <c r="N368" s="227"/>
      <c r="O368" s="227"/>
      <c r="P368" s="227"/>
      <c r="Q368" s="227"/>
    </row>
    <row r="369" spans="13:17" x14ac:dyDescent="0.2">
      <c r="M369" s="227"/>
      <c r="N369" s="227"/>
      <c r="O369" s="227"/>
      <c r="P369" s="227"/>
      <c r="Q369" s="227"/>
    </row>
    <row r="370" spans="13:17" x14ac:dyDescent="0.2">
      <c r="M370" s="227"/>
      <c r="N370" s="227"/>
      <c r="O370" s="227"/>
      <c r="P370" s="227"/>
      <c r="Q370" s="227"/>
    </row>
    <row r="371" spans="13:17" x14ac:dyDescent="0.2">
      <c r="M371" s="227"/>
      <c r="N371" s="227"/>
      <c r="O371" s="227"/>
      <c r="P371" s="227"/>
      <c r="Q371" s="227"/>
    </row>
    <row r="372" spans="13:17" x14ac:dyDescent="0.2">
      <c r="M372" s="227"/>
      <c r="N372" s="227"/>
      <c r="O372" s="227"/>
      <c r="P372" s="227"/>
      <c r="Q372" s="227"/>
    </row>
    <row r="373" spans="13:17" x14ac:dyDescent="0.2">
      <c r="M373" s="227"/>
      <c r="N373" s="227"/>
      <c r="O373" s="227"/>
      <c r="P373" s="227"/>
      <c r="Q373" s="227"/>
    </row>
    <row r="374" spans="13:17" x14ac:dyDescent="0.2">
      <c r="M374" s="227"/>
      <c r="N374" s="227"/>
      <c r="O374" s="227"/>
      <c r="P374" s="227"/>
      <c r="Q374" s="227"/>
    </row>
    <row r="375" spans="13:17" x14ac:dyDescent="0.2">
      <c r="M375" s="227"/>
      <c r="N375" s="227"/>
      <c r="O375" s="227"/>
      <c r="P375" s="227"/>
      <c r="Q375" s="227"/>
    </row>
    <row r="376" spans="13:17" x14ac:dyDescent="0.2">
      <c r="M376" s="227"/>
      <c r="N376" s="227"/>
      <c r="O376" s="227"/>
      <c r="P376" s="227"/>
      <c r="Q376" s="227"/>
    </row>
    <row r="377" spans="13:17" x14ac:dyDescent="0.2">
      <c r="M377" s="227"/>
      <c r="N377" s="227"/>
      <c r="O377" s="227"/>
      <c r="P377" s="227"/>
      <c r="Q377" s="227"/>
    </row>
    <row r="378" spans="13:17" x14ac:dyDescent="0.2">
      <c r="M378" s="227"/>
      <c r="N378" s="227"/>
      <c r="O378" s="227"/>
      <c r="P378" s="227"/>
      <c r="Q378" s="227"/>
    </row>
    <row r="379" spans="13:17" x14ac:dyDescent="0.2">
      <c r="M379" s="227"/>
      <c r="N379" s="227"/>
      <c r="O379" s="227"/>
      <c r="P379" s="227"/>
      <c r="Q379" s="227"/>
    </row>
    <row r="380" spans="13:17" x14ac:dyDescent="0.2">
      <c r="M380" s="227"/>
      <c r="N380" s="227"/>
      <c r="O380" s="227"/>
      <c r="P380" s="227"/>
      <c r="Q380" s="227"/>
    </row>
    <row r="381" spans="13:17" x14ac:dyDescent="0.2">
      <c r="M381" s="227"/>
      <c r="N381" s="227"/>
      <c r="O381" s="227"/>
      <c r="P381" s="227"/>
      <c r="Q381" s="227"/>
    </row>
    <row r="382" spans="13:17" x14ac:dyDescent="0.2">
      <c r="M382" s="227"/>
      <c r="N382" s="227"/>
      <c r="O382" s="227"/>
      <c r="P382" s="227"/>
      <c r="Q382" s="227"/>
    </row>
    <row r="383" spans="13:17" x14ac:dyDescent="0.2">
      <c r="M383" s="227"/>
      <c r="N383" s="227"/>
      <c r="O383" s="227"/>
      <c r="P383" s="227"/>
      <c r="Q383" s="227"/>
    </row>
    <row r="384" spans="13:17" x14ac:dyDescent="0.2">
      <c r="M384" s="227"/>
      <c r="N384" s="227"/>
      <c r="O384" s="227"/>
      <c r="P384" s="227"/>
      <c r="Q384" s="227"/>
    </row>
    <row r="385" spans="13:17" x14ac:dyDescent="0.2">
      <c r="M385" s="227"/>
      <c r="N385" s="227"/>
      <c r="O385" s="227"/>
      <c r="P385" s="227"/>
      <c r="Q385" s="227"/>
    </row>
    <row r="386" spans="13:17" x14ac:dyDescent="0.2">
      <c r="M386" s="227"/>
      <c r="N386" s="227"/>
      <c r="O386" s="227"/>
      <c r="P386" s="227"/>
      <c r="Q386" s="227"/>
    </row>
    <row r="387" spans="13:17" x14ac:dyDescent="0.2">
      <c r="M387" s="227"/>
      <c r="N387" s="227"/>
      <c r="O387" s="227"/>
      <c r="P387" s="227"/>
      <c r="Q387" s="227"/>
    </row>
    <row r="388" spans="13:17" x14ac:dyDescent="0.2">
      <c r="M388" s="227"/>
      <c r="N388" s="227"/>
      <c r="O388" s="227"/>
      <c r="P388" s="227"/>
      <c r="Q388" s="227"/>
    </row>
    <row r="389" spans="13:17" x14ac:dyDescent="0.2">
      <c r="M389" s="227"/>
      <c r="N389" s="227"/>
      <c r="O389" s="227"/>
      <c r="P389" s="227"/>
      <c r="Q389" s="227"/>
    </row>
    <row r="390" spans="13:17" x14ac:dyDescent="0.2">
      <c r="M390" s="227"/>
      <c r="N390" s="227"/>
      <c r="O390" s="227"/>
      <c r="P390" s="227"/>
      <c r="Q390" s="227"/>
    </row>
    <row r="391" spans="13:17" x14ac:dyDescent="0.2">
      <c r="M391" s="227"/>
      <c r="N391" s="227"/>
      <c r="O391" s="227"/>
      <c r="P391" s="227"/>
      <c r="Q391" s="227"/>
    </row>
    <row r="392" spans="13:17" x14ac:dyDescent="0.2">
      <c r="M392" s="227"/>
      <c r="N392" s="227"/>
      <c r="O392" s="227"/>
      <c r="P392" s="227"/>
      <c r="Q392" s="227"/>
    </row>
    <row r="393" spans="13:17" x14ac:dyDescent="0.2">
      <c r="M393" s="227"/>
      <c r="N393" s="227"/>
      <c r="O393" s="227"/>
      <c r="P393" s="227"/>
      <c r="Q393" s="227"/>
    </row>
    <row r="394" spans="13:17" x14ac:dyDescent="0.2">
      <c r="M394" s="227"/>
      <c r="N394" s="227"/>
      <c r="O394" s="227"/>
      <c r="P394" s="227"/>
      <c r="Q394" s="227"/>
    </row>
    <row r="395" spans="13:17" x14ac:dyDescent="0.2">
      <c r="M395" s="227"/>
      <c r="N395" s="227"/>
      <c r="O395" s="227"/>
      <c r="P395" s="227"/>
      <c r="Q395" s="227"/>
    </row>
    <row r="396" spans="13:17" x14ac:dyDescent="0.2">
      <c r="M396" s="227"/>
      <c r="N396" s="227"/>
      <c r="O396" s="227"/>
      <c r="P396" s="227"/>
      <c r="Q396" s="227"/>
    </row>
    <row r="397" spans="13:17" x14ac:dyDescent="0.2">
      <c r="M397" s="227"/>
      <c r="N397" s="227"/>
      <c r="O397" s="227"/>
      <c r="P397" s="227"/>
      <c r="Q397" s="227"/>
    </row>
    <row r="398" spans="13:17" x14ac:dyDescent="0.2">
      <c r="M398" s="227"/>
      <c r="N398" s="227"/>
      <c r="O398" s="227"/>
      <c r="P398" s="227"/>
      <c r="Q398" s="227"/>
    </row>
    <row r="399" spans="13:17" x14ac:dyDescent="0.2">
      <c r="M399" s="227"/>
      <c r="N399" s="227"/>
      <c r="O399" s="227"/>
      <c r="P399" s="227"/>
      <c r="Q399" s="227"/>
    </row>
    <row r="400" spans="13:17" x14ac:dyDescent="0.2">
      <c r="M400" s="227"/>
      <c r="N400" s="227"/>
      <c r="O400" s="227"/>
      <c r="P400" s="227"/>
      <c r="Q400" s="227"/>
    </row>
    <row r="401" spans="13:17" x14ac:dyDescent="0.2">
      <c r="M401" s="227"/>
      <c r="N401" s="227"/>
      <c r="O401" s="227"/>
      <c r="P401" s="227"/>
      <c r="Q401" s="227"/>
    </row>
    <row r="402" spans="13:17" x14ac:dyDescent="0.2">
      <c r="M402" s="227"/>
      <c r="N402" s="227"/>
      <c r="O402" s="227"/>
      <c r="P402" s="227"/>
      <c r="Q402" s="227"/>
    </row>
    <row r="403" spans="13:17" x14ac:dyDescent="0.2">
      <c r="M403" s="227"/>
      <c r="N403" s="227"/>
      <c r="O403" s="227"/>
      <c r="P403" s="227"/>
      <c r="Q403" s="227"/>
    </row>
    <row r="404" spans="13:17" x14ac:dyDescent="0.2">
      <c r="M404" s="227"/>
      <c r="N404" s="227"/>
      <c r="O404" s="227"/>
      <c r="P404" s="227"/>
      <c r="Q404" s="227"/>
    </row>
    <row r="405" spans="13:17" x14ac:dyDescent="0.2">
      <c r="M405" s="227"/>
      <c r="N405" s="227"/>
      <c r="O405" s="227"/>
      <c r="P405" s="227"/>
      <c r="Q405" s="227"/>
    </row>
    <row r="406" spans="13:17" x14ac:dyDescent="0.2">
      <c r="M406" s="227"/>
      <c r="N406" s="227"/>
      <c r="O406" s="227"/>
      <c r="P406" s="227"/>
      <c r="Q406" s="227"/>
    </row>
    <row r="407" spans="13:17" x14ac:dyDescent="0.2">
      <c r="M407" s="227"/>
      <c r="N407" s="227"/>
      <c r="O407" s="227"/>
      <c r="P407" s="227"/>
      <c r="Q407" s="227"/>
    </row>
    <row r="408" spans="13:17" x14ac:dyDescent="0.2">
      <c r="M408" s="227"/>
      <c r="N408" s="227"/>
      <c r="O408" s="227"/>
      <c r="P408" s="227"/>
      <c r="Q408" s="227"/>
    </row>
    <row r="409" spans="13:17" x14ac:dyDescent="0.2">
      <c r="M409" s="227"/>
      <c r="N409" s="227"/>
      <c r="O409" s="227"/>
      <c r="P409" s="227"/>
      <c r="Q409" s="227"/>
    </row>
    <row r="410" spans="13:17" x14ac:dyDescent="0.2">
      <c r="M410" s="227"/>
      <c r="N410" s="227"/>
      <c r="O410" s="227"/>
      <c r="P410" s="227"/>
      <c r="Q410" s="227"/>
    </row>
    <row r="411" spans="13:17" x14ac:dyDescent="0.2">
      <c r="M411" s="227"/>
      <c r="N411" s="227"/>
      <c r="O411" s="227"/>
      <c r="P411" s="227"/>
      <c r="Q411" s="227"/>
    </row>
    <row r="412" spans="13:17" x14ac:dyDescent="0.2">
      <c r="M412" s="227"/>
      <c r="N412" s="227"/>
      <c r="O412" s="227"/>
      <c r="P412" s="227"/>
      <c r="Q412" s="227"/>
    </row>
    <row r="413" spans="13:17" x14ac:dyDescent="0.2">
      <c r="M413" s="227"/>
      <c r="N413" s="227"/>
      <c r="O413" s="227"/>
      <c r="P413" s="227"/>
      <c r="Q413" s="227"/>
    </row>
    <row r="414" spans="13:17" x14ac:dyDescent="0.2">
      <c r="M414" s="227"/>
      <c r="N414" s="227"/>
      <c r="O414" s="227"/>
      <c r="P414" s="227"/>
      <c r="Q414" s="227"/>
    </row>
    <row r="415" spans="13:17" x14ac:dyDescent="0.2">
      <c r="M415" s="227"/>
      <c r="N415" s="227"/>
      <c r="O415" s="227"/>
      <c r="P415" s="227"/>
      <c r="Q415" s="227"/>
    </row>
    <row r="416" spans="13:17" x14ac:dyDescent="0.2">
      <c r="M416" s="227"/>
      <c r="N416" s="227"/>
      <c r="O416" s="227"/>
      <c r="P416" s="227"/>
      <c r="Q416" s="227"/>
    </row>
    <row r="417" spans="13:17" x14ac:dyDescent="0.2">
      <c r="M417" s="227"/>
      <c r="N417" s="227"/>
      <c r="O417" s="227"/>
      <c r="P417" s="227"/>
      <c r="Q417" s="227"/>
    </row>
    <row r="418" spans="13:17" x14ac:dyDescent="0.2">
      <c r="M418" s="227"/>
      <c r="N418" s="227"/>
      <c r="O418" s="227"/>
      <c r="P418" s="227"/>
      <c r="Q418" s="227"/>
    </row>
    <row r="419" spans="13:17" x14ac:dyDescent="0.2">
      <c r="M419" s="227"/>
      <c r="N419" s="227"/>
      <c r="O419" s="227"/>
      <c r="P419" s="227"/>
      <c r="Q419" s="227"/>
    </row>
    <row r="420" spans="13:17" x14ac:dyDescent="0.2">
      <c r="M420" s="227"/>
      <c r="N420" s="227"/>
      <c r="O420" s="227"/>
      <c r="P420" s="227"/>
      <c r="Q420" s="227"/>
    </row>
    <row r="421" spans="13:17" x14ac:dyDescent="0.2">
      <c r="M421" s="227"/>
      <c r="N421" s="227"/>
      <c r="O421" s="227"/>
      <c r="P421" s="227"/>
      <c r="Q421" s="227"/>
    </row>
    <row r="422" spans="13:17" x14ac:dyDescent="0.2">
      <c r="M422" s="227"/>
      <c r="N422" s="227"/>
      <c r="O422" s="227"/>
      <c r="P422" s="227"/>
      <c r="Q422" s="227"/>
    </row>
    <row r="423" spans="13:17" x14ac:dyDescent="0.2">
      <c r="M423" s="227"/>
      <c r="N423" s="227"/>
      <c r="O423" s="227"/>
      <c r="P423" s="227"/>
      <c r="Q423" s="227"/>
    </row>
    <row r="424" spans="13:17" x14ac:dyDescent="0.2">
      <c r="M424" s="227"/>
      <c r="N424" s="227"/>
      <c r="O424" s="227"/>
      <c r="P424" s="227"/>
      <c r="Q424" s="227"/>
    </row>
    <row r="425" spans="13:17" x14ac:dyDescent="0.2">
      <c r="M425" s="227"/>
      <c r="N425" s="227"/>
      <c r="O425" s="227"/>
      <c r="P425" s="227"/>
      <c r="Q425" s="227"/>
    </row>
    <row r="426" spans="13:17" x14ac:dyDescent="0.2">
      <c r="M426" s="227"/>
      <c r="N426" s="227"/>
      <c r="O426" s="227"/>
      <c r="P426" s="227"/>
      <c r="Q426" s="227"/>
    </row>
    <row r="427" spans="13:17" x14ac:dyDescent="0.2">
      <c r="M427" s="227"/>
      <c r="N427" s="227"/>
      <c r="O427" s="227"/>
      <c r="P427" s="227"/>
      <c r="Q427" s="227"/>
    </row>
    <row r="428" spans="13:17" x14ac:dyDescent="0.2">
      <c r="M428" s="227"/>
      <c r="N428" s="227"/>
      <c r="O428" s="227"/>
      <c r="P428" s="227"/>
      <c r="Q428" s="227"/>
    </row>
    <row r="429" spans="13:17" x14ac:dyDescent="0.2">
      <c r="M429" s="227"/>
      <c r="N429" s="227"/>
      <c r="O429" s="227"/>
      <c r="P429" s="227"/>
      <c r="Q429" s="227"/>
    </row>
    <row r="430" spans="13:17" x14ac:dyDescent="0.2">
      <c r="M430" s="227"/>
      <c r="N430" s="227"/>
      <c r="O430" s="227"/>
      <c r="P430" s="227"/>
      <c r="Q430" s="227"/>
    </row>
    <row r="431" spans="13:17" x14ac:dyDescent="0.2">
      <c r="M431" s="227"/>
      <c r="N431" s="227"/>
      <c r="O431" s="227"/>
      <c r="P431" s="227"/>
      <c r="Q431" s="227"/>
    </row>
    <row r="432" spans="13:17" x14ac:dyDescent="0.2">
      <c r="M432" s="227"/>
      <c r="N432" s="227"/>
      <c r="O432" s="227"/>
      <c r="P432" s="227"/>
      <c r="Q432" s="227"/>
    </row>
    <row r="433" spans="13:17" x14ac:dyDescent="0.2">
      <c r="M433" s="227"/>
      <c r="N433" s="227"/>
      <c r="O433" s="227"/>
      <c r="P433" s="227"/>
      <c r="Q433" s="227"/>
    </row>
    <row r="434" spans="13:17" x14ac:dyDescent="0.2">
      <c r="M434" s="227"/>
      <c r="N434" s="227"/>
      <c r="O434" s="227"/>
      <c r="P434" s="227"/>
      <c r="Q434" s="227"/>
    </row>
    <row r="435" spans="13:17" x14ac:dyDescent="0.2">
      <c r="M435" s="227"/>
      <c r="N435" s="227"/>
      <c r="O435" s="227"/>
      <c r="P435" s="227"/>
      <c r="Q435" s="227"/>
    </row>
    <row r="436" spans="13:17" x14ac:dyDescent="0.2">
      <c r="M436" s="227"/>
      <c r="N436" s="227"/>
      <c r="O436" s="227"/>
      <c r="P436" s="227"/>
      <c r="Q436" s="227"/>
    </row>
    <row r="437" spans="13:17" x14ac:dyDescent="0.2">
      <c r="M437" s="227"/>
      <c r="N437" s="227"/>
      <c r="O437" s="227"/>
      <c r="P437" s="227"/>
      <c r="Q437" s="227"/>
    </row>
    <row r="438" spans="13:17" x14ac:dyDescent="0.2">
      <c r="M438" s="227"/>
      <c r="N438" s="227"/>
      <c r="O438" s="227"/>
      <c r="P438" s="227"/>
      <c r="Q438" s="227"/>
    </row>
    <row r="439" spans="13:17" x14ac:dyDescent="0.2">
      <c r="M439" s="227"/>
      <c r="N439" s="227"/>
      <c r="O439" s="227"/>
      <c r="P439" s="227"/>
      <c r="Q439" s="227"/>
    </row>
    <row r="440" spans="13:17" x14ac:dyDescent="0.2">
      <c r="M440" s="227"/>
      <c r="N440" s="227"/>
      <c r="O440" s="227"/>
      <c r="P440" s="227"/>
      <c r="Q440" s="227"/>
    </row>
    <row r="441" spans="13:17" x14ac:dyDescent="0.2">
      <c r="M441" s="227"/>
      <c r="N441" s="227"/>
      <c r="O441" s="227"/>
      <c r="P441" s="227"/>
      <c r="Q441" s="227"/>
    </row>
    <row r="442" spans="13:17" x14ac:dyDescent="0.2">
      <c r="M442" s="227"/>
      <c r="N442" s="227"/>
      <c r="O442" s="227"/>
      <c r="P442" s="227"/>
      <c r="Q442" s="227"/>
    </row>
    <row r="443" spans="13:17" x14ac:dyDescent="0.2">
      <c r="M443" s="227"/>
      <c r="N443" s="227"/>
      <c r="O443" s="227"/>
      <c r="P443" s="227"/>
      <c r="Q443" s="227"/>
    </row>
    <row r="444" spans="13:17" x14ac:dyDescent="0.2">
      <c r="M444" s="227"/>
      <c r="N444" s="227"/>
      <c r="O444" s="227"/>
      <c r="P444" s="227"/>
      <c r="Q444" s="227"/>
    </row>
    <row r="445" spans="13:17" x14ac:dyDescent="0.2">
      <c r="M445" s="227"/>
      <c r="N445" s="227"/>
      <c r="O445" s="227"/>
      <c r="P445" s="227"/>
      <c r="Q445" s="227"/>
    </row>
    <row r="446" spans="13:17" x14ac:dyDescent="0.2">
      <c r="M446" s="227"/>
      <c r="N446" s="227"/>
      <c r="O446" s="227"/>
      <c r="P446" s="227"/>
      <c r="Q446" s="227"/>
    </row>
    <row r="447" spans="13:17" x14ac:dyDescent="0.2">
      <c r="M447" s="227"/>
      <c r="N447" s="227"/>
      <c r="O447" s="227"/>
      <c r="P447" s="227"/>
      <c r="Q447" s="227"/>
    </row>
    <row r="448" spans="13:17" x14ac:dyDescent="0.2">
      <c r="M448" s="227"/>
      <c r="N448" s="227"/>
      <c r="O448" s="227"/>
      <c r="P448" s="227"/>
      <c r="Q448" s="227"/>
    </row>
    <row r="449" spans="13:17" x14ac:dyDescent="0.2">
      <c r="M449" s="227"/>
      <c r="N449" s="227"/>
      <c r="O449" s="227"/>
      <c r="P449" s="227"/>
      <c r="Q449" s="227"/>
    </row>
    <row r="450" spans="13:17" x14ac:dyDescent="0.2">
      <c r="M450" s="227"/>
      <c r="N450" s="227"/>
      <c r="O450" s="227"/>
      <c r="P450" s="227"/>
      <c r="Q450" s="227"/>
    </row>
    <row r="451" spans="13:17" x14ac:dyDescent="0.2">
      <c r="M451" s="227"/>
      <c r="N451" s="227"/>
      <c r="O451" s="227"/>
      <c r="P451" s="227"/>
      <c r="Q451" s="227"/>
    </row>
    <row r="452" spans="13:17" x14ac:dyDescent="0.2">
      <c r="M452" s="227"/>
      <c r="N452" s="227"/>
      <c r="O452" s="227"/>
      <c r="P452" s="227"/>
      <c r="Q452" s="227"/>
    </row>
    <row r="453" spans="13:17" x14ac:dyDescent="0.2">
      <c r="M453" s="227"/>
      <c r="N453" s="227"/>
      <c r="O453" s="227"/>
      <c r="P453" s="227"/>
      <c r="Q453" s="227"/>
    </row>
    <row r="454" spans="13:17" x14ac:dyDescent="0.2">
      <c r="M454" s="227"/>
      <c r="N454" s="227"/>
      <c r="O454" s="227"/>
      <c r="P454" s="227"/>
      <c r="Q454" s="227"/>
    </row>
    <row r="455" spans="13:17" x14ac:dyDescent="0.2">
      <c r="M455" s="227"/>
      <c r="N455" s="227"/>
      <c r="O455" s="227"/>
      <c r="P455" s="227"/>
      <c r="Q455" s="227"/>
    </row>
    <row r="456" spans="13:17" x14ac:dyDescent="0.2">
      <c r="M456" s="227"/>
      <c r="N456" s="227"/>
      <c r="O456" s="227"/>
      <c r="P456" s="227"/>
      <c r="Q456" s="227"/>
    </row>
    <row r="457" spans="13:17" x14ac:dyDescent="0.2">
      <c r="M457" s="227"/>
      <c r="N457" s="227"/>
      <c r="O457" s="227"/>
      <c r="P457" s="227"/>
      <c r="Q457" s="227"/>
    </row>
    <row r="458" spans="13:17" x14ac:dyDescent="0.2">
      <c r="M458" s="227"/>
      <c r="N458" s="227"/>
      <c r="O458" s="227"/>
      <c r="P458" s="227"/>
      <c r="Q458" s="227"/>
    </row>
    <row r="459" spans="13:17" x14ac:dyDescent="0.2">
      <c r="M459" s="227"/>
      <c r="N459" s="227"/>
      <c r="O459" s="227"/>
      <c r="P459" s="227"/>
      <c r="Q459" s="227"/>
    </row>
    <row r="460" spans="13:17" x14ac:dyDescent="0.2">
      <c r="M460" s="227"/>
      <c r="N460" s="227"/>
      <c r="O460" s="227"/>
      <c r="P460" s="227"/>
      <c r="Q460" s="227"/>
    </row>
    <row r="461" spans="13:17" x14ac:dyDescent="0.2">
      <c r="M461" s="227"/>
      <c r="N461" s="227"/>
      <c r="O461" s="227"/>
      <c r="P461" s="227"/>
      <c r="Q461" s="227"/>
    </row>
    <row r="462" spans="13:17" x14ac:dyDescent="0.2">
      <c r="M462" s="227"/>
      <c r="N462" s="227"/>
      <c r="O462" s="227"/>
      <c r="P462" s="227"/>
      <c r="Q462" s="227"/>
    </row>
    <row r="463" spans="13:17" x14ac:dyDescent="0.2">
      <c r="M463" s="227"/>
      <c r="N463" s="227"/>
      <c r="O463" s="227"/>
      <c r="P463" s="227"/>
      <c r="Q463" s="227"/>
    </row>
  </sheetData>
  <pageMargins left="0.7" right="0.7" top="0.75" bottom="0.75" header="0.3" footer="0.3"/>
  <pageSetup paperSize="9" scale="91" fitToWidth="0"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Y463"/>
  <sheetViews>
    <sheetView topLeftCell="M1" zoomScale="90" zoomScaleNormal="90" workbookViewId="0">
      <pane ySplit="4" topLeftCell="A5" activePane="bottomLeft" state="frozen"/>
      <selection activeCell="I1" sqref="I1"/>
      <selection pane="bottomLeft" activeCell="H11" sqref="H11"/>
    </sheetView>
  </sheetViews>
  <sheetFormatPr defaultRowHeight="12.75" x14ac:dyDescent="0.2"/>
  <cols>
    <col min="2" max="2" width="18.85546875" customWidth="1"/>
    <col min="3" max="3" width="9.140625" customWidth="1"/>
    <col min="4" max="4" width="18.5703125" customWidth="1"/>
    <col min="5" max="5" width="15.5703125" customWidth="1"/>
    <col min="6" max="6" width="20.140625" customWidth="1"/>
    <col min="7" max="7" width="29.140625" customWidth="1"/>
    <col min="8" max="8" width="10.42578125" customWidth="1"/>
    <col min="9" max="9" width="11" customWidth="1"/>
    <col min="10" max="10" width="14.140625" customWidth="1"/>
    <col min="11" max="11" width="11.5703125" customWidth="1"/>
    <col min="12" max="12" width="15.5703125" customWidth="1"/>
    <col min="13" max="13" width="13" customWidth="1"/>
    <col min="14" max="14" width="38.5703125" customWidth="1"/>
    <col min="15" max="15" width="27.85546875" style="473" customWidth="1"/>
    <col min="16" max="16" width="21" customWidth="1"/>
    <col min="17" max="18" width="22.28515625" customWidth="1"/>
    <col min="19" max="19" width="16.7109375" customWidth="1"/>
    <col min="20" max="20" width="21.140625" customWidth="1"/>
    <col min="21" max="21" width="15.85546875" customWidth="1"/>
    <col min="22" max="22" width="23.7109375" customWidth="1"/>
    <col min="25" max="25" width="52.7109375" customWidth="1"/>
  </cols>
  <sheetData>
    <row r="1" spans="1:25" ht="13.5" thickBot="1" x14ac:dyDescent="0.25">
      <c r="A1" s="129" t="s">
        <v>212</v>
      </c>
      <c r="B1" s="125"/>
      <c r="C1" s="125"/>
      <c r="D1" s="125"/>
      <c r="E1" s="52"/>
      <c r="F1" s="52"/>
      <c r="G1" s="52"/>
      <c r="H1" s="52"/>
      <c r="I1" s="52"/>
      <c r="J1" s="52"/>
      <c r="K1" s="52"/>
      <c r="L1" s="52"/>
      <c r="M1" s="52"/>
      <c r="N1" s="52"/>
    </row>
    <row r="2" spans="1:25" x14ac:dyDescent="0.2">
      <c r="A2" s="126"/>
      <c r="B2" s="81"/>
      <c r="C2" s="81"/>
      <c r="D2" s="81"/>
      <c r="U2" s="96" t="s">
        <v>56</v>
      </c>
      <c r="V2" s="88" t="s">
        <v>50</v>
      </c>
    </row>
    <row r="3" spans="1:25" ht="13.5" thickBot="1" x14ac:dyDescent="0.25">
      <c r="A3" s="80"/>
      <c r="B3" s="81"/>
      <c r="C3" s="81"/>
      <c r="D3" s="81"/>
      <c r="U3" s="97" t="s">
        <v>55</v>
      </c>
      <c r="V3" s="163">
        <v>2019</v>
      </c>
    </row>
    <row r="4" spans="1:25" ht="62.25" customHeight="1" thickBot="1" x14ac:dyDescent="0.25">
      <c r="A4" s="105" t="s">
        <v>0</v>
      </c>
      <c r="B4" s="105" t="s">
        <v>1</v>
      </c>
      <c r="C4" s="105" t="s">
        <v>5</v>
      </c>
      <c r="D4" s="99" t="s">
        <v>169</v>
      </c>
      <c r="E4" s="99" t="s">
        <v>58</v>
      </c>
      <c r="F4" s="128" t="s">
        <v>213</v>
      </c>
      <c r="G4" s="128" t="s">
        <v>214</v>
      </c>
      <c r="H4" s="105" t="s">
        <v>1294</v>
      </c>
      <c r="I4" s="105" t="s">
        <v>215</v>
      </c>
      <c r="J4" s="105" t="s">
        <v>216</v>
      </c>
      <c r="K4" s="105" t="s">
        <v>217</v>
      </c>
      <c r="L4" s="105" t="s">
        <v>218</v>
      </c>
      <c r="M4" s="105" t="s">
        <v>219</v>
      </c>
      <c r="N4" s="105" t="s">
        <v>4</v>
      </c>
      <c r="O4" s="474" t="s">
        <v>220</v>
      </c>
      <c r="P4" s="186" t="s">
        <v>221</v>
      </c>
      <c r="Q4" s="186" t="s">
        <v>222</v>
      </c>
      <c r="R4" s="186" t="s">
        <v>275</v>
      </c>
      <c r="S4" s="186" t="s">
        <v>223</v>
      </c>
      <c r="T4" s="186" t="s">
        <v>224</v>
      </c>
      <c r="U4" s="186" t="s">
        <v>225</v>
      </c>
      <c r="V4" s="186" t="s">
        <v>59</v>
      </c>
    </row>
    <row r="5" spans="1:25" ht="51" x14ac:dyDescent="0.2">
      <c r="A5" s="372" t="s">
        <v>752</v>
      </c>
      <c r="B5" s="373" t="s">
        <v>391</v>
      </c>
      <c r="C5" s="243" t="s">
        <v>74</v>
      </c>
      <c r="D5" s="374" t="s">
        <v>451</v>
      </c>
      <c r="E5" s="243" t="s">
        <v>319</v>
      </c>
      <c r="F5" s="375" t="s">
        <v>1263</v>
      </c>
      <c r="G5" s="375" t="s">
        <v>1264</v>
      </c>
      <c r="H5" s="243">
        <v>36</v>
      </c>
      <c r="I5" s="243">
        <v>359</v>
      </c>
      <c r="J5" s="243">
        <v>1316</v>
      </c>
      <c r="K5" s="243">
        <v>3086</v>
      </c>
      <c r="L5" s="243">
        <v>2769</v>
      </c>
      <c r="M5" s="243">
        <v>316</v>
      </c>
      <c r="N5" s="375" t="s">
        <v>1265</v>
      </c>
      <c r="O5" s="542">
        <v>57</v>
      </c>
      <c r="P5" s="543">
        <v>512</v>
      </c>
      <c r="Q5" s="543">
        <v>2789</v>
      </c>
      <c r="R5" s="544" t="s">
        <v>6</v>
      </c>
      <c r="S5" s="543">
        <v>5682</v>
      </c>
      <c r="T5" s="543">
        <v>5369</v>
      </c>
      <c r="U5" s="543">
        <v>313</v>
      </c>
      <c r="V5" s="543"/>
    </row>
    <row r="6" spans="1:25" s="272" customFormat="1" ht="51" x14ac:dyDescent="0.2">
      <c r="A6" s="243" t="s">
        <v>752</v>
      </c>
      <c r="B6" s="373" t="s">
        <v>391</v>
      </c>
      <c r="C6" s="243" t="s">
        <v>74</v>
      </c>
      <c r="D6" s="374" t="s">
        <v>451</v>
      </c>
      <c r="E6" s="243" t="s">
        <v>319</v>
      </c>
      <c r="F6" s="376" t="s">
        <v>1266</v>
      </c>
      <c r="G6" s="375" t="s">
        <v>1267</v>
      </c>
      <c r="H6" s="243">
        <v>53</v>
      </c>
      <c r="I6" s="243">
        <v>283</v>
      </c>
      <c r="J6" s="243">
        <v>928</v>
      </c>
      <c r="K6" s="243">
        <v>58029</v>
      </c>
      <c r="L6" s="243">
        <v>52161</v>
      </c>
      <c r="M6" s="243">
        <v>5868</v>
      </c>
      <c r="N6" s="375" t="s">
        <v>1268</v>
      </c>
      <c r="O6" s="545">
        <v>56</v>
      </c>
      <c r="P6" s="543">
        <v>536</v>
      </c>
      <c r="Q6" s="543">
        <v>1612</v>
      </c>
      <c r="R6" s="544" t="s">
        <v>6</v>
      </c>
      <c r="S6" s="543">
        <v>94813</v>
      </c>
      <c r="T6" s="543">
        <v>84705</v>
      </c>
      <c r="U6" s="543">
        <v>10108</v>
      </c>
      <c r="V6" s="543"/>
    </row>
    <row r="7" spans="1:25" s="272" customFormat="1" ht="51" x14ac:dyDescent="0.2">
      <c r="A7" s="243" t="s">
        <v>752</v>
      </c>
      <c r="B7" s="373" t="s">
        <v>391</v>
      </c>
      <c r="C7" s="243" t="s">
        <v>74</v>
      </c>
      <c r="D7" s="374" t="s">
        <v>451</v>
      </c>
      <c r="E7" s="243" t="s">
        <v>319</v>
      </c>
      <c r="F7" s="376" t="s">
        <v>303</v>
      </c>
      <c r="G7" s="375" t="s">
        <v>737</v>
      </c>
      <c r="H7" s="243">
        <v>1</v>
      </c>
      <c r="I7" s="243">
        <v>1</v>
      </c>
      <c r="J7" s="243">
        <v>3</v>
      </c>
      <c r="K7" s="243">
        <v>5</v>
      </c>
      <c r="L7" s="243">
        <v>5</v>
      </c>
      <c r="M7" s="243">
        <v>0</v>
      </c>
      <c r="N7" s="376" t="s">
        <v>1269</v>
      </c>
      <c r="O7" s="545">
        <v>1</v>
      </c>
      <c r="P7" s="543">
        <v>20</v>
      </c>
      <c r="Q7" s="543">
        <v>40</v>
      </c>
      <c r="R7" s="544" t="s">
        <v>6</v>
      </c>
      <c r="S7" s="543">
        <v>5</v>
      </c>
      <c r="T7" s="543">
        <v>3</v>
      </c>
      <c r="U7" s="543">
        <v>2</v>
      </c>
      <c r="V7" s="543"/>
    </row>
    <row r="8" spans="1:25" s="272" customFormat="1" ht="51" x14ac:dyDescent="0.2">
      <c r="A8" s="243" t="s">
        <v>752</v>
      </c>
      <c r="B8" s="373" t="s">
        <v>391</v>
      </c>
      <c r="C8" s="243" t="s">
        <v>74</v>
      </c>
      <c r="D8" s="374" t="s">
        <v>451</v>
      </c>
      <c r="E8" s="243" t="s">
        <v>319</v>
      </c>
      <c r="F8" s="376" t="s">
        <v>308</v>
      </c>
      <c r="G8" s="376" t="s">
        <v>1267</v>
      </c>
      <c r="H8" s="243">
        <v>4</v>
      </c>
      <c r="I8" s="243">
        <v>17</v>
      </c>
      <c r="J8" s="243">
        <v>18</v>
      </c>
      <c r="K8" s="243">
        <v>9</v>
      </c>
      <c r="L8" s="243">
        <v>9</v>
      </c>
      <c r="M8" s="243">
        <v>0</v>
      </c>
      <c r="N8" s="377" t="s">
        <v>1270</v>
      </c>
      <c r="O8" s="545">
        <v>2</v>
      </c>
      <c r="P8" s="543">
        <v>18</v>
      </c>
      <c r="Q8" s="543">
        <v>14</v>
      </c>
      <c r="R8" s="544" t="s">
        <v>6</v>
      </c>
      <c r="S8" s="543">
        <v>6</v>
      </c>
      <c r="T8" s="543">
        <v>6</v>
      </c>
      <c r="U8" s="543">
        <v>0</v>
      </c>
      <c r="V8" s="543"/>
    </row>
    <row r="9" spans="1:25" s="272" customFormat="1" ht="51" x14ac:dyDescent="0.2">
      <c r="A9" s="243" t="s">
        <v>752</v>
      </c>
      <c r="B9" s="373" t="s">
        <v>391</v>
      </c>
      <c r="C9" s="243" t="s">
        <v>74</v>
      </c>
      <c r="D9" s="374" t="s">
        <v>451</v>
      </c>
      <c r="E9" s="243" t="s">
        <v>319</v>
      </c>
      <c r="F9" s="376" t="s">
        <v>1271</v>
      </c>
      <c r="G9" s="376" t="s">
        <v>1272</v>
      </c>
      <c r="H9" s="243">
        <v>8</v>
      </c>
      <c r="I9" s="243">
        <v>46</v>
      </c>
      <c r="J9" s="243">
        <v>71</v>
      </c>
      <c r="K9" s="243">
        <v>42</v>
      </c>
      <c r="L9" s="243">
        <v>42</v>
      </c>
      <c r="M9" s="243">
        <v>0</v>
      </c>
      <c r="N9" s="375" t="s">
        <v>1273</v>
      </c>
      <c r="O9" s="545">
        <v>3</v>
      </c>
      <c r="P9" s="543">
        <v>16</v>
      </c>
      <c r="Q9" s="543">
        <v>29</v>
      </c>
      <c r="R9" s="544" t="s">
        <v>6</v>
      </c>
      <c r="S9" s="543">
        <v>19</v>
      </c>
      <c r="T9" s="543">
        <v>19</v>
      </c>
      <c r="U9" s="543">
        <v>0</v>
      </c>
      <c r="V9" s="543"/>
    </row>
    <row r="10" spans="1:25" s="272" customFormat="1" ht="51" x14ac:dyDescent="0.2">
      <c r="A10" s="243" t="s">
        <v>752</v>
      </c>
      <c r="B10" s="373" t="s">
        <v>391</v>
      </c>
      <c r="C10" s="243" t="s">
        <v>74</v>
      </c>
      <c r="D10" s="374" t="s">
        <v>451</v>
      </c>
      <c r="E10" s="243" t="s">
        <v>319</v>
      </c>
      <c r="F10" s="376" t="s">
        <v>1274</v>
      </c>
      <c r="G10" s="376" t="s">
        <v>1275</v>
      </c>
      <c r="H10" s="243">
        <v>33</v>
      </c>
      <c r="I10" s="243">
        <v>1456</v>
      </c>
      <c r="J10" s="243">
        <v>2057</v>
      </c>
      <c r="K10" s="243">
        <v>3013</v>
      </c>
      <c r="L10" s="243">
        <v>3005</v>
      </c>
      <c r="M10" s="243">
        <v>8</v>
      </c>
      <c r="N10" s="376" t="s">
        <v>1276</v>
      </c>
      <c r="O10" s="545">
        <v>31</v>
      </c>
      <c r="P10" s="543">
        <v>1745</v>
      </c>
      <c r="Q10" s="543">
        <v>2756</v>
      </c>
      <c r="R10" s="544" t="s">
        <v>6</v>
      </c>
      <c r="S10" s="543">
        <v>2504</v>
      </c>
      <c r="T10" s="543">
        <v>2477</v>
      </c>
      <c r="U10" s="543">
        <v>27</v>
      </c>
      <c r="V10" s="543"/>
    </row>
    <row r="11" spans="1:25" s="272" customFormat="1" ht="51" x14ac:dyDescent="0.2">
      <c r="A11" s="243" t="s">
        <v>752</v>
      </c>
      <c r="B11" s="373" t="s">
        <v>391</v>
      </c>
      <c r="C11" s="243" t="s">
        <v>74</v>
      </c>
      <c r="D11" s="374" t="s">
        <v>415</v>
      </c>
      <c r="E11" s="243" t="s">
        <v>319</v>
      </c>
      <c r="F11" s="376" t="s">
        <v>1277</v>
      </c>
      <c r="G11" s="376" t="s">
        <v>1272</v>
      </c>
      <c r="H11" s="243">
        <v>9</v>
      </c>
      <c r="I11" s="243">
        <v>98</v>
      </c>
      <c r="J11" s="243">
        <v>451</v>
      </c>
      <c r="K11" s="243">
        <v>393</v>
      </c>
      <c r="L11" s="243">
        <v>393</v>
      </c>
      <c r="M11" s="243">
        <v>0</v>
      </c>
      <c r="N11" s="376"/>
      <c r="O11" s="545">
        <v>7</v>
      </c>
      <c r="P11" s="543">
        <v>182</v>
      </c>
      <c r="Q11" s="543">
        <v>914</v>
      </c>
      <c r="R11" s="544" t="s">
        <v>6</v>
      </c>
      <c r="S11" s="543">
        <v>638</v>
      </c>
      <c r="T11" s="543">
        <v>638</v>
      </c>
      <c r="U11" s="543">
        <v>0</v>
      </c>
      <c r="V11" s="371"/>
      <c r="W11" s="227"/>
      <c r="X11" s="227"/>
      <c r="Y11" s="227"/>
    </row>
    <row r="12" spans="1:25" s="272" customFormat="1" ht="51" x14ac:dyDescent="0.2">
      <c r="A12" s="243" t="s">
        <v>752</v>
      </c>
      <c r="B12" s="373" t="s">
        <v>391</v>
      </c>
      <c r="C12" s="243" t="s">
        <v>74</v>
      </c>
      <c r="D12" s="374" t="s">
        <v>415</v>
      </c>
      <c r="E12" s="243" t="s">
        <v>319</v>
      </c>
      <c r="F12" s="376" t="s">
        <v>1263</v>
      </c>
      <c r="G12" s="376" t="s">
        <v>1278</v>
      </c>
      <c r="H12" s="243">
        <v>76</v>
      </c>
      <c r="I12" s="243">
        <v>1479</v>
      </c>
      <c r="J12" s="243">
        <v>3682</v>
      </c>
      <c r="K12" s="243">
        <v>3642</v>
      </c>
      <c r="L12" s="243">
        <v>3521</v>
      </c>
      <c r="M12" s="243">
        <v>120</v>
      </c>
      <c r="N12" s="378"/>
      <c r="O12" s="545">
        <v>84</v>
      </c>
      <c r="P12" s="543">
        <v>1260</v>
      </c>
      <c r="Q12" s="543">
        <v>3159</v>
      </c>
      <c r="R12" s="544" t="s">
        <v>6</v>
      </c>
      <c r="S12" s="543">
        <v>3862</v>
      </c>
      <c r="T12" s="543">
        <v>3596</v>
      </c>
      <c r="U12" s="543">
        <v>266</v>
      </c>
      <c r="V12" s="371"/>
      <c r="W12" s="227"/>
      <c r="X12" s="227"/>
      <c r="Y12" s="227"/>
    </row>
    <row r="13" spans="1:25" s="272" customFormat="1" ht="51" x14ac:dyDescent="0.2">
      <c r="A13" s="243" t="s">
        <v>752</v>
      </c>
      <c r="B13" s="373" t="s">
        <v>391</v>
      </c>
      <c r="C13" s="243" t="s">
        <v>74</v>
      </c>
      <c r="D13" s="374" t="s">
        <v>415</v>
      </c>
      <c r="E13" s="243" t="s">
        <v>319</v>
      </c>
      <c r="F13" s="376" t="s">
        <v>1266</v>
      </c>
      <c r="G13" s="376" t="s">
        <v>1267</v>
      </c>
      <c r="H13" s="243">
        <v>18</v>
      </c>
      <c r="I13" s="243">
        <v>253</v>
      </c>
      <c r="J13" s="243">
        <v>271</v>
      </c>
      <c r="K13" s="243">
        <v>3201</v>
      </c>
      <c r="L13" s="243">
        <v>3201</v>
      </c>
      <c r="M13" s="243">
        <v>0</v>
      </c>
      <c r="N13" s="375" t="s">
        <v>1279</v>
      </c>
      <c r="O13" s="545">
        <v>18</v>
      </c>
      <c r="P13" s="543">
        <v>141</v>
      </c>
      <c r="Q13" s="543">
        <v>229</v>
      </c>
      <c r="R13" s="544" t="s">
        <v>6</v>
      </c>
      <c r="S13" s="543">
        <v>4516</v>
      </c>
      <c r="T13" s="543">
        <v>3967</v>
      </c>
      <c r="U13" s="543">
        <v>549</v>
      </c>
      <c r="V13" s="371"/>
      <c r="W13" s="227"/>
      <c r="X13" s="227"/>
      <c r="Y13" s="227"/>
    </row>
    <row r="14" spans="1:25" s="272" customFormat="1" ht="51" x14ac:dyDescent="0.2">
      <c r="A14" s="243" t="s">
        <v>752</v>
      </c>
      <c r="B14" s="373" t="s">
        <v>391</v>
      </c>
      <c r="C14" s="243" t="s">
        <v>74</v>
      </c>
      <c r="D14" s="374" t="s">
        <v>415</v>
      </c>
      <c r="E14" s="243" t="s">
        <v>319</v>
      </c>
      <c r="F14" s="376" t="s">
        <v>303</v>
      </c>
      <c r="G14" s="376" t="s">
        <v>737</v>
      </c>
      <c r="H14" s="243">
        <v>40</v>
      </c>
      <c r="I14" s="243">
        <v>2454</v>
      </c>
      <c r="J14" s="243">
        <v>3914</v>
      </c>
      <c r="K14" s="243">
        <v>2255</v>
      </c>
      <c r="L14" s="243">
        <v>2254</v>
      </c>
      <c r="M14" s="243">
        <v>1</v>
      </c>
      <c r="N14" s="375" t="s">
        <v>1280</v>
      </c>
      <c r="O14" s="545">
        <v>53</v>
      </c>
      <c r="P14" s="543">
        <v>2507</v>
      </c>
      <c r="Q14" s="543">
        <v>3387</v>
      </c>
      <c r="R14" s="544" t="s">
        <v>6</v>
      </c>
      <c r="S14" s="543">
        <v>1843</v>
      </c>
      <c r="T14" s="543">
        <v>1793</v>
      </c>
      <c r="U14" s="543">
        <v>50</v>
      </c>
      <c r="V14" s="371"/>
      <c r="W14" s="227"/>
      <c r="X14" s="227"/>
      <c r="Y14" s="227"/>
    </row>
    <row r="15" spans="1:25" s="272" customFormat="1" ht="51" x14ac:dyDescent="0.2">
      <c r="A15" s="243" t="s">
        <v>752</v>
      </c>
      <c r="B15" s="373" t="s">
        <v>391</v>
      </c>
      <c r="C15" s="243" t="s">
        <v>74</v>
      </c>
      <c r="D15" s="374" t="s">
        <v>415</v>
      </c>
      <c r="E15" s="243" t="s">
        <v>319</v>
      </c>
      <c r="F15" s="376" t="s">
        <v>1271</v>
      </c>
      <c r="G15" s="376" t="s">
        <v>1272</v>
      </c>
      <c r="H15" s="243">
        <v>5</v>
      </c>
      <c r="I15" s="243">
        <v>23</v>
      </c>
      <c r="J15" s="243">
        <v>25</v>
      </c>
      <c r="K15" s="243">
        <v>28</v>
      </c>
      <c r="L15" s="243">
        <v>28</v>
      </c>
      <c r="M15" s="243">
        <v>0</v>
      </c>
      <c r="N15" s="375" t="s">
        <v>1281</v>
      </c>
      <c r="O15" s="545">
        <v>4</v>
      </c>
      <c r="P15" s="543">
        <v>6</v>
      </c>
      <c r="Q15" s="543">
        <v>14</v>
      </c>
      <c r="R15" s="544" t="s">
        <v>6</v>
      </c>
      <c r="S15" s="543">
        <v>8</v>
      </c>
      <c r="T15" s="543">
        <v>8</v>
      </c>
      <c r="U15" s="543">
        <v>0</v>
      </c>
      <c r="V15" s="371"/>
      <c r="W15" s="227"/>
      <c r="X15" s="227"/>
      <c r="Y15" s="227"/>
    </row>
    <row r="16" spans="1:25" s="272" customFormat="1" ht="51" x14ac:dyDescent="0.2">
      <c r="A16" s="243" t="s">
        <v>752</v>
      </c>
      <c r="B16" s="373" t="s">
        <v>391</v>
      </c>
      <c r="C16" s="243" t="s">
        <v>74</v>
      </c>
      <c r="D16" s="374" t="s">
        <v>415</v>
      </c>
      <c r="E16" s="243" t="s">
        <v>319</v>
      </c>
      <c r="F16" s="376" t="s">
        <v>1274</v>
      </c>
      <c r="G16" s="376" t="s">
        <v>1275</v>
      </c>
      <c r="H16" s="243">
        <v>34</v>
      </c>
      <c r="I16" s="243">
        <v>2645</v>
      </c>
      <c r="J16" s="243">
        <v>2634</v>
      </c>
      <c r="K16" s="243">
        <v>1608</v>
      </c>
      <c r="L16" s="243">
        <v>1608</v>
      </c>
      <c r="M16" s="243">
        <v>0</v>
      </c>
      <c r="N16" s="375" t="s">
        <v>1282</v>
      </c>
      <c r="O16" s="545">
        <v>39</v>
      </c>
      <c r="P16" s="543">
        <v>3597</v>
      </c>
      <c r="Q16" s="543">
        <v>3543</v>
      </c>
      <c r="R16" s="544" t="s">
        <v>6</v>
      </c>
      <c r="S16" s="543">
        <v>2558</v>
      </c>
      <c r="T16" s="543">
        <v>2558</v>
      </c>
      <c r="U16" s="543">
        <v>0</v>
      </c>
      <c r="V16" s="371"/>
      <c r="W16" s="227"/>
      <c r="X16" s="227"/>
      <c r="Y16" s="227"/>
    </row>
    <row r="17" spans="1:25" s="272" customFormat="1" ht="51" x14ac:dyDescent="0.2">
      <c r="A17" s="243" t="s">
        <v>752</v>
      </c>
      <c r="B17" s="373" t="s">
        <v>391</v>
      </c>
      <c r="C17" s="243" t="s">
        <v>74</v>
      </c>
      <c r="D17" s="374" t="s">
        <v>1283</v>
      </c>
      <c r="E17" s="243" t="s">
        <v>319</v>
      </c>
      <c r="F17" s="376" t="s">
        <v>1277</v>
      </c>
      <c r="G17" s="376" t="s">
        <v>1272</v>
      </c>
      <c r="H17" s="243">
        <v>2</v>
      </c>
      <c r="I17" s="243">
        <v>15</v>
      </c>
      <c r="J17" s="243">
        <v>30</v>
      </c>
      <c r="K17" s="243">
        <v>25</v>
      </c>
      <c r="L17" s="243">
        <v>25</v>
      </c>
      <c r="M17" s="243">
        <v>0</v>
      </c>
      <c r="N17" s="375" t="s">
        <v>1284</v>
      </c>
      <c r="O17" s="545">
        <v>1</v>
      </c>
      <c r="P17" s="543">
        <v>2</v>
      </c>
      <c r="Q17" s="543">
        <v>5</v>
      </c>
      <c r="R17" s="544" t="s">
        <v>77</v>
      </c>
      <c r="S17" s="543">
        <v>4</v>
      </c>
      <c r="T17" s="543">
        <v>4</v>
      </c>
      <c r="U17" s="543">
        <v>0</v>
      </c>
      <c r="V17" s="508" t="s">
        <v>1284</v>
      </c>
      <c r="W17" s="227"/>
      <c r="X17" s="227"/>
      <c r="Y17" s="227"/>
    </row>
    <row r="18" spans="1:25" s="272" customFormat="1" ht="51" x14ac:dyDescent="0.2">
      <c r="A18" s="243" t="s">
        <v>752</v>
      </c>
      <c r="B18" s="373" t="s">
        <v>391</v>
      </c>
      <c r="C18" s="243" t="s">
        <v>74</v>
      </c>
      <c r="D18" s="374" t="s">
        <v>1283</v>
      </c>
      <c r="E18" s="243" t="s">
        <v>319</v>
      </c>
      <c r="F18" s="376" t="s">
        <v>1263</v>
      </c>
      <c r="G18" s="376" t="s">
        <v>1278</v>
      </c>
      <c r="H18" s="243">
        <v>137</v>
      </c>
      <c r="I18" s="243">
        <v>2932</v>
      </c>
      <c r="J18" s="243">
        <v>10913</v>
      </c>
      <c r="K18" s="243">
        <v>9126</v>
      </c>
      <c r="L18" s="243">
        <v>8755</v>
      </c>
      <c r="M18" s="243">
        <v>372</v>
      </c>
      <c r="N18" s="375" t="s">
        <v>1285</v>
      </c>
      <c r="O18" s="545">
        <v>127</v>
      </c>
      <c r="P18" s="543">
        <v>2241</v>
      </c>
      <c r="Q18" s="543">
        <v>10784</v>
      </c>
      <c r="R18" s="544" t="s">
        <v>6</v>
      </c>
      <c r="S18" s="543">
        <v>7524</v>
      </c>
      <c r="T18" s="543">
        <v>7488</v>
      </c>
      <c r="U18" s="543">
        <v>36</v>
      </c>
      <c r="V18" s="371"/>
      <c r="W18" s="227"/>
      <c r="X18" s="227"/>
      <c r="Y18" s="227"/>
    </row>
    <row r="19" spans="1:25" s="272" customFormat="1" ht="51" x14ac:dyDescent="0.2">
      <c r="A19" s="243" t="s">
        <v>752</v>
      </c>
      <c r="B19" s="373" t="s">
        <v>391</v>
      </c>
      <c r="C19" s="243" t="s">
        <v>74</v>
      </c>
      <c r="D19" s="374" t="s">
        <v>1283</v>
      </c>
      <c r="E19" s="243" t="s">
        <v>319</v>
      </c>
      <c r="F19" s="376" t="s">
        <v>1266</v>
      </c>
      <c r="G19" s="376" t="s">
        <v>1286</v>
      </c>
      <c r="H19" s="243">
        <v>55</v>
      </c>
      <c r="I19" s="243">
        <v>459</v>
      </c>
      <c r="J19" s="243">
        <v>1927</v>
      </c>
      <c r="K19" s="243">
        <v>71346</v>
      </c>
      <c r="L19" s="243">
        <v>60927</v>
      </c>
      <c r="M19" s="243">
        <v>10419</v>
      </c>
      <c r="N19" s="375" t="s">
        <v>1287</v>
      </c>
      <c r="O19" s="545">
        <v>51</v>
      </c>
      <c r="P19" s="543">
        <v>261</v>
      </c>
      <c r="Q19" s="543">
        <v>673</v>
      </c>
      <c r="R19" s="544" t="s">
        <v>6</v>
      </c>
      <c r="S19" s="543">
        <v>35913</v>
      </c>
      <c r="T19" s="543">
        <v>35257</v>
      </c>
      <c r="U19" s="543">
        <v>656</v>
      </c>
      <c r="V19" s="371"/>
      <c r="W19" s="227"/>
      <c r="X19" s="227"/>
      <c r="Y19" s="227"/>
    </row>
    <row r="20" spans="1:25" s="272" customFormat="1" ht="51" x14ac:dyDescent="0.2">
      <c r="A20" s="243" t="s">
        <v>752</v>
      </c>
      <c r="B20" s="373" t="s">
        <v>391</v>
      </c>
      <c r="C20" s="243" t="s">
        <v>74</v>
      </c>
      <c r="D20" s="374" t="s">
        <v>1283</v>
      </c>
      <c r="E20" s="243" t="s">
        <v>319</v>
      </c>
      <c r="F20" s="376" t="s">
        <v>303</v>
      </c>
      <c r="G20" s="376" t="s">
        <v>737</v>
      </c>
      <c r="H20" s="243">
        <v>5</v>
      </c>
      <c r="I20" s="243">
        <v>319</v>
      </c>
      <c r="J20" s="243">
        <v>317</v>
      </c>
      <c r="K20" s="243">
        <v>85</v>
      </c>
      <c r="L20" s="243">
        <v>85</v>
      </c>
      <c r="M20" s="243">
        <v>0</v>
      </c>
      <c r="N20" s="375" t="s">
        <v>1288</v>
      </c>
      <c r="O20" s="545">
        <v>6</v>
      </c>
      <c r="P20" s="543">
        <v>290</v>
      </c>
      <c r="Q20" s="543">
        <v>319</v>
      </c>
      <c r="R20" s="544" t="s">
        <v>6</v>
      </c>
      <c r="S20" s="543">
        <v>86</v>
      </c>
      <c r="T20" s="543">
        <v>86</v>
      </c>
      <c r="U20" s="543"/>
      <c r="V20" s="371"/>
      <c r="W20" s="227"/>
      <c r="X20" s="227"/>
      <c r="Y20" s="227"/>
    </row>
    <row r="21" spans="1:25" s="272" customFormat="1" ht="51" x14ac:dyDescent="0.2">
      <c r="A21" s="243" t="s">
        <v>752</v>
      </c>
      <c r="B21" s="373" t="s">
        <v>391</v>
      </c>
      <c r="C21" s="243" t="s">
        <v>74</v>
      </c>
      <c r="D21" s="374" t="s">
        <v>1283</v>
      </c>
      <c r="E21" s="243" t="s">
        <v>319</v>
      </c>
      <c r="F21" s="376" t="s">
        <v>308</v>
      </c>
      <c r="G21" s="376" t="s">
        <v>1267</v>
      </c>
      <c r="H21" s="243">
        <v>12</v>
      </c>
      <c r="I21" s="243">
        <v>108</v>
      </c>
      <c r="J21" s="243">
        <v>130</v>
      </c>
      <c r="K21" s="243">
        <v>43</v>
      </c>
      <c r="L21" s="243">
        <v>43</v>
      </c>
      <c r="M21" s="243">
        <v>0</v>
      </c>
      <c r="N21" s="376"/>
      <c r="O21" s="545">
        <v>12</v>
      </c>
      <c r="P21" s="543">
        <v>112</v>
      </c>
      <c r="Q21" s="543">
        <v>112</v>
      </c>
      <c r="R21" s="544" t="s">
        <v>77</v>
      </c>
      <c r="S21" s="543">
        <v>90</v>
      </c>
      <c r="T21" s="543">
        <v>90</v>
      </c>
      <c r="U21" s="543">
        <v>0</v>
      </c>
      <c r="V21" s="508" t="s">
        <v>1284</v>
      </c>
      <c r="W21" s="227"/>
      <c r="X21" s="227"/>
      <c r="Y21" s="227"/>
    </row>
    <row r="22" spans="1:25" s="272" customFormat="1" ht="51" x14ac:dyDescent="0.2">
      <c r="A22" s="243" t="s">
        <v>752</v>
      </c>
      <c r="B22" s="373" t="s">
        <v>391</v>
      </c>
      <c r="C22" s="243" t="s">
        <v>74</v>
      </c>
      <c r="D22" s="374" t="s">
        <v>1283</v>
      </c>
      <c r="E22" s="243" t="s">
        <v>319</v>
      </c>
      <c r="F22" s="376" t="s">
        <v>1271</v>
      </c>
      <c r="G22" s="376" t="s">
        <v>1272</v>
      </c>
      <c r="H22" s="243">
        <v>36</v>
      </c>
      <c r="I22" s="243">
        <v>657</v>
      </c>
      <c r="J22" s="243">
        <v>1299</v>
      </c>
      <c r="K22" s="243">
        <v>1278</v>
      </c>
      <c r="L22" s="243">
        <v>1278</v>
      </c>
      <c r="M22" s="243">
        <v>0</v>
      </c>
      <c r="N22" s="376" t="s">
        <v>1273</v>
      </c>
      <c r="O22" s="545">
        <v>39</v>
      </c>
      <c r="P22" s="543">
        <v>589</v>
      </c>
      <c r="Q22" s="543">
        <v>1281</v>
      </c>
      <c r="R22" s="544" t="s">
        <v>6</v>
      </c>
      <c r="S22" s="543">
        <v>903</v>
      </c>
      <c r="T22" s="543">
        <v>903</v>
      </c>
      <c r="U22" s="543">
        <v>0</v>
      </c>
      <c r="V22" s="543"/>
    </row>
    <row r="23" spans="1:25" s="272" customFormat="1" ht="51" x14ac:dyDescent="0.2">
      <c r="A23" s="243" t="s">
        <v>752</v>
      </c>
      <c r="B23" s="373" t="s">
        <v>391</v>
      </c>
      <c r="C23" s="243" t="s">
        <v>74</v>
      </c>
      <c r="D23" s="374" t="s">
        <v>1283</v>
      </c>
      <c r="E23" s="243" t="s">
        <v>319</v>
      </c>
      <c r="F23" s="376" t="s">
        <v>1274</v>
      </c>
      <c r="G23" s="376" t="s">
        <v>1275</v>
      </c>
      <c r="H23" s="243">
        <v>49</v>
      </c>
      <c r="I23" s="243">
        <v>2014</v>
      </c>
      <c r="J23" s="243">
        <v>2436</v>
      </c>
      <c r="K23" s="243">
        <v>1124</v>
      </c>
      <c r="L23" s="243">
        <v>1124</v>
      </c>
      <c r="M23" s="243">
        <v>0</v>
      </c>
      <c r="N23" s="376"/>
      <c r="O23" s="545">
        <v>53</v>
      </c>
      <c r="P23" s="543">
        <v>2441</v>
      </c>
      <c r="Q23" s="543">
        <v>2552</v>
      </c>
      <c r="R23" s="544" t="s">
        <v>6</v>
      </c>
      <c r="S23" s="543">
        <v>1158</v>
      </c>
      <c r="T23" s="543">
        <v>1158</v>
      </c>
      <c r="U23" s="543">
        <v>0</v>
      </c>
      <c r="V23" s="543"/>
    </row>
    <row r="24" spans="1:25" s="272" customFormat="1" ht="51" x14ac:dyDescent="0.2">
      <c r="A24" s="243" t="s">
        <v>752</v>
      </c>
      <c r="B24" s="373" t="s">
        <v>391</v>
      </c>
      <c r="C24" s="243" t="s">
        <v>74</v>
      </c>
      <c r="D24" s="374" t="s">
        <v>1289</v>
      </c>
      <c r="E24" s="243" t="s">
        <v>319</v>
      </c>
      <c r="F24" s="376" t="s">
        <v>1277</v>
      </c>
      <c r="G24" s="376" t="s">
        <v>1272</v>
      </c>
      <c r="H24" s="243">
        <v>13</v>
      </c>
      <c r="I24" s="243">
        <v>461</v>
      </c>
      <c r="J24" s="243">
        <v>2651</v>
      </c>
      <c r="K24" s="243">
        <v>2316</v>
      </c>
      <c r="L24" s="243">
        <v>2314</v>
      </c>
      <c r="M24" s="243">
        <v>6</v>
      </c>
      <c r="N24" s="376"/>
      <c r="O24" s="545">
        <v>14</v>
      </c>
      <c r="P24" s="543">
        <v>421</v>
      </c>
      <c r="Q24" s="543">
        <v>2470</v>
      </c>
      <c r="R24" s="544" t="s">
        <v>6</v>
      </c>
      <c r="S24" s="543">
        <v>2154</v>
      </c>
      <c r="T24" s="543">
        <v>2154</v>
      </c>
      <c r="U24" s="543">
        <v>0</v>
      </c>
      <c r="V24" s="543"/>
    </row>
    <row r="25" spans="1:25" s="272" customFormat="1" ht="51" x14ac:dyDescent="0.2">
      <c r="A25" s="243" t="s">
        <v>752</v>
      </c>
      <c r="B25" s="373" t="s">
        <v>391</v>
      </c>
      <c r="C25" s="243" t="s">
        <v>74</v>
      </c>
      <c r="D25" s="374" t="s">
        <v>1289</v>
      </c>
      <c r="E25" s="243" t="s">
        <v>319</v>
      </c>
      <c r="F25" s="376" t="s">
        <v>1263</v>
      </c>
      <c r="G25" s="376" t="s">
        <v>1278</v>
      </c>
      <c r="H25" s="243">
        <v>124</v>
      </c>
      <c r="I25" s="243">
        <v>3020</v>
      </c>
      <c r="J25" s="243">
        <v>12739</v>
      </c>
      <c r="K25" s="243">
        <v>14940</v>
      </c>
      <c r="L25" s="243">
        <v>14733</v>
      </c>
      <c r="M25" s="243">
        <v>207</v>
      </c>
      <c r="N25" s="375" t="s">
        <v>1290</v>
      </c>
      <c r="O25" s="545">
        <v>120</v>
      </c>
      <c r="P25" s="543">
        <v>2277</v>
      </c>
      <c r="Q25" s="543">
        <v>11438</v>
      </c>
      <c r="R25" s="544" t="s">
        <v>6</v>
      </c>
      <c r="S25" s="543">
        <v>12147</v>
      </c>
      <c r="T25" s="543">
        <v>11951</v>
      </c>
      <c r="U25" s="543">
        <v>196</v>
      </c>
      <c r="V25" s="543"/>
    </row>
    <row r="26" spans="1:25" s="272" customFormat="1" ht="51" x14ac:dyDescent="0.2">
      <c r="A26" s="243" t="s">
        <v>752</v>
      </c>
      <c r="B26" s="373" t="s">
        <v>391</v>
      </c>
      <c r="C26" s="243" t="s">
        <v>74</v>
      </c>
      <c r="D26" s="374" t="s">
        <v>1289</v>
      </c>
      <c r="E26" s="243" t="s">
        <v>319</v>
      </c>
      <c r="F26" s="376" t="s">
        <v>1266</v>
      </c>
      <c r="G26" s="376" t="s">
        <v>1286</v>
      </c>
      <c r="H26" s="243">
        <v>44</v>
      </c>
      <c r="I26" s="243">
        <v>247</v>
      </c>
      <c r="J26" s="243">
        <v>676</v>
      </c>
      <c r="K26" s="243">
        <v>28492</v>
      </c>
      <c r="L26" s="243">
        <v>18963</v>
      </c>
      <c r="M26" s="243">
        <v>9529</v>
      </c>
      <c r="N26" s="376" t="s">
        <v>1287</v>
      </c>
      <c r="O26" s="545">
        <v>19</v>
      </c>
      <c r="P26" s="543">
        <v>47</v>
      </c>
      <c r="Q26" s="543">
        <v>162</v>
      </c>
      <c r="R26" s="544" t="s">
        <v>6</v>
      </c>
      <c r="S26" s="543">
        <v>8287</v>
      </c>
      <c r="T26" s="543">
        <v>7833</v>
      </c>
      <c r="U26" s="543">
        <v>454</v>
      </c>
      <c r="V26" s="543"/>
    </row>
    <row r="27" spans="1:25" s="272" customFormat="1" ht="51" x14ac:dyDescent="0.2">
      <c r="A27" s="243" t="s">
        <v>752</v>
      </c>
      <c r="B27" s="373" t="s">
        <v>391</v>
      </c>
      <c r="C27" s="243" t="s">
        <v>74</v>
      </c>
      <c r="D27" s="374" t="s">
        <v>1289</v>
      </c>
      <c r="E27" s="243" t="s">
        <v>319</v>
      </c>
      <c r="F27" s="376" t="s">
        <v>303</v>
      </c>
      <c r="G27" s="376" t="s">
        <v>737</v>
      </c>
      <c r="H27" s="243">
        <v>8</v>
      </c>
      <c r="I27" s="243">
        <v>96</v>
      </c>
      <c r="J27" s="243">
        <v>442</v>
      </c>
      <c r="K27" s="243">
        <v>583</v>
      </c>
      <c r="L27" s="243">
        <v>583</v>
      </c>
      <c r="M27" s="243">
        <v>0</v>
      </c>
      <c r="N27" s="376"/>
      <c r="O27" s="545">
        <v>7</v>
      </c>
      <c r="P27" s="543">
        <v>138</v>
      </c>
      <c r="Q27" s="543">
        <v>829</v>
      </c>
      <c r="R27" s="544" t="s">
        <v>6</v>
      </c>
      <c r="S27" s="543">
        <v>1042</v>
      </c>
      <c r="T27" s="543">
        <v>1042</v>
      </c>
      <c r="U27" s="543">
        <v>0</v>
      </c>
      <c r="V27" s="543"/>
    </row>
    <row r="28" spans="1:25" s="272" customFormat="1" ht="51" x14ac:dyDescent="0.2">
      <c r="A28" s="243" t="s">
        <v>752</v>
      </c>
      <c r="B28" s="373" t="s">
        <v>391</v>
      </c>
      <c r="C28" s="243" t="s">
        <v>74</v>
      </c>
      <c r="D28" s="374" t="s">
        <v>1289</v>
      </c>
      <c r="E28" s="243" t="s">
        <v>319</v>
      </c>
      <c r="F28" s="376" t="s">
        <v>308</v>
      </c>
      <c r="G28" s="376" t="s">
        <v>1267</v>
      </c>
      <c r="H28" s="243">
        <v>2</v>
      </c>
      <c r="I28" s="243">
        <v>8</v>
      </c>
      <c r="J28" s="243">
        <v>10</v>
      </c>
      <c r="K28" s="243">
        <v>2</v>
      </c>
      <c r="L28" s="243">
        <v>2</v>
      </c>
      <c r="M28" s="243">
        <v>0</v>
      </c>
      <c r="N28" s="376"/>
      <c r="O28" s="545">
        <v>1</v>
      </c>
      <c r="P28" s="543">
        <v>11</v>
      </c>
      <c r="Q28" s="543">
        <v>25</v>
      </c>
      <c r="R28" s="544" t="s">
        <v>77</v>
      </c>
      <c r="S28" s="543">
        <v>4</v>
      </c>
      <c r="T28" s="543">
        <v>4</v>
      </c>
      <c r="U28" s="543">
        <v>0</v>
      </c>
      <c r="V28" s="508" t="s">
        <v>1284</v>
      </c>
    </row>
    <row r="29" spans="1:25" s="272" customFormat="1" ht="51" x14ac:dyDescent="0.2">
      <c r="A29" s="243" t="s">
        <v>752</v>
      </c>
      <c r="B29" s="373" t="s">
        <v>391</v>
      </c>
      <c r="C29" s="243" t="s">
        <v>74</v>
      </c>
      <c r="D29" s="374" t="s">
        <v>1289</v>
      </c>
      <c r="E29" s="243" t="s">
        <v>319</v>
      </c>
      <c r="F29" s="376" t="s">
        <v>1271</v>
      </c>
      <c r="G29" s="376" t="s">
        <v>1272</v>
      </c>
      <c r="H29" s="243">
        <v>27</v>
      </c>
      <c r="I29" s="243">
        <v>582</v>
      </c>
      <c r="J29" s="243">
        <v>1612</v>
      </c>
      <c r="K29" s="243">
        <v>1113</v>
      </c>
      <c r="L29" s="243">
        <v>1113</v>
      </c>
      <c r="M29" s="243">
        <v>0</v>
      </c>
      <c r="N29" s="376" t="s">
        <v>1273</v>
      </c>
      <c r="O29" s="545">
        <v>24</v>
      </c>
      <c r="P29" s="543">
        <v>554</v>
      </c>
      <c r="Q29" s="543">
        <v>1678</v>
      </c>
      <c r="R29" s="544" t="s">
        <v>6</v>
      </c>
      <c r="S29" s="543">
        <v>1425</v>
      </c>
      <c r="T29" s="543">
        <v>1425</v>
      </c>
      <c r="U29" s="543">
        <v>0</v>
      </c>
      <c r="V29" s="543"/>
    </row>
    <row r="30" spans="1:25" ht="51" x14ac:dyDescent="0.2">
      <c r="A30" s="243" t="s">
        <v>752</v>
      </c>
      <c r="B30" s="373" t="s">
        <v>391</v>
      </c>
      <c r="C30" s="243" t="s">
        <v>74</v>
      </c>
      <c r="D30" s="374" t="s">
        <v>1289</v>
      </c>
      <c r="E30" s="243" t="s">
        <v>319</v>
      </c>
      <c r="F30" s="376" t="s">
        <v>1274</v>
      </c>
      <c r="G30" s="376" t="s">
        <v>1275</v>
      </c>
      <c r="H30" s="243">
        <v>12</v>
      </c>
      <c r="I30" s="243">
        <v>270</v>
      </c>
      <c r="J30" s="243">
        <v>318</v>
      </c>
      <c r="K30" s="243">
        <v>113</v>
      </c>
      <c r="L30" s="243">
        <v>113</v>
      </c>
      <c r="M30" s="243">
        <v>0</v>
      </c>
      <c r="N30" s="376"/>
      <c r="O30" s="542">
        <v>20</v>
      </c>
      <c r="P30" s="543">
        <v>603</v>
      </c>
      <c r="Q30" s="543">
        <v>712</v>
      </c>
      <c r="R30" s="544" t="s">
        <v>6</v>
      </c>
      <c r="S30" s="543">
        <v>276</v>
      </c>
      <c r="T30" s="543">
        <v>276</v>
      </c>
      <c r="U30" s="543">
        <v>0</v>
      </c>
      <c r="V30" s="543"/>
    </row>
    <row r="31" spans="1:25" ht="51" x14ac:dyDescent="0.2">
      <c r="A31" s="243" t="s">
        <v>752</v>
      </c>
      <c r="B31" s="376" t="s">
        <v>320</v>
      </c>
      <c r="C31" s="243" t="s">
        <v>74</v>
      </c>
      <c r="D31" s="374" t="s">
        <v>1291</v>
      </c>
      <c r="E31" s="243" t="s">
        <v>319</v>
      </c>
      <c r="F31" s="376" t="s">
        <v>1266</v>
      </c>
      <c r="G31" s="376" t="s">
        <v>1267</v>
      </c>
      <c r="H31" s="243">
        <v>34</v>
      </c>
      <c r="I31" s="243">
        <v>84</v>
      </c>
      <c r="J31" s="243">
        <v>360</v>
      </c>
      <c r="K31" s="243">
        <v>29748</v>
      </c>
      <c r="L31" s="243">
        <v>19746</v>
      </c>
      <c r="M31" s="243">
        <v>10001</v>
      </c>
      <c r="N31" s="376"/>
      <c r="O31" s="542">
        <v>6</v>
      </c>
      <c r="P31" s="543">
        <v>6</v>
      </c>
      <c r="Q31" s="543">
        <v>33</v>
      </c>
      <c r="R31" s="544" t="s">
        <v>6</v>
      </c>
      <c r="S31" s="543">
        <v>1684</v>
      </c>
      <c r="T31" s="543">
        <v>1684</v>
      </c>
      <c r="U31" s="543">
        <v>0</v>
      </c>
      <c r="V31" s="543"/>
    </row>
    <row r="32" spans="1:25" ht="51" x14ac:dyDescent="0.2">
      <c r="A32" s="243" t="s">
        <v>752</v>
      </c>
      <c r="B32" s="376" t="s">
        <v>320</v>
      </c>
      <c r="C32" s="243" t="s">
        <v>74</v>
      </c>
      <c r="D32" s="374" t="s">
        <v>1291</v>
      </c>
      <c r="E32" s="243" t="s">
        <v>319</v>
      </c>
      <c r="F32" s="376" t="s">
        <v>303</v>
      </c>
      <c r="G32" s="376" t="s">
        <v>737</v>
      </c>
      <c r="H32" s="243">
        <v>6</v>
      </c>
      <c r="I32" s="243">
        <v>29</v>
      </c>
      <c r="J32" s="243">
        <v>181</v>
      </c>
      <c r="K32" s="243">
        <v>378</v>
      </c>
      <c r="L32" s="243">
        <v>23</v>
      </c>
      <c r="M32" s="243">
        <v>363</v>
      </c>
      <c r="N32" s="376"/>
      <c r="O32" s="542">
        <v>4</v>
      </c>
      <c r="P32" s="543">
        <v>61</v>
      </c>
      <c r="Q32" s="543">
        <v>439</v>
      </c>
      <c r="R32" s="544" t="s">
        <v>6</v>
      </c>
      <c r="S32" s="543">
        <v>787</v>
      </c>
      <c r="T32" s="543">
        <v>18</v>
      </c>
      <c r="U32" s="543">
        <v>779</v>
      </c>
      <c r="V32" s="543"/>
    </row>
    <row r="33" spans="1:22" ht="51" x14ac:dyDescent="0.2">
      <c r="A33" s="243" t="s">
        <v>752</v>
      </c>
      <c r="B33" s="376" t="s">
        <v>320</v>
      </c>
      <c r="C33" s="243" t="s">
        <v>74</v>
      </c>
      <c r="D33" s="374" t="s">
        <v>1291</v>
      </c>
      <c r="E33" s="243" t="s">
        <v>319</v>
      </c>
      <c r="F33" s="376" t="s">
        <v>1274</v>
      </c>
      <c r="G33" s="376" t="s">
        <v>1275</v>
      </c>
      <c r="H33" s="243">
        <v>4</v>
      </c>
      <c r="I33" s="243">
        <v>73</v>
      </c>
      <c r="J33" s="243">
        <v>393</v>
      </c>
      <c r="K33" s="243">
        <v>1226</v>
      </c>
      <c r="L33" s="243">
        <v>13</v>
      </c>
      <c r="M33" s="243">
        <v>1213</v>
      </c>
      <c r="N33" s="376"/>
      <c r="O33" s="542">
        <v>6</v>
      </c>
      <c r="P33" s="543">
        <v>124</v>
      </c>
      <c r="Q33" s="543">
        <v>670</v>
      </c>
      <c r="R33" s="544" t="s">
        <v>77</v>
      </c>
      <c r="S33" s="543">
        <v>1665</v>
      </c>
      <c r="T33" s="543">
        <v>8</v>
      </c>
      <c r="U33" s="543">
        <v>1657</v>
      </c>
      <c r="V33" s="671" t="s">
        <v>1915</v>
      </c>
    </row>
    <row r="34" spans="1:22" ht="51" x14ac:dyDescent="0.2">
      <c r="A34" s="243" t="s">
        <v>752</v>
      </c>
      <c r="B34" s="376" t="s">
        <v>320</v>
      </c>
      <c r="C34" s="243" t="s">
        <v>74</v>
      </c>
      <c r="D34" s="374" t="s">
        <v>1292</v>
      </c>
      <c r="E34" s="243" t="s">
        <v>319</v>
      </c>
      <c r="F34" s="376" t="s">
        <v>1263</v>
      </c>
      <c r="G34" s="376" t="s">
        <v>1264</v>
      </c>
      <c r="H34" s="243">
        <v>1</v>
      </c>
      <c r="I34" s="243">
        <v>4</v>
      </c>
      <c r="J34" s="243">
        <v>51</v>
      </c>
      <c r="K34" s="243">
        <v>309</v>
      </c>
      <c r="L34" s="243">
        <v>0</v>
      </c>
      <c r="M34" s="243">
        <v>309</v>
      </c>
      <c r="N34" s="376"/>
      <c r="O34" s="542">
        <v>0</v>
      </c>
      <c r="P34" s="543">
        <v>0</v>
      </c>
      <c r="Q34" s="543">
        <v>0</v>
      </c>
      <c r="R34" s="544" t="s">
        <v>77</v>
      </c>
      <c r="S34" s="543">
        <v>0</v>
      </c>
      <c r="T34" s="543">
        <v>0</v>
      </c>
      <c r="U34" s="543">
        <v>0</v>
      </c>
      <c r="V34" s="543" t="s">
        <v>1914</v>
      </c>
    </row>
    <row r="35" spans="1:22" ht="51" x14ac:dyDescent="0.2">
      <c r="A35" s="243" t="s">
        <v>752</v>
      </c>
      <c r="B35" s="376" t="s">
        <v>320</v>
      </c>
      <c r="C35" s="243" t="s">
        <v>74</v>
      </c>
      <c r="D35" s="374" t="s">
        <v>1292</v>
      </c>
      <c r="E35" s="243" t="s">
        <v>319</v>
      </c>
      <c r="F35" s="376" t="s">
        <v>1266</v>
      </c>
      <c r="G35" s="376" t="s">
        <v>1267</v>
      </c>
      <c r="H35" s="243">
        <v>5</v>
      </c>
      <c r="I35" s="243">
        <v>9</v>
      </c>
      <c r="J35" s="243">
        <v>42</v>
      </c>
      <c r="K35" s="243">
        <v>2496</v>
      </c>
      <c r="L35" s="243">
        <v>1240</v>
      </c>
      <c r="M35" s="243">
        <v>2083</v>
      </c>
      <c r="N35" s="376"/>
      <c r="O35" s="542">
        <v>6</v>
      </c>
      <c r="P35" s="543">
        <v>6</v>
      </c>
      <c r="Q35" s="543">
        <v>45</v>
      </c>
      <c r="R35" s="544" t="s">
        <v>6</v>
      </c>
      <c r="S35" s="543">
        <v>2790</v>
      </c>
      <c r="T35" s="543">
        <v>2790</v>
      </c>
      <c r="U35" s="543">
        <v>0</v>
      </c>
      <c r="V35" s="543"/>
    </row>
    <row r="36" spans="1:22" ht="51" x14ac:dyDescent="0.2">
      <c r="A36" s="243" t="s">
        <v>752</v>
      </c>
      <c r="B36" s="376" t="s">
        <v>320</v>
      </c>
      <c r="C36" s="243" t="s">
        <v>74</v>
      </c>
      <c r="D36" s="374" t="s">
        <v>1292</v>
      </c>
      <c r="E36" s="243" t="s">
        <v>319</v>
      </c>
      <c r="F36" s="376" t="s">
        <v>1274</v>
      </c>
      <c r="G36" s="376" t="s">
        <v>1275</v>
      </c>
      <c r="H36" s="243">
        <v>1</v>
      </c>
      <c r="I36" s="243">
        <v>1</v>
      </c>
      <c r="J36" s="243">
        <v>2</v>
      </c>
      <c r="K36" s="243">
        <v>4</v>
      </c>
      <c r="L36" s="243">
        <v>1</v>
      </c>
      <c r="M36" s="243">
        <v>4</v>
      </c>
      <c r="N36" s="376"/>
      <c r="O36" s="542">
        <v>0</v>
      </c>
      <c r="P36" s="543">
        <v>0</v>
      </c>
      <c r="Q36" s="543">
        <v>0</v>
      </c>
      <c r="R36" s="544" t="s">
        <v>77</v>
      </c>
      <c r="S36" s="543">
        <v>0</v>
      </c>
      <c r="T36" s="543">
        <v>0</v>
      </c>
      <c r="U36" s="543">
        <v>0</v>
      </c>
      <c r="V36" s="543" t="s">
        <v>1914</v>
      </c>
    </row>
    <row r="37" spans="1:22" x14ac:dyDescent="0.2">
      <c r="A37" s="52"/>
      <c r="B37" s="52"/>
      <c r="C37" s="379"/>
      <c r="D37" s="52"/>
      <c r="E37" s="52"/>
      <c r="F37" s="52"/>
      <c r="G37" s="52"/>
      <c r="H37" s="52"/>
      <c r="I37" s="52"/>
      <c r="J37" s="52"/>
      <c r="K37" s="52"/>
      <c r="L37" s="52"/>
      <c r="M37" s="52"/>
      <c r="N37" s="52"/>
      <c r="O37" s="475"/>
      <c r="P37" s="227"/>
      <c r="Q37" s="227"/>
    </row>
    <row r="38" spans="1:22" x14ac:dyDescent="0.2">
      <c r="A38" s="52" t="s">
        <v>1293</v>
      </c>
      <c r="B38" s="52"/>
      <c r="C38" s="379"/>
      <c r="D38" s="52"/>
      <c r="E38" s="52"/>
      <c r="F38" s="52"/>
      <c r="G38" s="52"/>
      <c r="H38" s="52"/>
      <c r="I38" s="52"/>
      <c r="J38" s="52"/>
      <c r="K38" s="52"/>
      <c r="L38" s="52"/>
      <c r="M38" s="52"/>
      <c r="N38" s="52"/>
      <c r="O38" s="475"/>
      <c r="P38" s="227"/>
      <c r="Q38" s="227"/>
    </row>
    <row r="39" spans="1:22" x14ac:dyDescent="0.2">
      <c r="A39" s="52"/>
      <c r="B39" s="52"/>
      <c r="C39" s="379"/>
      <c r="D39" s="52"/>
      <c r="E39" s="52"/>
      <c r="F39" s="52"/>
      <c r="G39" s="52"/>
      <c r="H39" s="52"/>
      <c r="I39" s="52"/>
      <c r="J39" s="52"/>
      <c r="K39" s="52"/>
      <c r="L39" s="52"/>
      <c r="M39" s="52"/>
      <c r="N39" s="52"/>
      <c r="O39" s="475"/>
      <c r="P39" s="227"/>
      <c r="Q39" s="227"/>
    </row>
    <row r="40" spans="1:22" x14ac:dyDescent="0.2">
      <c r="M40" s="227"/>
      <c r="N40" s="227"/>
      <c r="O40" s="475"/>
      <c r="P40" s="227"/>
      <c r="Q40" s="227"/>
    </row>
    <row r="41" spans="1:22" x14ac:dyDescent="0.2">
      <c r="M41" s="227"/>
      <c r="N41" s="227"/>
      <c r="O41" s="475"/>
      <c r="P41" s="227"/>
      <c r="Q41" s="227"/>
    </row>
    <row r="42" spans="1:22" x14ac:dyDescent="0.2">
      <c r="M42" s="227"/>
      <c r="N42" s="227"/>
      <c r="O42" s="475"/>
      <c r="P42" s="227"/>
      <c r="Q42" s="227"/>
    </row>
    <row r="43" spans="1:22" x14ac:dyDescent="0.2">
      <c r="M43" s="227"/>
      <c r="N43" s="227"/>
      <c r="O43" s="475"/>
      <c r="P43" s="227"/>
      <c r="Q43" s="227"/>
    </row>
    <row r="44" spans="1:22" x14ac:dyDescent="0.2">
      <c r="M44" s="227"/>
      <c r="N44" s="227"/>
      <c r="O44" s="475"/>
      <c r="P44" s="227"/>
      <c r="Q44" s="227"/>
    </row>
    <row r="45" spans="1:22" x14ac:dyDescent="0.2">
      <c r="M45" s="227"/>
      <c r="N45" s="227"/>
      <c r="O45" s="475"/>
      <c r="P45" s="227"/>
      <c r="Q45" s="227"/>
    </row>
    <row r="46" spans="1:22" x14ac:dyDescent="0.2">
      <c r="M46" s="227"/>
      <c r="N46" s="227"/>
      <c r="O46" s="475"/>
      <c r="P46" s="227"/>
      <c r="Q46" s="227"/>
    </row>
    <row r="47" spans="1:22" x14ac:dyDescent="0.2">
      <c r="M47" s="227"/>
      <c r="N47" s="227"/>
      <c r="O47" s="475"/>
      <c r="P47" s="227"/>
      <c r="Q47" s="227"/>
    </row>
    <row r="48" spans="1:22" x14ac:dyDescent="0.2">
      <c r="M48" s="227"/>
      <c r="N48" s="227"/>
      <c r="O48" s="475"/>
      <c r="P48" s="227"/>
      <c r="Q48" s="227"/>
    </row>
    <row r="49" spans="13:17" x14ac:dyDescent="0.2">
      <c r="M49" s="227"/>
      <c r="N49" s="227"/>
      <c r="O49" s="475"/>
      <c r="P49" s="227"/>
      <c r="Q49" s="227"/>
    </row>
    <row r="50" spans="13:17" x14ac:dyDescent="0.2">
      <c r="M50" s="227"/>
      <c r="N50" s="227"/>
      <c r="O50" s="475"/>
      <c r="P50" s="227"/>
      <c r="Q50" s="227"/>
    </row>
    <row r="51" spans="13:17" x14ac:dyDescent="0.2">
      <c r="M51" s="227"/>
      <c r="N51" s="227"/>
      <c r="O51" s="475"/>
      <c r="P51" s="227"/>
      <c r="Q51" s="227"/>
    </row>
    <row r="52" spans="13:17" x14ac:dyDescent="0.2">
      <c r="M52" s="227"/>
      <c r="N52" s="227"/>
      <c r="O52" s="475"/>
      <c r="P52" s="227"/>
      <c r="Q52" s="227"/>
    </row>
    <row r="53" spans="13:17" x14ac:dyDescent="0.2">
      <c r="M53" s="227"/>
      <c r="N53" s="227"/>
      <c r="O53" s="475"/>
      <c r="P53" s="227"/>
      <c r="Q53" s="227"/>
    </row>
    <row r="54" spans="13:17" x14ac:dyDescent="0.2">
      <c r="M54" s="227"/>
      <c r="N54" s="227"/>
      <c r="O54" s="475"/>
      <c r="P54" s="227"/>
      <c r="Q54" s="227"/>
    </row>
    <row r="55" spans="13:17" x14ac:dyDescent="0.2">
      <c r="M55" s="227"/>
      <c r="N55" s="227"/>
      <c r="O55" s="475"/>
      <c r="P55" s="227"/>
      <c r="Q55" s="227"/>
    </row>
    <row r="56" spans="13:17" x14ac:dyDescent="0.2">
      <c r="M56" s="227"/>
      <c r="N56" s="227"/>
      <c r="O56" s="475"/>
      <c r="P56" s="227"/>
      <c r="Q56" s="227"/>
    </row>
    <row r="57" spans="13:17" x14ac:dyDescent="0.2">
      <c r="M57" s="227"/>
      <c r="N57" s="227"/>
      <c r="O57" s="475"/>
      <c r="P57" s="227"/>
      <c r="Q57" s="227"/>
    </row>
    <row r="58" spans="13:17" x14ac:dyDescent="0.2">
      <c r="M58" s="227"/>
      <c r="N58" s="227"/>
      <c r="O58" s="475"/>
      <c r="P58" s="227"/>
      <c r="Q58" s="227"/>
    </row>
    <row r="59" spans="13:17" x14ac:dyDescent="0.2">
      <c r="M59" s="227"/>
      <c r="N59" s="227"/>
      <c r="O59" s="475"/>
      <c r="P59" s="227"/>
      <c r="Q59" s="227"/>
    </row>
    <row r="60" spans="13:17" x14ac:dyDescent="0.2">
      <c r="M60" s="227"/>
      <c r="N60" s="227"/>
      <c r="O60" s="475"/>
      <c r="P60" s="227"/>
      <c r="Q60" s="227"/>
    </row>
    <row r="61" spans="13:17" x14ac:dyDescent="0.2">
      <c r="M61" s="227"/>
      <c r="N61" s="227"/>
      <c r="O61" s="475"/>
      <c r="P61" s="227"/>
      <c r="Q61" s="227"/>
    </row>
    <row r="62" spans="13:17" x14ac:dyDescent="0.2">
      <c r="M62" s="227"/>
      <c r="N62" s="227"/>
      <c r="O62" s="475"/>
      <c r="P62" s="227"/>
      <c r="Q62" s="227"/>
    </row>
    <row r="63" spans="13:17" x14ac:dyDescent="0.2">
      <c r="M63" s="227"/>
      <c r="N63" s="227"/>
      <c r="O63" s="475"/>
      <c r="P63" s="227"/>
      <c r="Q63" s="227"/>
    </row>
    <row r="64" spans="13:17" x14ac:dyDescent="0.2">
      <c r="M64" s="227"/>
      <c r="N64" s="227"/>
      <c r="O64" s="475"/>
      <c r="P64" s="227"/>
      <c r="Q64" s="227"/>
    </row>
    <row r="65" spans="13:17" x14ac:dyDescent="0.2">
      <c r="M65" s="227"/>
      <c r="N65" s="227"/>
      <c r="O65" s="475"/>
      <c r="P65" s="227"/>
      <c r="Q65" s="227"/>
    </row>
    <row r="66" spans="13:17" x14ac:dyDescent="0.2">
      <c r="M66" s="227"/>
      <c r="N66" s="227"/>
      <c r="O66" s="475"/>
      <c r="P66" s="227"/>
      <c r="Q66" s="227"/>
    </row>
    <row r="67" spans="13:17" x14ac:dyDescent="0.2">
      <c r="M67" s="227"/>
      <c r="N67" s="227"/>
      <c r="O67" s="475"/>
      <c r="P67" s="227"/>
      <c r="Q67" s="227"/>
    </row>
    <row r="68" spans="13:17" x14ac:dyDescent="0.2">
      <c r="M68" s="227"/>
      <c r="N68" s="227"/>
      <c r="O68" s="475"/>
      <c r="P68" s="227"/>
      <c r="Q68" s="227"/>
    </row>
    <row r="69" spans="13:17" x14ac:dyDescent="0.2">
      <c r="M69" s="227"/>
      <c r="N69" s="227"/>
      <c r="O69" s="475"/>
      <c r="P69" s="227"/>
      <c r="Q69" s="227"/>
    </row>
    <row r="70" spans="13:17" x14ac:dyDescent="0.2">
      <c r="M70" s="227"/>
      <c r="N70" s="227"/>
      <c r="O70" s="475"/>
      <c r="P70" s="227"/>
      <c r="Q70" s="227"/>
    </row>
    <row r="71" spans="13:17" x14ac:dyDescent="0.2">
      <c r="M71" s="227"/>
      <c r="N71" s="227"/>
      <c r="O71" s="475"/>
      <c r="P71" s="227"/>
      <c r="Q71" s="227"/>
    </row>
    <row r="72" spans="13:17" x14ac:dyDescent="0.2">
      <c r="M72" s="227"/>
      <c r="N72" s="227"/>
      <c r="O72" s="475"/>
      <c r="P72" s="227"/>
      <c r="Q72" s="227"/>
    </row>
    <row r="73" spans="13:17" x14ac:dyDescent="0.2">
      <c r="M73" s="227"/>
      <c r="N73" s="227"/>
      <c r="O73" s="475"/>
      <c r="P73" s="227"/>
      <c r="Q73" s="227"/>
    </row>
    <row r="74" spans="13:17" x14ac:dyDescent="0.2">
      <c r="M74" s="227"/>
      <c r="N74" s="227"/>
      <c r="O74" s="475"/>
      <c r="P74" s="227"/>
      <c r="Q74" s="227"/>
    </row>
    <row r="75" spans="13:17" x14ac:dyDescent="0.2">
      <c r="M75" s="227"/>
      <c r="N75" s="227"/>
      <c r="O75" s="475"/>
      <c r="P75" s="227"/>
      <c r="Q75" s="227"/>
    </row>
    <row r="76" spans="13:17" x14ac:dyDescent="0.2">
      <c r="M76" s="227"/>
      <c r="N76" s="227"/>
      <c r="O76" s="475"/>
      <c r="P76" s="227"/>
      <c r="Q76" s="227"/>
    </row>
    <row r="77" spans="13:17" x14ac:dyDescent="0.2">
      <c r="M77" s="227"/>
      <c r="N77" s="227"/>
      <c r="O77" s="475"/>
      <c r="P77" s="227"/>
      <c r="Q77" s="227"/>
    </row>
    <row r="78" spans="13:17" x14ac:dyDescent="0.2">
      <c r="M78" s="227"/>
      <c r="N78" s="227"/>
      <c r="O78" s="475"/>
      <c r="P78" s="227"/>
      <c r="Q78" s="227"/>
    </row>
    <row r="79" spans="13:17" x14ac:dyDescent="0.2">
      <c r="M79" s="227"/>
      <c r="N79" s="227"/>
      <c r="O79" s="475"/>
      <c r="P79" s="227"/>
      <c r="Q79" s="227"/>
    </row>
    <row r="80" spans="13:17" x14ac:dyDescent="0.2">
      <c r="M80" s="227"/>
      <c r="N80" s="227"/>
      <c r="O80" s="475"/>
      <c r="P80" s="227"/>
      <c r="Q80" s="227"/>
    </row>
    <row r="81" spans="13:17" x14ac:dyDescent="0.2">
      <c r="M81" s="227"/>
      <c r="N81" s="227"/>
      <c r="O81" s="475"/>
      <c r="P81" s="227"/>
      <c r="Q81" s="227"/>
    </row>
    <row r="82" spans="13:17" x14ac:dyDescent="0.2">
      <c r="M82" s="227"/>
      <c r="N82" s="227"/>
      <c r="O82" s="475"/>
      <c r="P82" s="227"/>
      <c r="Q82" s="227"/>
    </row>
    <row r="83" spans="13:17" x14ac:dyDescent="0.2">
      <c r="M83" s="227"/>
      <c r="N83" s="227"/>
      <c r="O83" s="475"/>
      <c r="P83" s="227"/>
      <c r="Q83" s="227"/>
    </row>
    <row r="84" spans="13:17" x14ac:dyDescent="0.2">
      <c r="M84" s="227"/>
      <c r="N84" s="227"/>
      <c r="O84" s="475"/>
      <c r="P84" s="227"/>
      <c r="Q84" s="227"/>
    </row>
    <row r="85" spans="13:17" x14ac:dyDescent="0.2">
      <c r="M85" s="227"/>
      <c r="N85" s="227"/>
      <c r="O85" s="475"/>
      <c r="P85" s="227"/>
      <c r="Q85" s="227"/>
    </row>
    <row r="86" spans="13:17" x14ac:dyDescent="0.2">
      <c r="M86" s="227"/>
      <c r="N86" s="227"/>
      <c r="O86" s="475"/>
      <c r="P86" s="227"/>
      <c r="Q86" s="227"/>
    </row>
    <row r="87" spans="13:17" x14ac:dyDescent="0.2">
      <c r="M87" s="227"/>
      <c r="N87" s="227"/>
      <c r="O87" s="475"/>
      <c r="P87" s="227"/>
      <c r="Q87" s="227"/>
    </row>
    <row r="88" spans="13:17" x14ac:dyDescent="0.2">
      <c r="M88" s="227"/>
      <c r="N88" s="227"/>
      <c r="O88" s="475"/>
      <c r="P88" s="227"/>
      <c r="Q88" s="227"/>
    </row>
    <row r="89" spans="13:17" x14ac:dyDescent="0.2">
      <c r="M89" s="227"/>
      <c r="N89" s="227"/>
      <c r="O89" s="475"/>
      <c r="P89" s="227"/>
      <c r="Q89" s="227"/>
    </row>
    <row r="90" spans="13:17" x14ac:dyDescent="0.2">
      <c r="M90" s="227"/>
      <c r="N90" s="227"/>
      <c r="O90" s="475"/>
      <c r="P90" s="227"/>
      <c r="Q90" s="227"/>
    </row>
    <row r="91" spans="13:17" x14ac:dyDescent="0.2">
      <c r="M91" s="227"/>
      <c r="N91" s="227"/>
      <c r="O91" s="475"/>
      <c r="P91" s="227"/>
      <c r="Q91" s="227"/>
    </row>
    <row r="92" spans="13:17" x14ac:dyDescent="0.2">
      <c r="M92" s="227"/>
      <c r="N92" s="227"/>
      <c r="O92" s="475"/>
      <c r="P92" s="227"/>
      <c r="Q92" s="227"/>
    </row>
    <row r="93" spans="13:17" x14ac:dyDescent="0.2">
      <c r="M93" s="227"/>
      <c r="N93" s="227"/>
      <c r="O93" s="475"/>
      <c r="P93" s="227"/>
      <c r="Q93" s="227"/>
    </row>
    <row r="94" spans="13:17" x14ac:dyDescent="0.2">
      <c r="M94" s="227"/>
      <c r="N94" s="227"/>
      <c r="O94" s="475"/>
      <c r="P94" s="227"/>
      <c r="Q94" s="227"/>
    </row>
    <row r="95" spans="13:17" x14ac:dyDescent="0.2">
      <c r="M95" s="227"/>
      <c r="N95" s="227"/>
      <c r="O95" s="475"/>
      <c r="P95" s="227"/>
      <c r="Q95" s="227"/>
    </row>
    <row r="96" spans="13:17" x14ac:dyDescent="0.2">
      <c r="M96" s="227"/>
      <c r="N96" s="227"/>
      <c r="O96" s="475"/>
      <c r="P96" s="227"/>
      <c r="Q96" s="227"/>
    </row>
    <row r="97" spans="13:17" x14ac:dyDescent="0.2">
      <c r="M97" s="227"/>
      <c r="N97" s="227"/>
      <c r="O97" s="475"/>
      <c r="P97" s="227"/>
      <c r="Q97" s="227"/>
    </row>
    <row r="98" spans="13:17" x14ac:dyDescent="0.2">
      <c r="M98" s="227"/>
      <c r="N98" s="227"/>
      <c r="O98" s="475"/>
      <c r="P98" s="227"/>
      <c r="Q98" s="227"/>
    </row>
    <row r="99" spans="13:17" x14ac:dyDescent="0.2">
      <c r="M99" s="227"/>
      <c r="N99" s="227"/>
      <c r="O99" s="475"/>
      <c r="P99" s="227"/>
      <c r="Q99" s="227"/>
    </row>
    <row r="100" spans="13:17" x14ac:dyDescent="0.2">
      <c r="M100" s="227"/>
      <c r="N100" s="227"/>
      <c r="O100" s="475"/>
      <c r="P100" s="227"/>
      <c r="Q100" s="227"/>
    </row>
    <row r="101" spans="13:17" x14ac:dyDescent="0.2">
      <c r="M101" s="227"/>
      <c r="N101" s="227"/>
      <c r="O101" s="475"/>
      <c r="P101" s="227"/>
      <c r="Q101" s="227"/>
    </row>
    <row r="102" spans="13:17" x14ac:dyDescent="0.2">
      <c r="M102" s="227"/>
      <c r="N102" s="227"/>
      <c r="O102" s="475"/>
      <c r="P102" s="227"/>
      <c r="Q102" s="227"/>
    </row>
    <row r="103" spans="13:17" x14ac:dyDescent="0.2">
      <c r="M103" s="227"/>
      <c r="N103" s="227"/>
      <c r="O103" s="475"/>
      <c r="P103" s="227"/>
      <c r="Q103" s="227"/>
    </row>
    <row r="104" spans="13:17" x14ac:dyDescent="0.2">
      <c r="M104" s="227"/>
      <c r="N104" s="227"/>
      <c r="O104" s="475"/>
      <c r="P104" s="227"/>
      <c r="Q104" s="227"/>
    </row>
    <row r="105" spans="13:17" x14ac:dyDescent="0.2">
      <c r="M105" s="227"/>
      <c r="N105" s="227"/>
      <c r="O105" s="475"/>
      <c r="P105" s="227"/>
      <c r="Q105" s="227"/>
    </row>
    <row r="106" spans="13:17" x14ac:dyDescent="0.2">
      <c r="M106" s="227"/>
      <c r="N106" s="227"/>
      <c r="O106" s="475"/>
      <c r="P106" s="227"/>
      <c r="Q106" s="227"/>
    </row>
    <row r="107" spans="13:17" x14ac:dyDescent="0.2">
      <c r="M107" s="227"/>
      <c r="N107" s="227"/>
      <c r="O107" s="475"/>
      <c r="P107" s="227"/>
      <c r="Q107" s="227"/>
    </row>
    <row r="108" spans="13:17" x14ac:dyDescent="0.2">
      <c r="M108" s="227"/>
      <c r="N108" s="227"/>
      <c r="O108" s="475"/>
      <c r="P108" s="227"/>
      <c r="Q108" s="227"/>
    </row>
    <row r="109" spans="13:17" x14ac:dyDescent="0.2">
      <c r="M109" s="227"/>
      <c r="N109" s="227"/>
      <c r="O109" s="475"/>
      <c r="P109" s="227"/>
      <c r="Q109" s="227"/>
    </row>
    <row r="110" spans="13:17" x14ac:dyDescent="0.2">
      <c r="M110" s="227"/>
      <c r="N110" s="227"/>
      <c r="O110" s="475"/>
      <c r="P110" s="227"/>
      <c r="Q110" s="227"/>
    </row>
    <row r="111" spans="13:17" x14ac:dyDescent="0.2">
      <c r="M111" s="227"/>
      <c r="N111" s="227"/>
      <c r="O111" s="475"/>
      <c r="P111" s="227"/>
      <c r="Q111" s="227"/>
    </row>
    <row r="112" spans="13:17" x14ac:dyDescent="0.2">
      <c r="M112" s="227"/>
      <c r="N112" s="227"/>
      <c r="O112" s="475"/>
      <c r="P112" s="227"/>
      <c r="Q112" s="227"/>
    </row>
    <row r="113" spans="13:17" x14ac:dyDescent="0.2">
      <c r="M113" s="227"/>
      <c r="N113" s="227"/>
      <c r="O113" s="475"/>
      <c r="P113" s="227"/>
      <c r="Q113" s="227"/>
    </row>
    <row r="114" spans="13:17" x14ac:dyDescent="0.2">
      <c r="M114" s="227"/>
      <c r="N114" s="227"/>
      <c r="O114" s="475"/>
      <c r="P114" s="227"/>
      <c r="Q114" s="227"/>
    </row>
    <row r="115" spans="13:17" x14ac:dyDescent="0.2">
      <c r="M115" s="227"/>
      <c r="N115" s="227"/>
      <c r="O115" s="475"/>
      <c r="P115" s="227"/>
      <c r="Q115" s="227"/>
    </row>
    <row r="116" spans="13:17" x14ac:dyDescent="0.2">
      <c r="M116" s="227"/>
      <c r="N116" s="227"/>
      <c r="O116" s="475"/>
      <c r="P116" s="227"/>
      <c r="Q116" s="227"/>
    </row>
    <row r="117" spans="13:17" x14ac:dyDescent="0.2">
      <c r="M117" s="227"/>
      <c r="N117" s="227"/>
      <c r="O117" s="475"/>
      <c r="P117" s="227"/>
      <c r="Q117" s="227"/>
    </row>
    <row r="118" spans="13:17" x14ac:dyDescent="0.2">
      <c r="M118" s="227"/>
      <c r="N118" s="227"/>
      <c r="O118" s="475"/>
      <c r="P118" s="227"/>
      <c r="Q118" s="227"/>
    </row>
    <row r="119" spans="13:17" x14ac:dyDescent="0.2">
      <c r="M119" s="227"/>
      <c r="N119" s="227"/>
      <c r="O119" s="475"/>
      <c r="P119" s="227"/>
      <c r="Q119" s="227"/>
    </row>
    <row r="120" spans="13:17" x14ac:dyDescent="0.2">
      <c r="M120" s="227"/>
      <c r="N120" s="227"/>
      <c r="O120" s="475"/>
      <c r="P120" s="227"/>
      <c r="Q120" s="227"/>
    </row>
    <row r="121" spans="13:17" x14ac:dyDescent="0.2">
      <c r="M121" s="227"/>
      <c r="N121" s="227"/>
      <c r="O121" s="475"/>
      <c r="P121" s="227"/>
      <c r="Q121" s="227"/>
    </row>
    <row r="122" spans="13:17" x14ac:dyDescent="0.2">
      <c r="M122" s="227"/>
      <c r="N122" s="227"/>
      <c r="O122" s="475"/>
      <c r="P122" s="227"/>
      <c r="Q122" s="227"/>
    </row>
    <row r="123" spans="13:17" x14ac:dyDescent="0.2">
      <c r="M123" s="227"/>
      <c r="N123" s="227"/>
      <c r="O123" s="475"/>
      <c r="P123" s="227"/>
      <c r="Q123" s="227"/>
    </row>
    <row r="124" spans="13:17" x14ac:dyDescent="0.2">
      <c r="M124" s="227"/>
      <c r="N124" s="227"/>
      <c r="O124" s="475"/>
      <c r="P124" s="227"/>
      <c r="Q124" s="227"/>
    </row>
    <row r="125" spans="13:17" x14ac:dyDescent="0.2">
      <c r="M125" s="227"/>
      <c r="N125" s="227"/>
      <c r="O125" s="475"/>
      <c r="P125" s="227"/>
      <c r="Q125" s="227"/>
    </row>
    <row r="126" spans="13:17" x14ac:dyDescent="0.2">
      <c r="M126" s="227"/>
      <c r="N126" s="227"/>
      <c r="O126" s="475"/>
      <c r="P126" s="227"/>
      <c r="Q126" s="227"/>
    </row>
    <row r="127" spans="13:17" x14ac:dyDescent="0.2">
      <c r="M127" s="227"/>
      <c r="N127" s="227"/>
      <c r="O127" s="475"/>
      <c r="P127" s="227"/>
      <c r="Q127" s="227"/>
    </row>
    <row r="128" spans="13:17" x14ac:dyDescent="0.2">
      <c r="M128" s="227"/>
      <c r="N128" s="227"/>
      <c r="O128" s="475"/>
      <c r="P128" s="227"/>
      <c r="Q128" s="227"/>
    </row>
    <row r="129" spans="13:17" x14ac:dyDescent="0.2">
      <c r="M129" s="227"/>
      <c r="N129" s="227"/>
      <c r="O129" s="475"/>
      <c r="P129" s="227"/>
      <c r="Q129" s="227"/>
    </row>
    <row r="130" spans="13:17" x14ac:dyDescent="0.2">
      <c r="M130" s="227"/>
      <c r="N130" s="227"/>
      <c r="O130" s="475"/>
      <c r="P130" s="227"/>
      <c r="Q130" s="227"/>
    </row>
    <row r="131" spans="13:17" x14ac:dyDescent="0.2">
      <c r="M131" s="227"/>
      <c r="N131" s="227"/>
      <c r="O131" s="475"/>
      <c r="P131" s="227"/>
      <c r="Q131" s="227"/>
    </row>
    <row r="132" spans="13:17" x14ac:dyDescent="0.2">
      <c r="M132" s="227"/>
      <c r="N132" s="227"/>
      <c r="O132" s="475"/>
      <c r="P132" s="227"/>
      <c r="Q132" s="227"/>
    </row>
    <row r="133" spans="13:17" x14ac:dyDescent="0.2">
      <c r="M133" s="227"/>
      <c r="N133" s="227"/>
      <c r="O133" s="475"/>
      <c r="P133" s="227"/>
      <c r="Q133" s="227"/>
    </row>
    <row r="134" spans="13:17" x14ac:dyDescent="0.2">
      <c r="M134" s="227"/>
      <c r="N134" s="227"/>
      <c r="O134" s="475"/>
      <c r="P134" s="227"/>
      <c r="Q134" s="227"/>
    </row>
    <row r="135" spans="13:17" x14ac:dyDescent="0.2">
      <c r="M135" s="227"/>
      <c r="N135" s="227"/>
      <c r="O135" s="475"/>
      <c r="P135" s="227"/>
      <c r="Q135" s="227"/>
    </row>
    <row r="136" spans="13:17" x14ac:dyDescent="0.2">
      <c r="M136" s="227"/>
      <c r="N136" s="227"/>
      <c r="O136" s="475"/>
      <c r="P136" s="227"/>
      <c r="Q136" s="227"/>
    </row>
    <row r="137" spans="13:17" x14ac:dyDescent="0.2">
      <c r="M137" s="227"/>
      <c r="N137" s="227"/>
      <c r="O137" s="475"/>
      <c r="P137" s="227"/>
      <c r="Q137" s="227"/>
    </row>
    <row r="138" spans="13:17" x14ac:dyDescent="0.2">
      <c r="M138" s="227"/>
      <c r="N138" s="227"/>
      <c r="O138" s="475"/>
      <c r="P138" s="227"/>
      <c r="Q138" s="227"/>
    </row>
    <row r="139" spans="13:17" x14ac:dyDescent="0.2">
      <c r="M139" s="227"/>
      <c r="N139" s="227"/>
      <c r="O139" s="475"/>
      <c r="P139" s="227"/>
      <c r="Q139" s="227"/>
    </row>
    <row r="140" spans="13:17" x14ac:dyDescent="0.2">
      <c r="M140" s="227"/>
      <c r="N140" s="227"/>
      <c r="O140" s="475"/>
      <c r="P140" s="227"/>
      <c r="Q140" s="227"/>
    </row>
    <row r="141" spans="13:17" x14ac:dyDescent="0.2">
      <c r="M141" s="227"/>
      <c r="N141" s="227"/>
      <c r="O141" s="475"/>
      <c r="P141" s="227"/>
      <c r="Q141" s="227"/>
    </row>
    <row r="142" spans="13:17" x14ac:dyDescent="0.2">
      <c r="M142" s="227"/>
      <c r="N142" s="227"/>
      <c r="O142" s="475"/>
      <c r="P142" s="227"/>
      <c r="Q142" s="227"/>
    </row>
    <row r="143" spans="13:17" x14ac:dyDescent="0.2">
      <c r="M143" s="227"/>
      <c r="N143" s="227"/>
      <c r="O143" s="475"/>
      <c r="P143" s="227"/>
      <c r="Q143" s="227"/>
    </row>
    <row r="144" spans="13:17" x14ac:dyDescent="0.2">
      <c r="M144" s="227"/>
      <c r="N144" s="227"/>
      <c r="O144" s="475"/>
      <c r="P144" s="227"/>
      <c r="Q144" s="227"/>
    </row>
    <row r="145" spans="13:17" x14ac:dyDescent="0.2">
      <c r="M145" s="227"/>
      <c r="N145" s="227"/>
      <c r="O145" s="475"/>
      <c r="P145" s="227"/>
      <c r="Q145" s="227"/>
    </row>
    <row r="146" spans="13:17" x14ac:dyDescent="0.2">
      <c r="M146" s="227"/>
      <c r="N146" s="227"/>
      <c r="O146" s="475"/>
      <c r="P146" s="227"/>
      <c r="Q146" s="227"/>
    </row>
    <row r="147" spans="13:17" x14ac:dyDescent="0.2">
      <c r="M147" s="227"/>
      <c r="N147" s="227"/>
      <c r="O147" s="475"/>
      <c r="P147" s="227"/>
      <c r="Q147" s="227"/>
    </row>
    <row r="148" spans="13:17" x14ac:dyDescent="0.2">
      <c r="M148" s="227"/>
      <c r="N148" s="227"/>
      <c r="O148" s="475"/>
      <c r="P148" s="227"/>
      <c r="Q148" s="227"/>
    </row>
    <row r="149" spans="13:17" x14ac:dyDescent="0.2">
      <c r="M149" s="227"/>
      <c r="N149" s="227"/>
      <c r="O149" s="475"/>
      <c r="P149" s="227"/>
      <c r="Q149" s="227"/>
    </row>
    <row r="150" spans="13:17" x14ac:dyDescent="0.2">
      <c r="M150" s="227"/>
      <c r="N150" s="227"/>
      <c r="O150" s="475"/>
      <c r="P150" s="227"/>
      <c r="Q150" s="227"/>
    </row>
    <row r="151" spans="13:17" x14ac:dyDescent="0.2">
      <c r="M151" s="227"/>
      <c r="N151" s="227"/>
      <c r="O151" s="475"/>
      <c r="P151" s="227"/>
      <c r="Q151" s="227"/>
    </row>
    <row r="152" spans="13:17" x14ac:dyDescent="0.2">
      <c r="M152" s="227"/>
      <c r="N152" s="227"/>
      <c r="O152" s="475"/>
      <c r="P152" s="227"/>
      <c r="Q152" s="227"/>
    </row>
    <row r="153" spans="13:17" x14ac:dyDescent="0.2">
      <c r="M153" s="227"/>
      <c r="N153" s="227"/>
      <c r="O153" s="475"/>
      <c r="P153" s="227"/>
      <c r="Q153" s="227"/>
    </row>
    <row r="154" spans="13:17" x14ac:dyDescent="0.2">
      <c r="M154" s="227"/>
      <c r="N154" s="227"/>
      <c r="O154" s="475"/>
      <c r="P154" s="227"/>
      <c r="Q154" s="227"/>
    </row>
    <row r="155" spans="13:17" x14ac:dyDescent="0.2">
      <c r="M155" s="227"/>
      <c r="N155" s="227"/>
      <c r="O155" s="475"/>
      <c r="P155" s="227"/>
      <c r="Q155" s="227"/>
    </row>
    <row r="156" spans="13:17" x14ac:dyDescent="0.2">
      <c r="M156" s="227"/>
      <c r="N156" s="227"/>
      <c r="O156" s="475"/>
      <c r="P156" s="227"/>
      <c r="Q156" s="227"/>
    </row>
    <row r="157" spans="13:17" x14ac:dyDescent="0.2">
      <c r="M157" s="227"/>
      <c r="N157" s="227"/>
      <c r="O157" s="475"/>
      <c r="P157" s="227"/>
      <c r="Q157" s="227"/>
    </row>
    <row r="158" spans="13:17" x14ac:dyDescent="0.2">
      <c r="M158" s="227"/>
      <c r="N158" s="227"/>
      <c r="O158" s="475"/>
      <c r="P158" s="227"/>
      <c r="Q158" s="227"/>
    </row>
    <row r="159" spans="13:17" x14ac:dyDescent="0.2">
      <c r="M159" s="227"/>
      <c r="N159" s="227"/>
      <c r="O159" s="475"/>
      <c r="P159" s="227"/>
      <c r="Q159" s="227"/>
    </row>
    <row r="160" spans="13:17" x14ac:dyDescent="0.2">
      <c r="M160" s="227"/>
      <c r="N160" s="227"/>
      <c r="O160" s="475"/>
      <c r="P160" s="227"/>
      <c r="Q160" s="227"/>
    </row>
    <row r="161" spans="13:17" x14ac:dyDescent="0.2">
      <c r="M161" s="227"/>
      <c r="N161" s="227"/>
      <c r="O161" s="475"/>
      <c r="P161" s="227"/>
      <c r="Q161" s="227"/>
    </row>
    <row r="162" spans="13:17" x14ac:dyDescent="0.2">
      <c r="M162" s="227"/>
      <c r="N162" s="227"/>
      <c r="O162" s="475"/>
      <c r="P162" s="227"/>
      <c r="Q162" s="227"/>
    </row>
    <row r="163" spans="13:17" x14ac:dyDescent="0.2">
      <c r="M163" s="227"/>
      <c r="N163" s="227"/>
      <c r="O163" s="475"/>
      <c r="P163" s="227"/>
      <c r="Q163" s="227"/>
    </row>
    <row r="164" spans="13:17" x14ac:dyDescent="0.2">
      <c r="M164" s="227"/>
      <c r="N164" s="227"/>
      <c r="O164" s="475"/>
      <c r="P164" s="227"/>
      <c r="Q164" s="227"/>
    </row>
    <row r="165" spans="13:17" x14ac:dyDescent="0.2">
      <c r="M165" s="227"/>
      <c r="N165" s="227"/>
      <c r="O165" s="475"/>
      <c r="P165" s="227"/>
      <c r="Q165" s="227"/>
    </row>
    <row r="166" spans="13:17" x14ac:dyDescent="0.2">
      <c r="M166" s="227"/>
      <c r="N166" s="227"/>
      <c r="O166" s="475"/>
      <c r="P166" s="227"/>
      <c r="Q166" s="227"/>
    </row>
    <row r="167" spans="13:17" x14ac:dyDescent="0.2">
      <c r="M167" s="227"/>
      <c r="N167" s="227"/>
      <c r="O167" s="475"/>
      <c r="P167" s="227"/>
      <c r="Q167" s="227"/>
    </row>
    <row r="168" spans="13:17" x14ac:dyDescent="0.2">
      <c r="M168" s="227"/>
      <c r="N168" s="227"/>
      <c r="O168" s="475"/>
      <c r="P168" s="227"/>
      <c r="Q168" s="227"/>
    </row>
    <row r="169" spans="13:17" x14ac:dyDescent="0.2">
      <c r="M169" s="227"/>
      <c r="N169" s="227"/>
      <c r="O169" s="475"/>
      <c r="P169" s="227"/>
      <c r="Q169" s="227"/>
    </row>
    <row r="170" spans="13:17" x14ac:dyDescent="0.2">
      <c r="M170" s="227"/>
      <c r="N170" s="227"/>
      <c r="O170" s="475"/>
      <c r="P170" s="227"/>
      <c r="Q170" s="227"/>
    </row>
    <row r="171" spans="13:17" x14ac:dyDescent="0.2">
      <c r="M171" s="227"/>
      <c r="N171" s="227"/>
      <c r="O171" s="475"/>
      <c r="P171" s="227"/>
      <c r="Q171" s="227"/>
    </row>
    <row r="172" spans="13:17" x14ac:dyDescent="0.2">
      <c r="M172" s="227"/>
      <c r="N172" s="227"/>
      <c r="O172" s="475"/>
      <c r="P172" s="227"/>
      <c r="Q172" s="227"/>
    </row>
    <row r="173" spans="13:17" x14ac:dyDescent="0.2">
      <c r="M173" s="227"/>
      <c r="N173" s="227"/>
      <c r="O173" s="475"/>
      <c r="P173" s="227"/>
      <c r="Q173" s="227"/>
    </row>
    <row r="174" spans="13:17" x14ac:dyDescent="0.2">
      <c r="M174" s="227"/>
      <c r="N174" s="227"/>
      <c r="O174" s="475"/>
      <c r="P174" s="227"/>
      <c r="Q174" s="227"/>
    </row>
    <row r="175" spans="13:17" x14ac:dyDescent="0.2">
      <c r="M175" s="227"/>
      <c r="N175" s="227"/>
      <c r="O175" s="475"/>
      <c r="P175" s="227"/>
      <c r="Q175" s="227"/>
    </row>
    <row r="176" spans="13:17" x14ac:dyDescent="0.2">
      <c r="M176" s="227"/>
      <c r="N176" s="227"/>
      <c r="O176" s="475"/>
      <c r="P176" s="227"/>
      <c r="Q176" s="227"/>
    </row>
    <row r="177" spans="13:17" x14ac:dyDescent="0.2">
      <c r="M177" s="227"/>
      <c r="N177" s="227"/>
      <c r="O177" s="475"/>
      <c r="P177" s="227"/>
      <c r="Q177" s="227"/>
    </row>
    <row r="178" spans="13:17" x14ac:dyDescent="0.2">
      <c r="M178" s="227"/>
      <c r="N178" s="227"/>
      <c r="O178" s="475"/>
      <c r="P178" s="227"/>
      <c r="Q178" s="227"/>
    </row>
    <row r="179" spans="13:17" x14ac:dyDescent="0.2">
      <c r="M179" s="227"/>
      <c r="N179" s="227"/>
      <c r="O179" s="475"/>
      <c r="P179" s="227"/>
      <c r="Q179" s="227"/>
    </row>
    <row r="180" spans="13:17" x14ac:dyDescent="0.2">
      <c r="M180" s="227"/>
      <c r="N180" s="227"/>
      <c r="O180" s="475"/>
      <c r="P180" s="227"/>
      <c r="Q180" s="227"/>
    </row>
    <row r="181" spans="13:17" x14ac:dyDescent="0.2">
      <c r="M181" s="227"/>
      <c r="N181" s="227"/>
      <c r="O181" s="475"/>
      <c r="P181" s="227"/>
      <c r="Q181" s="227"/>
    </row>
    <row r="182" spans="13:17" x14ac:dyDescent="0.2">
      <c r="M182" s="227"/>
      <c r="N182" s="227"/>
      <c r="O182" s="475"/>
      <c r="P182" s="227"/>
      <c r="Q182" s="227"/>
    </row>
    <row r="183" spans="13:17" x14ac:dyDescent="0.2">
      <c r="M183" s="227"/>
      <c r="N183" s="227"/>
      <c r="O183" s="475"/>
      <c r="P183" s="227"/>
      <c r="Q183" s="227"/>
    </row>
    <row r="184" spans="13:17" x14ac:dyDescent="0.2">
      <c r="M184" s="227"/>
      <c r="N184" s="227"/>
      <c r="O184" s="475"/>
      <c r="P184" s="227"/>
      <c r="Q184" s="227"/>
    </row>
    <row r="185" spans="13:17" x14ac:dyDescent="0.2">
      <c r="M185" s="227"/>
      <c r="N185" s="227"/>
      <c r="O185" s="475"/>
      <c r="P185" s="227"/>
      <c r="Q185" s="227"/>
    </row>
    <row r="186" spans="13:17" x14ac:dyDescent="0.2">
      <c r="M186" s="227"/>
      <c r="N186" s="227"/>
      <c r="O186" s="475"/>
      <c r="P186" s="227"/>
      <c r="Q186" s="227"/>
    </row>
    <row r="187" spans="13:17" x14ac:dyDescent="0.2">
      <c r="M187" s="227"/>
      <c r="N187" s="227"/>
      <c r="O187" s="475"/>
      <c r="P187" s="227"/>
      <c r="Q187" s="227"/>
    </row>
    <row r="188" spans="13:17" x14ac:dyDescent="0.2">
      <c r="M188" s="227"/>
      <c r="N188" s="227"/>
      <c r="O188" s="475"/>
      <c r="P188" s="227"/>
      <c r="Q188" s="227"/>
    </row>
    <row r="189" spans="13:17" x14ac:dyDescent="0.2">
      <c r="M189" s="227"/>
      <c r="N189" s="227"/>
      <c r="O189" s="475"/>
      <c r="P189" s="227"/>
      <c r="Q189" s="227"/>
    </row>
    <row r="190" spans="13:17" x14ac:dyDescent="0.2">
      <c r="M190" s="227"/>
      <c r="N190" s="227"/>
      <c r="O190" s="475"/>
      <c r="P190" s="227"/>
      <c r="Q190" s="227"/>
    </row>
    <row r="191" spans="13:17" x14ac:dyDescent="0.2">
      <c r="M191" s="227"/>
      <c r="N191" s="227"/>
      <c r="O191" s="475"/>
      <c r="P191" s="227"/>
      <c r="Q191" s="227"/>
    </row>
    <row r="192" spans="13:17" x14ac:dyDescent="0.2">
      <c r="M192" s="227"/>
      <c r="N192" s="227"/>
      <c r="O192" s="475"/>
      <c r="P192" s="227"/>
      <c r="Q192" s="227"/>
    </row>
    <row r="193" spans="13:17" x14ac:dyDescent="0.2">
      <c r="M193" s="227"/>
      <c r="N193" s="227"/>
      <c r="O193" s="475"/>
      <c r="P193" s="227"/>
      <c r="Q193" s="227"/>
    </row>
    <row r="194" spans="13:17" x14ac:dyDescent="0.2">
      <c r="M194" s="227"/>
      <c r="N194" s="227"/>
      <c r="O194" s="475"/>
      <c r="P194" s="227"/>
      <c r="Q194" s="227"/>
    </row>
    <row r="195" spans="13:17" x14ac:dyDescent="0.2">
      <c r="M195" s="227"/>
      <c r="N195" s="227"/>
      <c r="O195" s="475"/>
      <c r="P195" s="227"/>
      <c r="Q195" s="227"/>
    </row>
    <row r="196" spans="13:17" x14ac:dyDescent="0.2">
      <c r="M196" s="227"/>
      <c r="N196" s="227"/>
      <c r="O196" s="475"/>
      <c r="P196" s="227"/>
      <c r="Q196" s="227"/>
    </row>
    <row r="197" spans="13:17" x14ac:dyDescent="0.2">
      <c r="M197" s="227"/>
      <c r="N197" s="227"/>
      <c r="O197" s="475"/>
      <c r="P197" s="227"/>
      <c r="Q197" s="227"/>
    </row>
    <row r="198" spans="13:17" x14ac:dyDescent="0.2">
      <c r="M198" s="227"/>
      <c r="N198" s="227"/>
      <c r="O198" s="475"/>
      <c r="P198" s="227"/>
      <c r="Q198" s="227"/>
    </row>
    <row r="199" spans="13:17" x14ac:dyDescent="0.2">
      <c r="M199" s="227"/>
      <c r="N199" s="227"/>
      <c r="O199" s="475"/>
      <c r="P199" s="227"/>
      <c r="Q199" s="227"/>
    </row>
    <row r="200" spans="13:17" x14ac:dyDescent="0.2">
      <c r="M200" s="227"/>
      <c r="N200" s="227"/>
      <c r="O200" s="475"/>
      <c r="P200" s="227"/>
      <c r="Q200" s="227"/>
    </row>
    <row r="201" spans="13:17" x14ac:dyDescent="0.2">
      <c r="M201" s="227"/>
      <c r="N201" s="227"/>
      <c r="O201" s="475"/>
      <c r="P201" s="227"/>
      <c r="Q201" s="227"/>
    </row>
    <row r="202" spans="13:17" x14ac:dyDescent="0.2">
      <c r="M202" s="227"/>
      <c r="N202" s="227"/>
      <c r="O202" s="475"/>
      <c r="P202" s="227"/>
      <c r="Q202" s="227"/>
    </row>
    <row r="203" spans="13:17" x14ac:dyDescent="0.2">
      <c r="M203" s="227"/>
      <c r="N203" s="227"/>
      <c r="O203" s="475"/>
      <c r="P203" s="227"/>
      <c r="Q203" s="227"/>
    </row>
    <row r="204" spans="13:17" x14ac:dyDescent="0.2">
      <c r="M204" s="227"/>
      <c r="N204" s="227"/>
      <c r="O204" s="475"/>
      <c r="P204" s="227"/>
      <c r="Q204" s="227"/>
    </row>
    <row r="205" spans="13:17" x14ac:dyDescent="0.2">
      <c r="M205" s="227"/>
      <c r="N205" s="227"/>
      <c r="O205" s="475"/>
      <c r="P205" s="227"/>
      <c r="Q205" s="227"/>
    </row>
    <row r="206" spans="13:17" x14ac:dyDescent="0.2">
      <c r="M206" s="227"/>
      <c r="N206" s="227"/>
      <c r="O206" s="475"/>
      <c r="P206" s="227"/>
      <c r="Q206" s="227"/>
    </row>
    <row r="207" spans="13:17" x14ac:dyDescent="0.2">
      <c r="M207" s="227"/>
      <c r="N207" s="227"/>
      <c r="O207" s="475"/>
      <c r="P207" s="227"/>
      <c r="Q207" s="227"/>
    </row>
    <row r="208" spans="13:17" x14ac:dyDescent="0.2">
      <c r="M208" s="227"/>
      <c r="N208" s="227"/>
      <c r="O208" s="475"/>
      <c r="P208" s="227"/>
      <c r="Q208" s="227"/>
    </row>
    <row r="209" spans="13:17" x14ac:dyDescent="0.2">
      <c r="M209" s="227"/>
      <c r="N209" s="227"/>
      <c r="O209" s="475"/>
      <c r="P209" s="227"/>
      <c r="Q209" s="227"/>
    </row>
    <row r="210" spans="13:17" x14ac:dyDescent="0.2">
      <c r="M210" s="227"/>
      <c r="N210" s="227"/>
      <c r="O210" s="475"/>
      <c r="P210" s="227"/>
      <c r="Q210" s="227"/>
    </row>
    <row r="211" spans="13:17" x14ac:dyDescent="0.2">
      <c r="M211" s="227"/>
      <c r="N211" s="227"/>
      <c r="O211" s="475"/>
      <c r="P211" s="227"/>
      <c r="Q211" s="227"/>
    </row>
    <row r="212" spans="13:17" x14ac:dyDescent="0.2">
      <c r="M212" s="227"/>
      <c r="N212" s="227"/>
      <c r="O212" s="475"/>
      <c r="P212" s="227"/>
      <c r="Q212" s="227"/>
    </row>
    <row r="213" spans="13:17" x14ac:dyDescent="0.2">
      <c r="M213" s="227"/>
      <c r="N213" s="227"/>
      <c r="O213" s="475"/>
      <c r="P213" s="227"/>
      <c r="Q213" s="227"/>
    </row>
    <row r="214" spans="13:17" x14ac:dyDescent="0.2">
      <c r="M214" s="227"/>
      <c r="N214" s="227"/>
      <c r="O214" s="475"/>
      <c r="P214" s="227"/>
      <c r="Q214" s="227"/>
    </row>
    <row r="215" spans="13:17" x14ac:dyDescent="0.2">
      <c r="M215" s="227"/>
      <c r="N215" s="227"/>
      <c r="O215" s="475"/>
      <c r="P215" s="227"/>
      <c r="Q215" s="227"/>
    </row>
    <row r="216" spans="13:17" x14ac:dyDescent="0.2">
      <c r="M216" s="227"/>
      <c r="N216" s="227"/>
      <c r="O216" s="475"/>
      <c r="P216" s="227"/>
      <c r="Q216" s="227"/>
    </row>
    <row r="217" spans="13:17" x14ac:dyDescent="0.2">
      <c r="M217" s="227"/>
      <c r="N217" s="227"/>
      <c r="O217" s="475"/>
      <c r="P217" s="227"/>
      <c r="Q217" s="227"/>
    </row>
    <row r="218" spans="13:17" x14ac:dyDescent="0.2">
      <c r="M218" s="227"/>
      <c r="N218" s="227"/>
      <c r="O218" s="475"/>
      <c r="P218" s="227"/>
      <c r="Q218" s="227"/>
    </row>
    <row r="219" spans="13:17" x14ac:dyDescent="0.2">
      <c r="M219" s="227"/>
      <c r="N219" s="227"/>
      <c r="O219" s="475"/>
      <c r="P219" s="227"/>
      <c r="Q219" s="227"/>
    </row>
    <row r="220" spans="13:17" x14ac:dyDescent="0.2">
      <c r="M220" s="227"/>
      <c r="N220" s="227"/>
      <c r="O220" s="475"/>
      <c r="P220" s="227"/>
      <c r="Q220" s="227"/>
    </row>
    <row r="221" spans="13:17" x14ac:dyDescent="0.2">
      <c r="M221" s="227"/>
      <c r="N221" s="227"/>
      <c r="O221" s="475"/>
      <c r="P221" s="227"/>
      <c r="Q221" s="227"/>
    </row>
    <row r="222" spans="13:17" x14ac:dyDescent="0.2">
      <c r="M222" s="227"/>
      <c r="N222" s="227"/>
      <c r="O222" s="475"/>
      <c r="P222" s="227"/>
      <c r="Q222" s="227"/>
    </row>
    <row r="223" spans="13:17" x14ac:dyDescent="0.2">
      <c r="M223" s="227"/>
      <c r="N223" s="227"/>
      <c r="O223" s="475"/>
      <c r="P223" s="227"/>
      <c r="Q223" s="227"/>
    </row>
    <row r="224" spans="13:17" x14ac:dyDescent="0.2">
      <c r="M224" s="227"/>
      <c r="N224" s="227"/>
      <c r="O224" s="475"/>
      <c r="P224" s="227"/>
      <c r="Q224" s="227"/>
    </row>
    <row r="225" spans="13:17" x14ac:dyDescent="0.2">
      <c r="M225" s="227"/>
      <c r="N225" s="227"/>
      <c r="O225" s="475"/>
      <c r="P225" s="227"/>
      <c r="Q225" s="227"/>
    </row>
    <row r="226" spans="13:17" x14ac:dyDescent="0.2">
      <c r="M226" s="227"/>
      <c r="N226" s="227"/>
      <c r="O226" s="475"/>
      <c r="P226" s="227"/>
      <c r="Q226" s="227"/>
    </row>
    <row r="227" spans="13:17" x14ac:dyDescent="0.2">
      <c r="M227" s="227"/>
      <c r="N227" s="227"/>
      <c r="O227" s="475"/>
      <c r="P227" s="227"/>
      <c r="Q227" s="227"/>
    </row>
    <row r="228" spans="13:17" x14ac:dyDescent="0.2">
      <c r="M228" s="227"/>
      <c r="N228" s="227"/>
      <c r="O228" s="475"/>
      <c r="P228" s="227"/>
      <c r="Q228" s="227"/>
    </row>
    <row r="229" spans="13:17" x14ac:dyDescent="0.2">
      <c r="M229" s="227"/>
      <c r="N229" s="227"/>
      <c r="O229" s="475"/>
      <c r="P229" s="227"/>
      <c r="Q229" s="227"/>
    </row>
    <row r="230" spans="13:17" x14ac:dyDescent="0.2">
      <c r="M230" s="227"/>
      <c r="N230" s="227"/>
      <c r="O230" s="475"/>
      <c r="P230" s="227"/>
      <c r="Q230" s="227"/>
    </row>
    <row r="231" spans="13:17" x14ac:dyDescent="0.2">
      <c r="M231" s="227"/>
      <c r="N231" s="227"/>
      <c r="O231" s="475"/>
      <c r="P231" s="227"/>
      <c r="Q231" s="227"/>
    </row>
    <row r="232" spans="13:17" x14ac:dyDescent="0.2">
      <c r="M232" s="227"/>
      <c r="N232" s="227"/>
      <c r="O232" s="475"/>
      <c r="P232" s="227"/>
      <c r="Q232" s="227"/>
    </row>
    <row r="233" spans="13:17" x14ac:dyDescent="0.2">
      <c r="M233" s="227"/>
      <c r="N233" s="227"/>
      <c r="O233" s="475"/>
      <c r="P233" s="227"/>
      <c r="Q233" s="227"/>
    </row>
    <row r="234" spans="13:17" x14ac:dyDescent="0.2">
      <c r="M234" s="227"/>
      <c r="N234" s="227"/>
      <c r="O234" s="475"/>
      <c r="P234" s="227"/>
      <c r="Q234" s="227"/>
    </row>
    <row r="235" spans="13:17" x14ac:dyDescent="0.2">
      <c r="M235" s="227"/>
      <c r="N235" s="227"/>
      <c r="O235" s="475"/>
      <c r="P235" s="227"/>
      <c r="Q235" s="227"/>
    </row>
    <row r="236" spans="13:17" x14ac:dyDescent="0.2">
      <c r="M236" s="227"/>
      <c r="N236" s="227"/>
      <c r="O236" s="475"/>
      <c r="P236" s="227"/>
      <c r="Q236" s="227"/>
    </row>
    <row r="237" spans="13:17" x14ac:dyDescent="0.2">
      <c r="M237" s="227"/>
      <c r="N237" s="227"/>
      <c r="O237" s="475"/>
      <c r="P237" s="227"/>
      <c r="Q237" s="227"/>
    </row>
    <row r="238" spans="13:17" x14ac:dyDescent="0.2">
      <c r="M238" s="227"/>
      <c r="N238" s="227"/>
      <c r="O238" s="475"/>
      <c r="P238" s="227"/>
      <c r="Q238" s="227"/>
    </row>
    <row r="239" spans="13:17" x14ac:dyDescent="0.2">
      <c r="M239" s="227"/>
      <c r="N239" s="227"/>
      <c r="O239" s="475"/>
      <c r="P239" s="227"/>
      <c r="Q239" s="227"/>
    </row>
    <row r="240" spans="13:17" x14ac:dyDescent="0.2">
      <c r="M240" s="227"/>
      <c r="N240" s="227"/>
      <c r="O240" s="475"/>
      <c r="P240" s="227"/>
      <c r="Q240" s="227"/>
    </row>
    <row r="241" spans="13:17" x14ac:dyDescent="0.2">
      <c r="M241" s="227"/>
      <c r="N241" s="227"/>
      <c r="O241" s="475"/>
      <c r="P241" s="227"/>
      <c r="Q241" s="227"/>
    </row>
    <row r="242" spans="13:17" x14ac:dyDescent="0.2">
      <c r="M242" s="227"/>
      <c r="N242" s="227"/>
      <c r="O242" s="475"/>
      <c r="P242" s="227"/>
      <c r="Q242" s="227"/>
    </row>
    <row r="243" spans="13:17" x14ac:dyDescent="0.2">
      <c r="M243" s="227"/>
      <c r="N243" s="227"/>
      <c r="O243" s="475"/>
      <c r="P243" s="227"/>
      <c r="Q243" s="227"/>
    </row>
    <row r="244" spans="13:17" x14ac:dyDescent="0.2">
      <c r="M244" s="227"/>
      <c r="N244" s="227"/>
      <c r="O244" s="475"/>
      <c r="P244" s="227"/>
      <c r="Q244" s="227"/>
    </row>
    <row r="245" spans="13:17" x14ac:dyDescent="0.2">
      <c r="M245" s="227"/>
      <c r="N245" s="227"/>
      <c r="O245" s="475"/>
      <c r="P245" s="227"/>
      <c r="Q245" s="227"/>
    </row>
    <row r="246" spans="13:17" x14ac:dyDescent="0.2">
      <c r="M246" s="227"/>
      <c r="N246" s="227"/>
      <c r="O246" s="475"/>
      <c r="P246" s="227"/>
      <c r="Q246" s="227"/>
    </row>
    <row r="247" spans="13:17" x14ac:dyDescent="0.2">
      <c r="M247" s="227"/>
      <c r="N247" s="227"/>
      <c r="O247" s="475"/>
      <c r="P247" s="227"/>
      <c r="Q247" s="227"/>
    </row>
    <row r="248" spans="13:17" x14ac:dyDescent="0.2">
      <c r="M248" s="227"/>
      <c r="N248" s="227"/>
      <c r="O248" s="475"/>
      <c r="P248" s="227"/>
      <c r="Q248" s="227"/>
    </row>
    <row r="249" spans="13:17" x14ac:dyDescent="0.2">
      <c r="M249" s="227"/>
      <c r="N249" s="227"/>
      <c r="O249" s="475"/>
      <c r="P249" s="227"/>
      <c r="Q249" s="227"/>
    </row>
    <row r="250" spans="13:17" x14ac:dyDescent="0.2">
      <c r="M250" s="227"/>
      <c r="N250" s="227"/>
      <c r="O250" s="475"/>
      <c r="P250" s="227"/>
      <c r="Q250" s="227"/>
    </row>
    <row r="251" spans="13:17" x14ac:dyDescent="0.2">
      <c r="M251" s="227"/>
      <c r="N251" s="227"/>
      <c r="O251" s="475"/>
      <c r="P251" s="227"/>
      <c r="Q251" s="227"/>
    </row>
    <row r="252" spans="13:17" x14ac:dyDescent="0.2">
      <c r="M252" s="227"/>
      <c r="N252" s="227"/>
      <c r="O252" s="475"/>
      <c r="P252" s="227"/>
      <c r="Q252" s="227"/>
    </row>
    <row r="253" spans="13:17" x14ac:dyDescent="0.2">
      <c r="M253" s="227"/>
      <c r="N253" s="227"/>
      <c r="O253" s="475"/>
      <c r="P253" s="227"/>
      <c r="Q253" s="227"/>
    </row>
    <row r="254" spans="13:17" x14ac:dyDescent="0.2">
      <c r="M254" s="227"/>
      <c r="N254" s="227"/>
      <c r="O254" s="475"/>
      <c r="P254" s="227"/>
      <c r="Q254" s="227"/>
    </row>
    <row r="255" spans="13:17" x14ac:dyDescent="0.2">
      <c r="M255" s="227"/>
      <c r="N255" s="227"/>
      <c r="O255" s="475"/>
      <c r="P255" s="227"/>
      <c r="Q255" s="227"/>
    </row>
    <row r="256" spans="13:17" x14ac:dyDescent="0.2">
      <c r="M256" s="227"/>
      <c r="N256" s="227"/>
      <c r="O256" s="475"/>
      <c r="P256" s="227"/>
      <c r="Q256" s="227"/>
    </row>
    <row r="257" spans="13:17" x14ac:dyDescent="0.2">
      <c r="M257" s="227"/>
      <c r="N257" s="227"/>
      <c r="O257" s="475"/>
      <c r="P257" s="227"/>
      <c r="Q257" s="227"/>
    </row>
    <row r="258" spans="13:17" x14ac:dyDescent="0.2">
      <c r="M258" s="227"/>
      <c r="N258" s="227"/>
      <c r="O258" s="475"/>
      <c r="P258" s="227"/>
      <c r="Q258" s="227"/>
    </row>
    <row r="259" spans="13:17" x14ac:dyDescent="0.2">
      <c r="M259" s="227"/>
      <c r="N259" s="227"/>
      <c r="O259" s="475"/>
      <c r="P259" s="227"/>
      <c r="Q259" s="227"/>
    </row>
    <row r="260" spans="13:17" x14ac:dyDescent="0.2">
      <c r="M260" s="227"/>
      <c r="N260" s="227"/>
      <c r="O260" s="475"/>
      <c r="P260" s="227"/>
      <c r="Q260" s="227"/>
    </row>
    <row r="261" spans="13:17" x14ac:dyDescent="0.2">
      <c r="M261" s="227"/>
      <c r="N261" s="227"/>
      <c r="O261" s="475"/>
      <c r="P261" s="227"/>
      <c r="Q261" s="227"/>
    </row>
    <row r="262" spans="13:17" x14ac:dyDescent="0.2">
      <c r="M262" s="227"/>
      <c r="N262" s="227"/>
      <c r="O262" s="475"/>
      <c r="P262" s="227"/>
      <c r="Q262" s="227"/>
    </row>
    <row r="263" spans="13:17" x14ac:dyDescent="0.2">
      <c r="M263" s="227"/>
      <c r="N263" s="227"/>
      <c r="O263" s="475"/>
      <c r="P263" s="227"/>
      <c r="Q263" s="227"/>
    </row>
    <row r="264" spans="13:17" x14ac:dyDescent="0.2">
      <c r="M264" s="227"/>
      <c r="N264" s="227"/>
      <c r="O264" s="475"/>
      <c r="P264" s="227"/>
      <c r="Q264" s="227"/>
    </row>
    <row r="265" spans="13:17" x14ac:dyDescent="0.2">
      <c r="M265" s="227"/>
      <c r="N265" s="227"/>
      <c r="O265" s="475"/>
      <c r="P265" s="227"/>
      <c r="Q265" s="227"/>
    </row>
    <row r="266" spans="13:17" x14ac:dyDescent="0.2">
      <c r="M266" s="227"/>
      <c r="N266" s="227"/>
      <c r="O266" s="475"/>
      <c r="P266" s="227"/>
      <c r="Q266" s="227"/>
    </row>
    <row r="267" spans="13:17" x14ac:dyDescent="0.2">
      <c r="M267" s="227"/>
      <c r="N267" s="227"/>
      <c r="O267" s="475"/>
      <c r="P267" s="227"/>
      <c r="Q267" s="227"/>
    </row>
    <row r="268" spans="13:17" x14ac:dyDescent="0.2">
      <c r="M268" s="227"/>
      <c r="N268" s="227"/>
      <c r="O268" s="475"/>
      <c r="P268" s="227"/>
      <c r="Q268" s="227"/>
    </row>
    <row r="269" spans="13:17" x14ac:dyDescent="0.2">
      <c r="M269" s="227"/>
      <c r="N269" s="227"/>
      <c r="O269" s="475"/>
      <c r="P269" s="227"/>
      <c r="Q269" s="227"/>
    </row>
    <row r="270" spans="13:17" x14ac:dyDescent="0.2">
      <c r="M270" s="227"/>
      <c r="N270" s="227"/>
      <c r="O270" s="475"/>
      <c r="P270" s="227"/>
      <c r="Q270" s="227"/>
    </row>
    <row r="271" spans="13:17" x14ac:dyDescent="0.2">
      <c r="M271" s="227"/>
      <c r="N271" s="227"/>
      <c r="O271" s="475"/>
      <c r="P271" s="227"/>
      <c r="Q271" s="227"/>
    </row>
    <row r="272" spans="13:17" x14ac:dyDescent="0.2">
      <c r="M272" s="227"/>
      <c r="N272" s="227"/>
      <c r="O272" s="475"/>
      <c r="P272" s="227"/>
      <c r="Q272" s="227"/>
    </row>
    <row r="273" spans="13:17" x14ac:dyDescent="0.2">
      <c r="M273" s="227"/>
      <c r="N273" s="227"/>
      <c r="O273" s="475"/>
      <c r="P273" s="227"/>
      <c r="Q273" s="227"/>
    </row>
    <row r="274" spans="13:17" x14ac:dyDescent="0.2">
      <c r="M274" s="227"/>
      <c r="N274" s="227"/>
      <c r="O274" s="475"/>
      <c r="P274" s="227"/>
      <c r="Q274" s="227"/>
    </row>
    <row r="275" spans="13:17" x14ac:dyDescent="0.2">
      <c r="M275" s="227"/>
      <c r="N275" s="227"/>
      <c r="O275" s="475"/>
      <c r="P275" s="227"/>
      <c r="Q275" s="227"/>
    </row>
    <row r="276" spans="13:17" x14ac:dyDescent="0.2">
      <c r="M276" s="227"/>
      <c r="N276" s="227"/>
      <c r="O276" s="475"/>
      <c r="P276" s="227"/>
      <c r="Q276" s="227"/>
    </row>
    <row r="277" spans="13:17" x14ac:dyDescent="0.2">
      <c r="M277" s="227"/>
      <c r="N277" s="227"/>
      <c r="O277" s="475"/>
      <c r="P277" s="227"/>
      <c r="Q277" s="227"/>
    </row>
    <row r="278" spans="13:17" x14ac:dyDescent="0.2">
      <c r="M278" s="227"/>
      <c r="N278" s="227"/>
      <c r="O278" s="475"/>
      <c r="P278" s="227"/>
      <c r="Q278" s="227"/>
    </row>
    <row r="279" spans="13:17" x14ac:dyDescent="0.2">
      <c r="M279" s="227"/>
      <c r="N279" s="227"/>
      <c r="O279" s="475"/>
      <c r="P279" s="227"/>
      <c r="Q279" s="227"/>
    </row>
    <row r="280" spans="13:17" x14ac:dyDescent="0.2">
      <c r="M280" s="227"/>
      <c r="N280" s="227"/>
      <c r="O280" s="475"/>
      <c r="P280" s="227"/>
      <c r="Q280" s="227"/>
    </row>
    <row r="281" spans="13:17" x14ac:dyDescent="0.2">
      <c r="M281" s="227"/>
      <c r="N281" s="227"/>
      <c r="O281" s="475"/>
      <c r="P281" s="227"/>
      <c r="Q281" s="227"/>
    </row>
    <row r="282" spans="13:17" x14ac:dyDescent="0.2">
      <c r="M282" s="227"/>
      <c r="N282" s="227"/>
      <c r="O282" s="475"/>
      <c r="P282" s="227"/>
      <c r="Q282" s="227"/>
    </row>
    <row r="283" spans="13:17" x14ac:dyDescent="0.2">
      <c r="M283" s="227"/>
      <c r="N283" s="227"/>
      <c r="O283" s="475"/>
      <c r="P283" s="227"/>
      <c r="Q283" s="227"/>
    </row>
    <row r="284" spans="13:17" x14ac:dyDescent="0.2">
      <c r="M284" s="227"/>
      <c r="N284" s="227"/>
      <c r="O284" s="475"/>
      <c r="P284" s="227"/>
      <c r="Q284" s="227"/>
    </row>
    <row r="285" spans="13:17" x14ac:dyDescent="0.2">
      <c r="M285" s="227"/>
      <c r="N285" s="227"/>
      <c r="O285" s="475"/>
      <c r="P285" s="227"/>
      <c r="Q285" s="227"/>
    </row>
    <row r="286" spans="13:17" x14ac:dyDescent="0.2">
      <c r="M286" s="227"/>
      <c r="N286" s="227"/>
      <c r="O286" s="475"/>
      <c r="P286" s="227"/>
      <c r="Q286" s="227"/>
    </row>
    <row r="287" spans="13:17" x14ac:dyDescent="0.2">
      <c r="M287" s="227"/>
      <c r="N287" s="227"/>
      <c r="O287" s="475"/>
      <c r="P287" s="227"/>
      <c r="Q287" s="227"/>
    </row>
    <row r="288" spans="13:17" x14ac:dyDescent="0.2">
      <c r="M288" s="227"/>
      <c r="N288" s="227"/>
      <c r="O288" s="475"/>
      <c r="P288" s="227"/>
      <c r="Q288" s="227"/>
    </row>
    <row r="289" spans="13:17" x14ac:dyDescent="0.2">
      <c r="M289" s="227"/>
      <c r="N289" s="227"/>
      <c r="O289" s="475"/>
      <c r="P289" s="227"/>
      <c r="Q289" s="227"/>
    </row>
    <row r="290" spans="13:17" x14ac:dyDescent="0.2">
      <c r="M290" s="227"/>
      <c r="N290" s="227"/>
      <c r="O290" s="475"/>
      <c r="P290" s="227"/>
      <c r="Q290" s="227"/>
    </row>
    <row r="291" spans="13:17" x14ac:dyDescent="0.2">
      <c r="M291" s="227"/>
      <c r="N291" s="227"/>
      <c r="O291" s="475"/>
      <c r="P291" s="227"/>
      <c r="Q291" s="227"/>
    </row>
    <row r="292" spans="13:17" x14ac:dyDescent="0.2">
      <c r="M292" s="227"/>
      <c r="N292" s="227"/>
      <c r="O292" s="475"/>
      <c r="P292" s="227"/>
      <c r="Q292" s="227"/>
    </row>
    <row r="293" spans="13:17" x14ac:dyDescent="0.2">
      <c r="M293" s="227"/>
      <c r="N293" s="227"/>
      <c r="O293" s="475"/>
      <c r="P293" s="227"/>
      <c r="Q293" s="227"/>
    </row>
    <row r="294" spans="13:17" x14ac:dyDescent="0.2">
      <c r="M294" s="227"/>
      <c r="N294" s="227"/>
      <c r="O294" s="475"/>
      <c r="P294" s="227"/>
      <c r="Q294" s="227"/>
    </row>
    <row r="295" spans="13:17" x14ac:dyDescent="0.2">
      <c r="M295" s="227"/>
      <c r="N295" s="227"/>
      <c r="O295" s="475"/>
      <c r="P295" s="227"/>
      <c r="Q295" s="227"/>
    </row>
    <row r="296" spans="13:17" x14ac:dyDescent="0.2">
      <c r="M296" s="227"/>
      <c r="N296" s="227"/>
      <c r="O296" s="475"/>
      <c r="P296" s="227"/>
      <c r="Q296" s="227"/>
    </row>
    <row r="297" spans="13:17" x14ac:dyDescent="0.2">
      <c r="M297" s="227"/>
      <c r="N297" s="227"/>
      <c r="O297" s="475"/>
      <c r="P297" s="227"/>
      <c r="Q297" s="227"/>
    </row>
    <row r="298" spans="13:17" x14ac:dyDescent="0.2">
      <c r="M298" s="227"/>
      <c r="N298" s="227"/>
      <c r="O298" s="475"/>
      <c r="P298" s="227"/>
      <c r="Q298" s="227"/>
    </row>
    <row r="299" spans="13:17" x14ac:dyDescent="0.2">
      <c r="M299" s="227"/>
      <c r="N299" s="227"/>
      <c r="O299" s="475"/>
      <c r="P299" s="227"/>
      <c r="Q299" s="227"/>
    </row>
    <row r="300" spans="13:17" x14ac:dyDescent="0.2">
      <c r="M300" s="227"/>
      <c r="N300" s="227"/>
      <c r="O300" s="475"/>
      <c r="P300" s="227"/>
      <c r="Q300" s="227"/>
    </row>
    <row r="301" spans="13:17" x14ac:dyDescent="0.2">
      <c r="M301" s="227"/>
      <c r="N301" s="227"/>
      <c r="O301" s="475"/>
      <c r="P301" s="227"/>
      <c r="Q301" s="227"/>
    </row>
    <row r="302" spans="13:17" x14ac:dyDescent="0.2">
      <c r="M302" s="227"/>
      <c r="N302" s="227"/>
      <c r="O302" s="475"/>
      <c r="P302" s="227"/>
      <c r="Q302" s="227"/>
    </row>
    <row r="303" spans="13:17" x14ac:dyDescent="0.2">
      <c r="M303" s="227"/>
      <c r="N303" s="227"/>
      <c r="O303" s="475"/>
      <c r="P303" s="227"/>
      <c r="Q303" s="227"/>
    </row>
    <row r="304" spans="13:17" x14ac:dyDescent="0.2">
      <c r="M304" s="227"/>
      <c r="N304" s="227"/>
      <c r="O304" s="475"/>
      <c r="P304" s="227"/>
      <c r="Q304" s="227"/>
    </row>
    <row r="305" spans="13:17" x14ac:dyDescent="0.2">
      <c r="M305" s="227"/>
      <c r="N305" s="227"/>
      <c r="O305" s="475"/>
      <c r="P305" s="227"/>
      <c r="Q305" s="227"/>
    </row>
    <row r="306" spans="13:17" x14ac:dyDescent="0.2">
      <c r="M306" s="227"/>
      <c r="N306" s="227"/>
      <c r="O306" s="475"/>
      <c r="P306" s="227"/>
      <c r="Q306" s="227"/>
    </row>
    <row r="307" spans="13:17" x14ac:dyDescent="0.2">
      <c r="M307" s="227"/>
      <c r="N307" s="227"/>
      <c r="O307" s="475"/>
      <c r="P307" s="227"/>
      <c r="Q307" s="227"/>
    </row>
    <row r="308" spans="13:17" x14ac:dyDescent="0.2">
      <c r="M308" s="227"/>
      <c r="N308" s="227"/>
      <c r="O308" s="475"/>
      <c r="P308" s="227"/>
      <c r="Q308" s="227"/>
    </row>
    <row r="309" spans="13:17" x14ac:dyDescent="0.2">
      <c r="M309" s="227"/>
      <c r="N309" s="227"/>
      <c r="O309" s="475"/>
      <c r="P309" s="227"/>
      <c r="Q309" s="227"/>
    </row>
    <row r="310" spans="13:17" x14ac:dyDescent="0.2">
      <c r="M310" s="227"/>
      <c r="N310" s="227"/>
      <c r="O310" s="475"/>
      <c r="P310" s="227"/>
      <c r="Q310" s="227"/>
    </row>
    <row r="311" spans="13:17" x14ac:dyDescent="0.2">
      <c r="M311" s="227"/>
      <c r="N311" s="227"/>
      <c r="O311" s="475"/>
      <c r="P311" s="227"/>
      <c r="Q311" s="227"/>
    </row>
    <row r="312" spans="13:17" x14ac:dyDescent="0.2">
      <c r="M312" s="227"/>
      <c r="N312" s="227"/>
      <c r="O312" s="475"/>
      <c r="P312" s="227"/>
      <c r="Q312" s="227"/>
    </row>
    <row r="313" spans="13:17" x14ac:dyDescent="0.2">
      <c r="M313" s="227"/>
      <c r="N313" s="227"/>
      <c r="O313" s="475"/>
      <c r="P313" s="227"/>
      <c r="Q313" s="227"/>
    </row>
    <row r="314" spans="13:17" x14ac:dyDescent="0.2">
      <c r="M314" s="227"/>
      <c r="N314" s="227"/>
      <c r="O314" s="475"/>
      <c r="P314" s="227"/>
      <c r="Q314" s="227"/>
    </row>
    <row r="315" spans="13:17" x14ac:dyDescent="0.2">
      <c r="M315" s="227"/>
      <c r="N315" s="227"/>
      <c r="O315" s="475"/>
      <c r="P315" s="227"/>
      <c r="Q315" s="227"/>
    </row>
    <row r="316" spans="13:17" x14ac:dyDescent="0.2">
      <c r="M316" s="227"/>
      <c r="N316" s="227"/>
      <c r="O316" s="475"/>
      <c r="P316" s="227"/>
      <c r="Q316" s="227"/>
    </row>
    <row r="317" spans="13:17" x14ac:dyDescent="0.2">
      <c r="M317" s="227"/>
      <c r="N317" s="227"/>
      <c r="O317" s="475"/>
      <c r="P317" s="227"/>
      <c r="Q317" s="227"/>
    </row>
    <row r="318" spans="13:17" x14ac:dyDescent="0.2">
      <c r="M318" s="227"/>
      <c r="N318" s="227"/>
      <c r="O318" s="475"/>
      <c r="P318" s="227"/>
      <c r="Q318" s="227"/>
    </row>
    <row r="319" spans="13:17" x14ac:dyDescent="0.2">
      <c r="M319" s="227"/>
      <c r="N319" s="227"/>
      <c r="O319" s="475"/>
      <c r="P319" s="227"/>
      <c r="Q319" s="227"/>
    </row>
    <row r="320" spans="13:17" x14ac:dyDescent="0.2">
      <c r="M320" s="227"/>
      <c r="N320" s="227"/>
      <c r="O320" s="475"/>
      <c r="P320" s="227"/>
      <c r="Q320" s="227"/>
    </row>
    <row r="321" spans="13:17" x14ac:dyDescent="0.2">
      <c r="M321" s="227"/>
      <c r="N321" s="227"/>
      <c r="O321" s="475"/>
      <c r="P321" s="227"/>
      <c r="Q321" s="227"/>
    </row>
    <row r="322" spans="13:17" x14ac:dyDescent="0.2">
      <c r="M322" s="227"/>
      <c r="N322" s="227"/>
      <c r="O322" s="475"/>
      <c r="P322" s="227"/>
      <c r="Q322" s="227"/>
    </row>
    <row r="323" spans="13:17" x14ac:dyDescent="0.2">
      <c r="M323" s="227"/>
      <c r="N323" s="227"/>
      <c r="O323" s="475"/>
      <c r="P323" s="227"/>
      <c r="Q323" s="227"/>
    </row>
    <row r="324" spans="13:17" x14ac:dyDescent="0.2">
      <c r="M324" s="227"/>
      <c r="N324" s="227"/>
      <c r="O324" s="475"/>
      <c r="P324" s="227"/>
      <c r="Q324" s="227"/>
    </row>
    <row r="325" spans="13:17" x14ac:dyDescent="0.2">
      <c r="M325" s="227"/>
      <c r="N325" s="227"/>
      <c r="O325" s="475"/>
      <c r="P325" s="227"/>
      <c r="Q325" s="227"/>
    </row>
    <row r="326" spans="13:17" x14ac:dyDescent="0.2">
      <c r="M326" s="227"/>
      <c r="N326" s="227"/>
      <c r="O326" s="475"/>
      <c r="P326" s="227"/>
      <c r="Q326" s="227"/>
    </row>
    <row r="327" spans="13:17" x14ac:dyDescent="0.2">
      <c r="M327" s="227"/>
      <c r="N327" s="227"/>
      <c r="O327" s="475"/>
      <c r="P327" s="227"/>
      <c r="Q327" s="227"/>
    </row>
    <row r="328" spans="13:17" x14ac:dyDescent="0.2">
      <c r="M328" s="227"/>
      <c r="N328" s="227"/>
      <c r="O328" s="475"/>
      <c r="P328" s="227"/>
      <c r="Q328" s="227"/>
    </row>
    <row r="329" spans="13:17" x14ac:dyDescent="0.2">
      <c r="M329" s="227"/>
      <c r="N329" s="227"/>
      <c r="O329" s="475"/>
      <c r="P329" s="227"/>
      <c r="Q329" s="227"/>
    </row>
    <row r="330" spans="13:17" x14ac:dyDescent="0.2">
      <c r="M330" s="227"/>
      <c r="N330" s="227"/>
      <c r="O330" s="475"/>
      <c r="P330" s="227"/>
      <c r="Q330" s="227"/>
    </row>
    <row r="331" spans="13:17" x14ac:dyDescent="0.2">
      <c r="M331" s="227"/>
      <c r="N331" s="227"/>
      <c r="O331" s="475"/>
      <c r="P331" s="227"/>
      <c r="Q331" s="227"/>
    </row>
    <row r="332" spans="13:17" x14ac:dyDescent="0.2">
      <c r="M332" s="227"/>
      <c r="N332" s="227"/>
      <c r="O332" s="475"/>
      <c r="P332" s="227"/>
      <c r="Q332" s="227"/>
    </row>
    <row r="333" spans="13:17" x14ac:dyDescent="0.2">
      <c r="M333" s="227"/>
      <c r="N333" s="227"/>
      <c r="O333" s="475"/>
      <c r="P333" s="227"/>
      <c r="Q333" s="227"/>
    </row>
    <row r="334" spans="13:17" x14ac:dyDescent="0.2">
      <c r="M334" s="227"/>
      <c r="N334" s="227"/>
      <c r="O334" s="475"/>
      <c r="P334" s="227"/>
      <c r="Q334" s="227"/>
    </row>
    <row r="335" spans="13:17" x14ac:dyDescent="0.2">
      <c r="M335" s="227"/>
      <c r="N335" s="227"/>
      <c r="O335" s="475"/>
      <c r="P335" s="227"/>
      <c r="Q335" s="227"/>
    </row>
    <row r="336" spans="13:17" x14ac:dyDescent="0.2">
      <c r="M336" s="227"/>
      <c r="N336" s="227"/>
      <c r="O336" s="475"/>
      <c r="P336" s="227"/>
      <c r="Q336" s="227"/>
    </row>
    <row r="337" spans="13:17" x14ac:dyDescent="0.2">
      <c r="M337" s="227"/>
      <c r="N337" s="227"/>
      <c r="O337" s="475"/>
      <c r="P337" s="227"/>
      <c r="Q337" s="227"/>
    </row>
    <row r="338" spans="13:17" x14ac:dyDescent="0.2">
      <c r="M338" s="227"/>
      <c r="N338" s="227"/>
      <c r="O338" s="475"/>
      <c r="P338" s="227"/>
      <c r="Q338" s="227"/>
    </row>
    <row r="339" spans="13:17" x14ac:dyDescent="0.2">
      <c r="M339" s="227"/>
      <c r="N339" s="227"/>
      <c r="O339" s="475"/>
      <c r="P339" s="227"/>
      <c r="Q339" s="227"/>
    </row>
    <row r="340" spans="13:17" x14ac:dyDescent="0.2">
      <c r="M340" s="227"/>
      <c r="N340" s="227"/>
      <c r="O340" s="475"/>
      <c r="P340" s="227"/>
      <c r="Q340" s="227"/>
    </row>
    <row r="341" spans="13:17" x14ac:dyDescent="0.2">
      <c r="M341" s="227"/>
      <c r="N341" s="227"/>
      <c r="O341" s="475"/>
      <c r="P341" s="227"/>
      <c r="Q341" s="227"/>
    </row>
    <row r="342" spans="13:17" x14ac:dyDescent="0.2">
      <c r="M342" s="227"/>
      <c r="N342" s="227"/>
      <c r="O342" s="475"/>
      <c r="P342" s="227"/>
      <c r="Q342" s="227"/>
    </row>
    <row r="343" spans="13:17" x14ac:dyDescent="0.2">
      <c r="M343" s="227"/>
      <c r="N343" s="227"/>
      <c r="O343" s="475"/>
      <c r="P343" s="227"/>
      <c r="Q343" s="227"/>
    </row>
    <row r="344" spans="13:17" x14ac:dyDescent="0.2">
      <c r="M344" s="227"/>
      <c r="N344" s="227"/>
      <c r="O344" s="475"/>
      <c r="P344" s="227"/>
      <c r="Q344" s="227"/>
    </row>
    <row r="345" spans="13:17" x14ac:dyDescent="0.2">
      <c r="M345" s="227"/>
      <c r="N345" s="227"/>
      <c r="O345" s="475"/>
      <c r="P345" s="227"/>
      <c r="Q345" s="227"/>
    </row>
    <row r="346" spans="13:17" x14ac:dyDescent="0.2">
      <c r="M346" s="227"/>
      <c r="N346" s="227"/>
      <c r="O346" s="475"/>
      <c r="P346" s="227"/>
      <c r="Q346" s="227"/>
    </row>
    <row r="347" spans="13:17" x14ac:dyDescent="0.2">
      <c r="M347" s="227"/>
      <c r="N347" s="227"/>
      <c r="O347" s="475"/>
      <c r="P347" s="227"/>
      <c r="Q347" s="227"/>
    </row>
    <row r="348" spans="13:17" x14ac:dyDescent="0.2">
      <c r="M348" s="227"/>
      <c r="N348" s="227"/>
      <c r="O348" s="475"/>
      <c r="P348" s="227"/>
      <c r="Q348" s="227"/>
    </row>
    <row r="349" spans="13:17" x14ac:dyDescent="0.2">
      <c r="M349" s="227"/>
      <c r="N349" s="227"/>
      <c r="O349" s="475"/>
      <c r="P349" s="227"/>
      <c r="Q349" s="227"/>
    </row>
    <row r="350" spans="13:17" x14ac:dyDescent="0.2">
      <c r="M350" s="227"/>
      <c r="N350" s="227"/>
      <c r="O350" s="475"/>
      <c r="P350" s="227"/>
      <c r="Q350" s="227"/>
    </row>
    <row r="351" spans="13:17" x14ac:dyDescent="0.2">
      <c r="M351" s="227"/>
      <c r="N351" s="227"/>
      <c r="O351" s="475"/>
      <c r="P351" s="227"/>
      <c r="Q351" s="227"/>
    </row>
    <row r="352" spans="13:17" x14ac:dyDescent="0.2">
      <c r="M352" s="227"/>
      <c r="N352" s="227"/>
      <c r="O352" s="475"/>
      <c r="P352" s="227"/>
      <c r="Q352" s="227"/>
    </row>
    <row r="353" spans="13:17" x14ac:dyDescent="0.2">
      <c r="M353" s="227"/>
      <c r="N353" s="227"/>
      <c r="O353" s="475"/>
      <c r="P353" s="227"/>
      <c r="Q353" s="227"/>
    </row>
    <row r="354" spans="13:17" x14ac:dyDescent="0.2">
      <c r="M354" s="227"/>
      <c r="N354" s="227"/>
      <c r="O354" s="475"/>
      <c r="P354" s="227"/>
      <c r="Q354" s="227"/>
    </row>
    <row r="355" spans="13:17" x14ac:dyDescent="0.2">
      <c r="M355" s="227"/>
      <c r="N355" s="227"/>
      <c r="O355" s="475"/>
      <c r="P355" s="227"/>
      <c r="Q355" s="227"/>
    </row>
    <row r="356" spans="13:17" x14ac:dyDescent="0.2">
      <c r="M356" s="227"/>
      <c r="N356" s="227"/>
      <c r="O356" s="475"/>
      <c r="P356" s="227"/>
      <c r="Q356" s="227"/>
    </row>
    <row r="357" spans="13:17" x14ac:dyDescent="0.2">
      <c r="M357" s="227"/>
      <c r="N357" s="227"/>
      <c r="O357" s="475"/>
      <c r="P357" s="227"/>
      <c r="Q357" s="227"/>
    </row>
    <row r="358" spans="13:17" x14ac:dyDescent="0.2">
      <c r="M358" s="227"/>
      <c r="N358" s="227"/>
      <c r="O358" s="475"/>
      <c r="P358" s="227"/>
      <c r="Q358" s="227"/>
    </row>
    <row r="359" spans="13:17" x14ac:dyDescent="0.2">
      <c r="M359" s="227"/>
      <c r="N359" s="227"/>
      <c r="O359" s="475"/>
      <c r="P359" s="227"/>
      <c r="Q359" s="227"/>
    </row>
    <row r="360" spans="13:17" x14ac:dyDescent="0.2">
      <c r="M360" s="227"/>
      <c r="N360" s="227"/>
      <c r="O360" s="475"/>
      <c r="P360" s="227"/>
      <c r="Q360" s="227"/>
    </row>
    <row r="361" spans="13:17" x14ac:dyDescent="0.2">
      <c r="M361" s="227"/>
      <c r="N361" s="227"/>
      <c r="O361" s="475"/>
      <c r="P361" s="227"/>
      <c r="Q361" s="227"/>
    </row>
    <row r="362" spans="13:17" x14ac:dyDescent="0.2">
      <c r="M362" s="227"/>
      <c r="N362" s="227"/>
      <c r="O362" s="475"/>
      <c r="P362" s="227"/>
      <c r="Q362" s="227"/>
    </row>
    <row r="363" spans="13:17" x14ac:dyDescent="0.2">
      <c r="M363" s="227"/>
      <c r="N363" s="227"/>
      <c r="O363" s="475"/>
      <c r="P363" s="227"/>
      <c r="Q363" s="227"/>
    </row>
    <row r="364" spans="13:17" x14ac:dyDescent="0.2">
      <c r="M364" s="227"/>
      <c r="N364" s="227"/>
      <c r="O364" s="475"/>
      <c r="P364" s="227"/>
      <c r="Q364" s="227"/>
    </row>
    <row r="365" spans="13:17" x14ac:dyDescent="0.2">
      <c r="M365" s="227"/>
      <c r="N365" s="227"/>
      <c r="O365" s="475"/>
      <c r="P365" s="227"/>
      <c r="Q365" s="227"/>
    </row>
    <row r="366" spans="13:17" x14ac:dyDescent="0.2">
      <c r="M366" s="227"/>
      <c r="N366" s="227"/>
      <c r="O366" s="475"/>
      <c r="P366" s="227"/>
      <c r="Q366" s="227"/>
    </row>
    <row r="367" spans="13:17" x14ac:dyDescent="0.2">
      <c r="M367" s="227"/>
      <c r="N367" s="227"/>
      <c r="O367" s="475"/>
      <c r="P367" s="227"/>
      <c r="Q367" s="227"/>
    </row>
    <row r="368" spans="13:17" x14ac:dyDescent="0.2">
      <c r="M368" s="227"/>
      <c r="N368" s="227"/>
      <c r="O368" s="475"/>
      <c r="P368" s="227"/>
      <c r="Q368" s="227"/>
    </row>
    <row r="369" spans="13:17" x14ac:dyDescent="0.2">
      <c r="M369" s="227"/>
      <c r="N369" s="227"/>
      <c r="O369" s="475"/>
      <c r="P369" s="227"/>
      <c r="Q369" s="227"/>
    </row>
    <row r="370" spans="13:17" x14ac:dyDescent="0.2">
      <c r="M370" s="227"/>
      <c r="N370" s="227"/>
      <c r="O370" s="475"/>
      <c r="P370" s="227"/>
      <c r="Q370" s="227"/>
    </row>
    <row r="371" spans="13:17" x14ac:dyDescent="0.2">
      <c r="M371" s="227"/>
      <c r="N371" s="227"/>
      <c r="O371" s="475"/>
      <c r="P371" s="227"/>
      <c r="Q371" s="227"/>
    </row>
    <row r="372" spans="13:17" x14ac:dyDescent="0.2">
      <c r="M372" s="227"/>
      <c r="N372" s="227"/>
      <c r="O372" s="475"/>
      <c r="P372" s="227"/>
      <c r="Q372" s="227"/>
    </row>
    <row r="373" spans="13:17" x14ac:dyDescent="0.2">
      <c r="M373" s="227"/>
      <c r="N373" s="227"/>
      <c r="O373" s="475"/>
      <c r="P373" s="227"/>
      <c r="Q373" s="227"/>
    </row>
    <row r="374" spans="13:17" x14ac:dyDescent="0.2">
      <c r="M374" s="227"/>
      <c r="N374" s="227"/>
      <c r="O374" s="475"/>
      <c r="P374" s="227"/>
      <c r="Q374" s="227"/>
    </row>
    <row r="375" spans="13:17" x14ac:dyDescent="0.2">
      <c r="M375" s="227"/>
      <c r="N375" s="227"/>
      <c r="O375" s="475"/>
      <c r="P375" s="227"/>
      <c r="Q375" s="227"/>
    </row>
    <row r="376" spans="13:17" x14ac:dyDescent="0.2">
      <c r="M376" s="227"/>
      <c r="N376" s="227"/>
      <c r="O376" s="475"/>
      <c r="P376" s="227"/>
      <c r="Q376" s="227"/>
    </row>
    <row r="377" spans="13:17" x14ac:dyDescent="0.2">
      <c r="M377" s="227"/>
      <c r="N377" s="227"/>
      <c r="O377" s="475"/>
      <c r="P377" s="227"/>
      <c r="Q377" s="227"/>
    </row>
    <row r="378" spans="13:17" x14ac:dyDescent="0.2">
      <c r="M378" s="227"/>
      <c r="N378" s="227"/>
      <c r="O378" s="475"/>
      <c r="P378" s="227"/>
      <c r="Q378" s="227"/>
    </row>
    <row r="379" spans="13:17" x14ac:dyDescent="0.2">
      <c r="M379" s="227"/>
      <c r="N379" s="227"/>
      <c r="O379" s="475"/>
      <c r="P379" s="227"/>
      <c r="Q379" s="227"/>
    </row>
    <row r="380" spans="13:17" x14ac:dyDescent="0.2">
      <c r="M380" s="227"/>
      <c r="N380" s="227"/>
      <c r="O380" s="475"/>
      <c r="P380" s="227"/>
      <c r="Q380" s="227"/>
    </row>
    <row r="381" spans="13:17" x14ac:dyDescent="0.2">
      <c r="M381" s="227"/>
      <c r="N381" s="227"/>
      <c r="O381" s="475"/>
      <c r="P381" s="227"/>
      <c r="Q381" s="227"/>
    </row>
    <row r="382" spans="13:17" x14ac:dyDescent="0.2">
      <c r="M382" s="227"/>
      <c r="N382" s="227"/>
      <c r="O382" s="475"/>
      <c r="P382" s="227"/>
      <c r="Q382" s="227"/>
    </row>
    <row r="383" spans="13:17" x14ac:dyDescent="0.2">
      <c r="M383" s="227"/>
      <c r="N383" s="227"/>
      <c r="O383" s="475"/>
      <c r="P383" s="227"/>
      <c r="Q383" s="227"/>
    </row>
    <row r="384" spans="13:17" x14ac:dyDescent="0.2">
      <c r="M384" s="227"/>
      <c r="N384" s="227"/>
      <c r="O384" s="475"/>
      <c r="P384" s="227"/>
      <c r="Q384" s="227"/>
    </row>
    <row r="385" spans="13:17" x14ac:dyDescent="0.2">
      <c r="M385" s="227"/>
      <c r="N385" s="227"/>
      <c r="O385" s="475"/>
      <c r="P385" s="227"/>
      <c r="Q385" s="227"/>
    </row>
    <row r="386" spans="13:17" x14ac:dyDescent="0.2">
      <c r="M386" s="227"/>
      <c r="N386" s="227"/>
      <c r="O386" s="475"/>
      <c r="P386" s="227"/>
      <c r="Q386" s="227"/>
    </row>
    <row r="387" spans="13:17" x14ac:dyDescent="0.2">
      <c r="M387" s="227"/>
      <c r="N387" s="227"/>
      <c r="O387" s="475"/>
      <c r="P387" s="227"/>
      <c r="Q387" s="227"/>
    </row>
    <row r="388" spans="13:17" x14ac:dyDescent="0.2">
      <c r="M388" s="227"/>
      <c r="N388" s="227"/>
      <c r="O388" s="475"/>
      <c r="P388" s="227"/>
      <c r="Q388" s="227"/>
    </row>
    <row r="389" spans="13:17" x14ac:dyDescent="0.2">
      <c r="M389" s="227"/>
      <c r="N389" s="227"/>
      <c r="O389" s="475"/>
      <c r="P389" s="227"/>
      <c r="Q389" s="227"/>
    </row>
    <row r="390" spans="13:17" x14ac:dyDescent="0.2">
      <c r="M390" s="227"/>
      <c r="N390" s="227"/>
      <c r="O390" s="475"/>
      <c r="P390" s="227"/>
      <c r="Q390" s="227"/>
    </row>
    <row r="391" spans="13:17" x14ac:dyDescent="0.2">
      <c r="M391" s="227"/>
      <c r="N391" s="227"/>
      <c r="O391" s="475"/>
      <c r="P391" s="227"/>
      <c r="Q391" s="227"/>
    </row>
    <row r="392" spans="13:17" x14ac:dyDescent="0.2">
      <c r="M392" s="227"/>
      <c r="N392" s="227"/>
      <c r="O392" s="475"/>
      <c r="P392" s="227"/>
      <c r="Q392" s="227"/>
    </row>
    <row r="393" spans="13:17" x14ac:dyDescent="0.2">
      <c r="M393" s="227"/>
      <c r="N393" s="227"/>
      <c r="O393" s="475"/>
      <c r="P393" s="227"/>
      <c r="Q393" s="227"/>
    </row>
    <row r="394" spans="13:17" x14ac:dyDescent="0.2">
      <c r="M394" s="227"/>
      <c r="N394" s="227"/>
      <c r="O394" s="475"/>
      <c r="P394" s="227"/>
      <c r="Q394" s="227"/>
    </row>
    <row r="395" spans="13:17" x14ac:dyDescent="0.2">
      <c r="M395" s="227"/>
      <c r="N395" s="227"/>
      <c r="O395" s="475"/>
      <c r="P395" s="227"/>
      <c r="Q395" s="227"/>
    </row>
    <row r="396" spans="13:17" x14ac:dyDescent="0.2">
      <c r="M396" s="227"/>
      <c r="N396" s="227"/>
      <c r="O396" s="475"/>
      <c r="P396" s="227"/>
      <c r="Q396" s="227"/>
    </row>
    <row r="397" spans="13:17" x14ac:dyDescent="0.2">
      <c r="M397" s="227"/>
      <c r="N397" s="227"/>
      <c r="O397" s="475"/>
      <c r="P397" s="227"/>
      <c r="Q397" s="227"/>
    </row>
    <row r="398" spans="13:17" x14ac:dyDescent="0.2">
      <c r="M398" s="227"/>
      <c r="N398" s="227"/>
      <c r="O398" s="475"/>
      <c r="P398" s="227"/>
      <c r="Q398" s="227"/>
    </row>
    <row r="399" spans="13:17" x14ac:dyDescent="0.2">
      <c r="M399" s="227"/>
      <c r="N399" s="227"/>
      <c r="O399" s="475"/>
      <c r="P399" s="227"/>
      <c r="Q399" s="227"/>
    </row>
    <row r="400" spans="13:17" x14ac:dyDescent="0.2">
      <c r="M400" s="227"/>
      <c r="N400" s="227"/>
      <c r="O400" s="475"/>
      <c r="P400" s="227"/>
      <c r="Q400" s="227"/>
    </row>
    <row r="401" spans="13:17" x14ac:dyDescent="0.2">
      <c r="M401" s="227"/>
      <c r="N401" s="227"/>
      <c r="O401" s="475"/>
      <c r="P401" s="227"/>
      <c r="Q401" s="227"/>
    </row>
    <row r="402" spans="13:17" x14ac:dyDescent="0.2">
      <c r="M402" s="227"/>
      <c r="N402" s="227"/>
      <c r="O402" s="475"/>
      <c r="P402" s="227"/>
      <c r="Q402" s="227"/>
    </row>
    <row r="403" spans="13:17" x14ac:dyDescent="0.2">
      <c r="M403" s="227"/>
      <c r="N403" s="227"/>
      <c r="O403" s="475"/>
      <c r="P403" s="227"/>
      <c r="Q403" s="227"/>
    </row>
    <row r="404" spans="13:17" x14ac:dyDescent="0.2">
      <c r="M404" s="227"/>
      <c r="N404" s="227"/>
      <c r="O404" s="475"/>
      <c r="P404" s="227"/>
      <c r="Q404" s="227"/>
    </row>
    <row r="405" spans="13:17" x14ac:dyDescent="0.2">
      <c r="M405" s="227"/>
      <c r="N405" s="227"/>
      <c r="O405" s="475"/>
      <c r="P405" s="227"/>
      <c r="Q405" s="227"/>
    </row>
    <row r="406" spans="13:17" x14ac:dyDescent="0.2">
      <c r="M406" s="227"/>
      <c r="N406" s="227"/>
      <c r="O406" s="475"/>
      <c r="P406" s="227"/>
      <c r="Q406" s="227"/>
    </row>
    <row r="407" spans="13:17" x14ac:dyDescent="0.2">
      <c r="M407" s="227"/>
      <c r="N407" s="227"/>
      <c r="O407" s="475"/>
      <c r="P407" s="227"/>
      <c r="Q407" s="227"/>
    </row>
    <row r="408" spans="13:17" x14ac:dyDescent="0.2">
      <c r="M408" s="227"/>
      <c r="N408" s="227"/>
      <c r="O408" s="475"/>
      <c r="P408" s="227"/>
      <c r="Q408" s="227"/>
    </row>
    <row r="409" spans="13:17" x14ac:dyDescent="0.2">
      <c r="M409" s="227"/>
      <c r="N409" s="227"/>
      <c r="O409" s="475"/>
      <c r="P409" s="227"/>
      <c r="Q409" s="227"/>
    </row>
    <row r="410" spans="13:17" x14ac:dyDescent="0.2">
      <c r="M410" s="227"/>
      <c r="N410" s="227"/>
      <c r="O410" s="475"/>
      <c r="P410" s="227"/>
      <c r="Q410" s="227"/>
    </row>
    <row r="411" spans="13:17" x14ac:dyDescent="0.2">
      <c r="M411" s="227"/>
      <c r="N411" s="227"/>
      <c r="O411" s="475"/>
      <c r="P411" s="227"/>
      <c r="Q411" s="227"/>
    </row>
    <row r="412" spans="13:17" x14ac:dyDescent="0.2">
      <c r="M412" s="227"/>
      <c r="N412" s="227"/>
      <c r="O412" s="475"/>
      <c r="P412" s="227"/>
      <c r="Q412" s="227"/>
    </row>
    <row r="413" spans="13:17" x14ac:dyDescent="0.2">
      <c r="M413" s="227"/>
      <c r="N413" s="227"/>
      <c r="O413" s="475"/>
      <c r="P413" s="227"/>
      <c r="Q413" s="227"/>
    </row>
    <row r="414" spans="13:17" x14ac:dyDescent="0.2">
      <c r="M414" s="227"/>
      <c r="N414" s="227"/>
      <c r="O414" s="475"/>
      <c r="P414" s="227"/>
      <c r="Q414" s="227"/>
    </row>
    <row r="415" spans="13:17" x14ac:dyDescent="0.2">
      <c r="M415" s="227"/>
      <c r="N415" s="227"/>
      <c r="O415" s="475"/>
      <c r="P415" s="227"/>
      <c r="Q415" s="227"/>
    </row>
    <row r="416" spans="13:17" x14ac:dyDescent="0.2">
      <c r="M416" s="227"/>
      <c r="N416" s="227"/>
      <c r="O416" s="475"/>
      <c r="P416" s="227"/>
      <c r="Q416" s="227"/>
    </row>
    <row r="417" spans="13:17" x14ac:dyDescent="0.2">
      <c r="M417" s="227"/>
      <c r="N417" s="227"/>
      <c r="O417" s="475"/>
      <c r="P417" s="227"/>
      <c r="Q417" s="227"/>
    </row>
    <row r="418" spans="13:17" x14ac:dyDescent="0.2">
      <c r="M418" s="227"/>
      <c r="N418" s="227"/>
      <c r="O418" s="475"/>
      <c r="P418" s="227"/>
      <c r="Q418" s="227"/>
    </row>
    <row r="419" spans="13:17" x14ac:dyDescent="0.2">
      <c r="M419" s="227"/>
      <c r="N419" s="227"/>
      <c r="O419" s="475"/>
      <c r="P419" s="227"/>
      <c r="Q419" s="227"/>
    </row>
    <row r="420" spans="13:17" x14ac:dyDescent="0.2">
      <c r="M420" s="227"/>
      <c r="N420" s="227"/>
      <c r="O420" s="475"/>
      <c r="P420" s="227"/>
      <c r="Q420" s="227"/>
    </row>
    <row r="421" spans="13:17" x14ac:dyDescent="0.2">
      <c r="M421" s="227"/>
      <c r="N421" s="227"/>
      <c r="O421" s="475"/>
      <c r="P421" s="227"/>
      <c r="Q421" s="227"/>
    </row>
    <row r="422" spans="13:17" x14ac:dyDescent="0.2">
      <c r="M422" s="227"/>
      <c r="N422" s="227"/>
      <c r="O422" s="475"/>
      <c r="P422" s="227"/>
      <c r="Q422" s="227"/>
    </row>
    <row r="423" spans="13:17" x14ac:dyDescent="0.2">
      <c r="M423" s="227"/>
      <c r="N423" s="227"/>
      <c r="O423" s="475"/>
      <c r="P423" s="227"/>
      <c r="Q423" s="227"/>
    </row>
    <row r="424" spans="13:17" x14ac:dyDescent="0.2">
      <c r="M424" s="227"/>
      <c r="N424" s="227"/>
      <c r="O424" s="475"/>
      <c r="P424" s="227"/>
      <c r="Q424" s="227"/>
    </row>
    <row r="425" spans="13:17" x14ac:dyDescent="0.2">
      <c r="M425" s="227"/>
      <c r="N425" s="227"/>
      <c r="O425" s="475"/>
      <c r="P425" s="227"/>
      <c r="Q425" s="227"/>
    </row>
    <row r="426" spans="13:17" x14ac:dyDescent="0.2">
      <c r="M426" s="227"/>
      <c r="N426" s="227"/>
      <c r="O426" s="475"/>
      <c r="P426" s="227"/>
      <c r="Q426" s="227"/>
    </row>
    <row r="427" spans="13:17" x14ac:dyDescent="0.2">
      <c r="M427" s="227"/>
      <c r="N427" s="227"/>
      <c r="O427" s="475"/>
      <c r="P427" s="227"/>
      <c r="Q427" s="227"/>
    </row>
    <row r="428" spans="13:17" x14ac:dyDescent="0.2">
      <c r="M428" s="227"/>
      <c r="N428" s="227"/>
      <c r="O428" s="475"/>
      <c r="P428" s="227"/>
      <c r="Q428" s="227"/>
    </row>
    <row r="429" spans="13:17" x14ac:dyDescent="0.2">
      <c r="M429" s="227"/>
      <c r="N429" s="227"/>
      <c r="O429" s="475"/>
      <c r="P429" s="227"/>
      <c r="Q429" s="227"/>
    </row>
    <row r="430" spans="13:17" x14ac:dyDescent="0.2">
      <c r="M430" s="227"/>
      <c r="N430" s="227"/>
      <c r="O430" s="475"/>
      <c r="P430" s="227"/>
      <c r="Q430" s="227"/>
    </row>
    <row r="431" spans="13:17" x14ac:dyDescent="0.2">
      <c r="M431" s="227"/>
      <c r="N431" s="227"/>
      <c r="O431" s="475"/>
      <c r="P431" s="227"/>
      <c r="Q431" s="227"/>
    </row>
    <row r="432" spans="13:17" x14ac:dyDescent="0.2">
      <c r="M432" s="227"/>
      <c r="N432" s="227"/>
      <c r="O432" s="475"/>
      <c r="P432" s="227"/>
      <c r="Q432" s="227"/>
    </row>
    <row r="433" spans="13:17" x14ac:dyDescent="0.2">
      <c r="M433" s="227"/>
      <c r="N433" s="227"/>
      <c r="O433" s="475"/>
      <c r="P433" s="227"/>
      <c r="Q433" s="227"/>
    </row>
    <row r="434" spans="13:17" x14ac:dyDescent="0.2">
      <c r="M434" s="227"/>
      <c r="N434" s="227"/>
      <c r="O434" s="475"/>
      <c r="P434" s="227"/>
      <c r="Q434" s="227"/>
    </row>
    <row r="435" spans="13:17" x14ac:dyDescent="0.2">
      <c r="M435" s="227"/>
      <c r="N435" s="227"/>
      <c r="O435" s="475"/>
      <c r="P435" s="227"/>
      <c r="Q435" s="227"/>
    </row>
    <row r="436" spans="13:17" x14ac:dyDescent="0.2">
      <c r="M436" s="227"/>
      <c r="N436" s="227"/>
      <c r="O436" s="475"/>
      <c r="P436" s="227"/>
      <c r="Q436" s="227"/>
    </row>
    <row r="437" spans="13:17" x14ac:dyDescent="0.2">
      <c r="M437" s="227"/>
      <c r="N437" s="227"/>
      <c r="O437" s="475"/>
      <c r="P437" s="227"/>
      <c r="Q437" s="227"/>
    </row>
    <row r="438" spans="13:17" x14ac:dyDescent="0.2">
      <c r="M438" s="227"/>
      <c r="N438" s="227"/>
      <c r="O438" s="475"/>
      <c r="P438" s="227"/>
      <c r="Q438" s="227"/>
    </row>
    <row r="439" spans="13:17" x14ac:dyDescent="0.2">
      <c r="M439" s="227"/>
      <c r="N439" s="227"/>
      <c r="O439" s="475"/>
      <c r="P439" s="227"/>
      <c r="Q439" s="227"/>
    </row>
    <row r="440" spans="13:17" x14ac:dyDescent="0.2">
      <c r="M440" s="227"/>
      <c r="N440" s="227"/>
      <c r="O440" s="475"/>
      <c r="P440" s="227"/>
      <c r="Q440" s="227"/>
    </row>
    <row r="441" spans="13:17" x14ac:dyDescent="0.2">
      <c r="M441" s="227"/>
      <c r="N441" s="227"/>
      <c r="O441" s="475"/>
      <c r="P441" s="227"/>
      <c r="Q441" s="227"/>
    </row>
    <row r="442" spans="13:17" x14ac:dyDescent="0.2">
      <c r="M442" s="227"/>
      <c r="N442" s="227"/>
      <c r="O442" s="475"/>
      <c r="P442" s="227"/>
      <c r="Q442" s="227"/>
    </row>
    <row r="443" spans="13:17" x14ac:dyDescent="0.2">
      <c r="M443" s="227"/>
      <c r="N443" s="227"/>
      <c r="O443" s="475"/>
      <c r="P443" s="227"/>
      <c r="Q443" s="227"/>
    </row>
    <row r="444" spans="13:17" x14ac:dyDescent="0.2">
      <c r="M444" s="227"/>
      <c r="N444" s="227"/>
      <c r="O444" s="475"/>
      <c r="P444" s="227"/>
      <c r="Q444" s="227"/>
    </row>
    <row r="445" spans="13:17" x14ac:dyDescent="0.2">
      <c r="M445" s="227"/>
      <c r="N445" s="227"/>
      <c r="O445" s="475"/>
      <c r="P445" s="227"/>
      <c r="Q445" s="227"/>
    </row>
    <row r="446" spans="13:17" x14ac:dyDescent="0.2">
      <c r="M446" s="227"/>
      <c r="N446" s="227"/>
      <c r="O446" s="475"/>
      <c r="P446" s="227"/>
      <c r="Q446" s="227"/>
    </row>
    <row r="447" spans="13:17" x14ac:dyDescent="0.2">
      <c r="M447" s="227"/>
      <c r="N447" s="227"/>
      <c r="O447" s="475"/>
      <c r="P447" s="227"/>
      <c r="Q447" s="227"/>
    </row>
    <row r="448" spans="13:17" x14ac:dyDescent="0.2">
      <c r="M448" s="227"/>
      <c r="N448" s="227"/>
      <c r="O448" s="475"/>
      <c r="P448" s="227"/>
      <c r="Q448" s="227"/>
    </row>
    <row r="449" spans="13:17" x14ac:dyDescent="0.2">
      <c r="M449" s="227"/>
      <c r="N449" s="227"/>
      <c r="O449" s="475"/>
      <c r="P449" s="227"/>
      <c r="Q449" s="227"/>
    </row>
    <row r="450" spans="13:17" x14ac:dyDescent="0.2">
      <c r="M450" s="227"/>
      <c r="N450" s="227"/>
      <c r="O450" s="475"/>
      <c r="P450" s="227"/>
      <c r="Q450" s="227"/>
    </row>
    <row r="451" spans="13:17" x14ac:dyDescent="0.2">
      <c r="M451" s="227"/>
      <c r="N451" s="227"/>
      <c r="O451" s="475"/>
      <c r="P451" s="227"/>
      <c r="Q451" s="227"/>
    </row>
    <row r="452" spans="13:17" x14ac:dyDescent="0.2">
      <c r="M452" s="227"/>
      <c r="N452" s="227"/>
      <c r="O452" s="475"/>
      <c r="P452" s="227"/>
      <c r="Q452" s="227"/>
    </row>
    <row r="453" spans="13:17" x14ac:dyDescent="0.2">
      <c r="M453" s="227"/>
      <c r="N453" s="227"/>
      <c r="O453" s="475"/>
      <c r="P453" s="227"/>
      <c r="Q453" s="227"/>
    </row>
    <row r="454" spans="13:17" x14ac:dyDescent="0.2">
      <c r="M454" s="227"/>
      <c r="N454" s="227"/>
      <c r="O454" s="475"/>
      <c r="P454" s="227"/>
      <c r="Q454" s="227"/>
    </row>
    <row r="455" spans="13:17" x14ac:dyDescent="0.2">
      <c r="M455" s="227"/>
      <c r="N455" s="227"/>
      <c r="O455" s="475"/>
      <c r="P455" s="227"/>
      <c r="Q455" s="227"/>
    </row>
    <row r="456" spans="13:17" x14ac:dyDescent="0.2">
      <c r="M456" s="227"/>
      <c r="N456" s="227"/>
      <c r="O456" s="475"/>
      <c r="P456" s="227"/>
      <c r="Q456" s="227"/>
    </row>
    <row r="457" spans="13:17" x14ac:dyDescent="0.2">
      <c r="M457" s="227"/>
      <c r="N457" s="227"/>
      <c r="O457" s="475"/>
      <c r="P457" s="227"/>
      <c r="Q457" s="227"/>
    </row>
    <row r="458" spans="13:17" x14ac:dyDescent="0.2">
      <c r="M458" s="227"/>
      <c r="N458" s="227"/>
      <c r="O458" s="475"/>
      <c r="P458" s="227"/>
      <c r="Q458" s="227"/>
    </row>
    <row r="459" spans="13:17" x14ac:dyDescent="0.2">
      <c r="M459" s="227"/>
      <c r="N459" s="227"/>
      <c r="O459" s="475"/>
      <c r="P459" s="227"/>
      <c r="Q459" s="227"/>
    </row>
    <row r="460" spans="13:17" x14ac:dyDescent="0.2">
      <c r="M460" s="227"/>
      <c r="N460" s="227"/>
      <c r="O460" s="475"/>
      <c r="P460" s="227"/>
      <c r="Q460" s="227"/>
    </row>
    <row r="461" spans="13:17" x14ac:dyDescent="0.2">
      <c r="M461" s="227"/>
      <c r="N461" s="227"/>
      <c r="O461" s="475"/>
      <c r="P461" s="227"/>
      <c r="Q461" s="227"/>
    </row>
    <row r="462" spans="13:17" x14ac:dyDescent="0.2">
      <c r="M462" s="227"/>
      <c r="N462" s="227"/>
      <c r="O462" s="475"/>
      <c r="P462" s="227"/>
      <c r="Q462" s="227"/>
    </row>
    <row r="463" spans="13:17" x14ac:dyDescent="0.2">
      <c r="M463" s="227"/>
      <c r="N463" s="227"/>
      <c r="O463" s="475"/>
      <c r="P463" s="227"/>
      <c r="Q463" s="227"/>
    </row>
  </sheetData>
  <pageMargins left="0.7" right="0.7" top="0.75" bottom="0.75" header="0.3" footer="0.3"/>
  <pageSetup paperSize="9" scale="31" fitToHeight="0"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Y463"/>
  <sheetViews>
    <sheetView topLeftCell="F1" zoomScaleNormal="100" workbookViewId="0">
      <selection sqref="A1:A1048576"/>
    </sheetView>
  </sheetViews>
  <sheetFormatPr defaultRowHeight="12.75" x14ac:dyDescent="0.2"/>
  <cols>
    <col min="2" max="2" width="24" customWidth="1"/>
    <col min="3" max="3" width="9.140625" customWidth="1"/>
    <col min="4" max="4" width="11.85546875" customWidth="1"/>
    <col min="5" max="5" width="31.85546875" customWidth="1"/>
    <col min="6" max="6" width="11.140625" customWidth="1"/>
    <col min="7" max="7" width="13.85546875" customWidth="1"/>
    <col min="8" max="8" width="12.28515625" customWidth="1"/>
    <col min="9" max="9" width="11" customWidth="1"/>
    <col min="10" max="10" width="15.140625" customWidth="1"/>
    <col min="11" max="11" width="52.42578125" customWidth="1"/>
    <col min="12" max="12" width="66.85546875" customWidth="1"/>
    <col min="13" max="13" width="47.140625" customWidth="1"/>
    <col min="15" max="15" width="57" customWidth="1"/>
    <col min="25" max="25" width="52.7109375" customWidth="1"/>
  </cols>
  <sheetData>
    <row r="1" spans="1:25" ht="13.5" thickBot="1" x14ac:dyDescent="0.25">
      <c r="A1" s="6" t="s">
        <v>226</v>
      </c>
      <c r="B1" s="52"/>
      <c r="C1" s="52"/>
      <c r="D1" s="52"/>
      <c r="E1" s="52"/>
      <c r="F1" s="52"/>
      <c r="G1" s="52"/>
      <c r="H1" s="52"/>
      <c r="I1" s="52"/>
      <c r="J1" s="52"/>
      <c r="K1" s="52"/>
    </row>
    <row r="2" spans="1:25" x14ac:dyDescent="0.2">
      <c r="A2" s="126"/>
      <c r="B2" s="81"/>
      <c r="C2" s="81"/>
      <c r="D2" s="81"/>
      <c r="E2" s="81"/>
      <c r="F2" s="81"/>
      <c r="G2" s="81"/>
      <c r="J2" s="96" t="s">
        <v>56</v>
      </c>
      <c r="K2" s="88" t="s">
        <v>50</v>
      </c>
    </row>
    <row r="3" spans="1:25" ht="13.5" thickBot="1" x14ac:dyDescent="0.25">
      <c r="A3" s="81"/>
      <c r="B3" s="81"/>
      <c r="C3" s="81"/>
      <c r="D3" s="81"/>
      <c r="E3" s="81"/>
      <c r="F3" s="81"/>
      <c r="G3" s="81"/>
      <c r="J3" s="97" t="s">
        <v>55</v>
      </c>
      <c r="K3" s="150">
        <v>2019</v>
      </c>
    </row>
    <row r="4" spans="1:25" ht="64.5" thickBot="1" x14ac:dyDescent="0.25">
      <c r="A4" s="106" t="s">
        <v>0</v>
      </c>
      <c r="B4" s="106" t="s">
        <v>1</v>
      </c>
      <c r="C4" s="99" t="s">
        <v>169</v>
      </c>
      <c r="D4" s="99" t="s">
        <v>58</v>
      </c>
      <c r="E4" s="130" t="s">
        <v>1307</v>
      </c>
      <c r="F4" s="130" t="s">
        <v>1308</v>
      </c>
      <c r="G4" s="130" t="s">
        <v>1309</v>
      </c>
      <c r="H4" s="130" t="s">
        <v>1310</v>
      </c>
      <c r="I4" s="130" t="s">
        <v>227</v>
      </c>
      <c r="J4" s="130" t="s">
        <v>228</v>
      </c>
      <c r="K4" s="130" t="s">
        <v>4</v>
      </c>
    </row>
    <row r="5" spans="1:25" ht="25.5" x14ac:dyDescent="0.2">
      <c r="A5" s="380" t="s">
        <v>277</v>
      </c>
      <c r="B5" s="380" t="s">
        <v>1295</v>
      </c>
      <c r="C5" s="380" t="s">
        <v>1296</v>
      </c>
      <c r="D5" s="380" t="s">
        <v>319</v>
      </c>
      <c r="E5" s="380" t="s">
        <v>1297</v>
      </c>
      <c r="F5" s="380">
        <v>12</v>
      </c>
      <c r="G5" s="380">
        <v>396</v>
      </c>
      <c r="H5" s="380">
        <v>91390</v>
      </c>
      <c r="I5" s="380">
        <v>86241</v>
      </c>
      <c r="J5" s="380">
        <v>5149</v>
      </c>
      <c r="K5" s="378" t="s">
        <v>1298</v>
      </c>
      <c r="L5" s="227"/>
      <c r="M5" s="227"/>
      <c r="N5" s="227"/>
      <c r="O5" s="227"/>
      <c r="P5" s="227"/>
      <c r="Q5" s="227"/>
      <c r="R5" s="227"/>
      <c r="S5" s="227"/>
      <c r="T5" s="227"/>
      <c r="U5" s="227"/>
      <c r="V5" s="227"/>
      <c r="W5" s="227"/>
      <c r="X5" s="227"/>
      <c r="Y5" s="227"/>
    </row>
    <row r="6" spans="1:25" x14ac:dyDescent="0.2">
      <c r="A6" s="380" t="s">
        <v>277</v>
      </c>
      <c r="B6" s="380" t="s">
        <v>320</v>
      </c>
      <c r="C6" s="380" t="s">
        <v>1291</v>
      </c>
      <c r="D6" s="380" t="s">
        <v>319</v>
      </c>
      <c r="E6" s="380" t="s">
        <v>1299</v>
      </c>
      <c r="F6" s="380">
        <v>5</v>
      </c>
      <c r="G6" s="380">
        <v>103</v>
      </c>
      <c r="H6" s="380">
        <v>1603</v>
      </c>
      <c r="I6" s="380">
        <v>1603</v>
      </c>
      <c r="J6" s="380">
        <v>0</v>
      </c>
      <c r="K6" s="380"/>
      <c r="L6" s="356"/>
      <c r="M6" s="357"/>
      <c r="N6" s="365"/>
      <c r="O6" s="366"/>
      <c r="P6" s="227"/>
      <c r="Q6" s="227"/>
      <c r="R6" s="227"/>
      <c r="S6" s="227"/>
      <c r="T6" s="227"/>
      <c r="U6" s="227"/>
      <c r="V6" s="227"/>
      <c r="W6" s="227"/>
      <c r="X6" s="227"/>
      <c r="Y6" s="227"/>
    </row>
    <row r="7" spans="1:25" x14ac:dyDescent="0.2">
      <c r="A7" s="381" t="s">
        <v>277</v>
      </c>
      <c r="B7" s="381" t="s">
        <v>391</v>
      </c>
      <c r="C7" s="381" t="s">
        <v>394</v>
      </c>
      <c r="D7" s="381" t="s">
        <v>319</v>
      </c>
      <c r="E7" s="381" t="s">
        <v>1300</v>
      </c>
      <c r="F7" s="381">
        <v>10</v>
      </c>
      <c r="G7" s="381">
        <v>449</v>
      </c>
      <c r="H7" s="381">
        <v>3429</v>
      </c>
      <c r="I7" s="381">
        <v>2587</v>
      </c>
      <c r="J7" s="381">
        <v>842</v>
      </c>
      <c r="K7" s="381"/>
      <c r="L7" s="356"/>
      <c r="M7" s="357"/>
      <c r="N7" s="365"/>
      <c r="O7" s="366"/>
      <c r="P7" s="227"/>
      <c r="Q7" s="227"/>
      <c r="R7" s="227"/>
      <c r="S7" s="227"/>
      <c r="T7" s="227"/>
      <c r="U7" s="227"/>
      <c r="V7" s="227"/>
      <c r="W7" s="227"/>
      <c r="X7" s="227"/>
      <c r="Y7" s="227"/>
    </row>
    <row r="8" spans="1:25" x14ac:dyDescent="0.2">
      <c r="A8" s="381" t="s">
        <v>277</v>
      </c>
      <c r="B8" s="381" t="s">
        <v>391</v>
      </c>
      <c r="C8" s="381" t="s">
        <v>394</v>
      </c>
      <c r="D8" s="381" t="s">
        <v>319</v>
      </c>
      <c r="E8" s="381" t="s">
        <v>1299</v>
      </c>
      <c r="F8" s="381">
        <v>12</v>
      </c>
      <c r="G8" s="381">
        <v>1549</v>
      </c>
      <c r="H8" s="381">
        <v>3340</v>
      </c>
      <c r="I8" s="381">
        <v>3133</v>
      </c>
      <c r="J8" s="381">
        <v>207</v>
      </c>
      <c r="K8" s="381"/>
      <c r="L8" s="356"/>
      <c r="M8" s="357"/>
      <c r="N8" s="365"/>
      <c r="O8" s="366"/>
      <c r="P8" s="227"/>
      <c r="Q8" s="227"/>
      <c r="R8" s="227"/>
      <c r="S8" s="227"/>
      <c r="T8" s="227"/>
      <c r="U8" s="227"/>
      <c r="V8" s="227"/>
      <c r="W8" s="227"/>
      <c r="X8" s="227"/>
      <c r="Y8" s="227"/>
    </row>
    <row r="9" spans="1:25" x14ac:dyDescent="0.2">
      <c r="A9" s="381" t="s">
        <v>277</v>
      </c>
      <c r="B9" s="381" t="s">
        <v>391</v>
      </c>
      <c r="C9" s="381" t="s">
        <v>440</v>
      </c>
      <c r="D9" s="381" t="s">
        <v>319</v>
      </c>
      <c r="E9" s="381" t="s">
        <v>1300</v>
      </c>
      <c r="F9" s="381">
        <v>3</v>
      </c>
      <c r="G9" s="381">
        <v>47</v>
      </c>
      <c r="H9" s="381">
        <v>840</v>
      </c>
      <c r="I9" s="381">
        <v>707</v>
      </c>
      <c r="J9" s="381">
        <v>133</v>
      </c>
      <c r="K9" s="381"/>
      <c r="L9" s="356"/>
      <c r="M9" s="357"/>
      <c r="N9" s="365"/>
      <c r="O9" s="366"/>
      <c r="P9" s="227"/>
      <c r="Q9" s="227"/>
      <c r="R9" s="227"/>
      <c r="S9" s="227"/>
      <c r="T9" s="227"/>
      <c r="U9" s="227"/>
      <c r="V9" s="227"/>
      <c r="W9" s="227"/>
      <c r="X9" s="227"/>
      <c r="Y9" s="227"/>
    </row>
    <row r="10" spans="1:25" x14ac:dyDescent="0.2">
      <c r="A10" s="381" t="s">
        <v>277</v>
      </c>
      <c r="B10" s="381" t="s">
        <v>391</v>
      </c>
      <c r="C10" s="381" t="s">
        <v>440</v>
      </c>
      <c r="D10" s="381" t="s">
        <v>319</v>
      </c>
      <c r="E10" s="381" t="s">
        <v>1297</v>
      </c>
      <c r="F10" s="381">
        <v>1</v>
      </c>
      <c r="G10" s="381">
        <v>12</v>
      </c>
      <c r="H10" s="381">
        <v>3859</v>
      </c>
      <c r="I10" s="381">
        <v>3214</v>
      </c>
      <c r="J10" s="381">
        <v>645</v>
      </c>
      <c r="K10" s="381"/>
      <c r="L10" s="356"/>
      <c r="M10" s="357"/>
      <c r="N10" s="365"/>
      <c r="O10" s="366"/>
      <c r="P10" s="227"/>
      <c r="Q10" s="227"/>
      <c r="R10" s="227"/>
      <c r="S10" s="227"/>
      <c r="T10" s="227"/>
      <c r="U10" s="227"/>
      <c r="V10" s="227"/>
      <c r="W10" s="227"/>
      <c r="X10" s="227"/>
      <c r="Y10" s="227"/>
    </row>
    <row r="11" spans="1:25" x14ac:dyDescent="0.2">
      <c r="A11" s="381" t="s">
        <v>277</v>
      </c>
      <c r="B11" s="381" t="s">
        <v>391</v>
      </c>
      <c r="C11" s="381" t="s">
        <v>415</v>
      </c>
      <c r="D11" s="381" t="s">
        <v>319</v>
      </c>
      <c r="E11" s="381" t="s">
        <v>1300</v>
      </c>
      <c r="F11" s="381">
        <v>10</v>
      </c>
      <c r="G11" s="381">
        <v>1016</v>
      </c>
      <c r="H11" s="381">
        <v>1602</v>
      </c>
      <c r="I11" s="381">
        <v>1592</v>
      </c>
      <c r="J11" s="381">
        <v>10</v>
      </c>
      <c r="K11" s="381"/>
      <c r="L11" s="356"/>
      <c r="M11" s="357"/>
      <c r="N11" s="365"/>
      <c r="O11" s="366"/>
      <c r="P11" s="227"/>
      <c r="Q11" s="227"/>
      <c r="R11" s="227"/>
      <c r="S11" s="227"/>
      <c r="T11" s="227"/>
      <c r="U11" s="227"/>
      <c r="V11" s="227"/>
      <c r="W11" s="227"/>
      <c r="X11" s="227"/>
      <c r="Y11" s="227"/>
    </row>
    <row r="12" spans="1:25" x14ac:dyDescent="0.2">
      <c r="A12" s="381" t="s">
        <v>277</v>
      </c>
      <c r="B12" s="381" t="s">
        <v>391</v>
      </c>
      <c r="C12" s="381" t="s">
        <v>415</v>
      </c>
      <c r="D12" s="381" t="s">
        <v>319</v>
      </c>
      <c r="E12" s="381" t="s">
        <v>1299</v>
      </c>
      <c r="F12" s="381">
        <v>15</v>
      </c>
      <c r="G12" s="381">
        <v>5726</v>
      </c>
      <c r="H12" s="381">
        <v>8127</v>
      </c>
      <c r="I12" s="381">
        <v>8102</v>
      </c>
      <c r="J12" s="381">
        <v>25</v>
      </c>
      <c r="K12" s="381"/>
      <c r="L12" s="356"/>
      <c r="M12" s="357"/>
      <c r="N12" s="365"/>
      <c r="O12" s="366"/>
      <c r="P12" s="227"/>
      <c r="Q12" s="227"/>
      <c r="R12" s="227"/>
      <c r="S12" s="227"/>
      <c r="T12" s="227"/>
      <c r="U12" s="227"/>
      <c r="V12" s="227"/>
      <c r="W12" s="227"/>
      <c r="X12" s="227"/>
      <c r="Y12" s="227"/>
    </row>
    <row r="13" spans="1:25" x14ac:dyDescent="0.2">
      <c r="A13" s="381" t="s">
        <v>277</v>
      </c>
      <c r="B13" s="381" t="s">
        <v>391</v>
      </c>
      <c r="C13" s="381" t="s">
        <v>415</v>
      </c>
      <c r="D13" s="381" t="s">
        <v>319</v>
      </c>
      <c r="E13" s="381" t="s">
        <v>1301</v>
      </c>
      <c r="F13" s="381">
        <v>8</v>
      </c>
      <c r="G13" s="381">
        <v>1234</v>
      </c>
      <c r="H13" s="381">
        <v>2584</v>
      </c>
      <c r="I13" s="381">
        <v>2584</v>
      </c>
      <c r="J13" s="381">
        <v>0</v>
      </c>
      <c r="K13" s="381"/>
      <c r="L13" s="355"/>
      <c r="M13" s="357"/>
      <c r="N13" s="365"/>
      <c r="O13" s="366"/>
      <c r="P13" s="227"/>
      <c r="Q13" s="227"/>
      <c r="R13" s="227"/>
      <c r="S13" s="227"/>
      <c r="T13" s="227"/>
      <c r="U13" s="227"/>
      <c r="V13" s="227"/>
      <c r="W13" s="227"/>
      <c r="X13" s="227"/>
      <c r="Y13" s="227"/>
    </row>
    <row r="14" spans="1:25" x14ac:dyDescent="0.2">
      <c r="A14" s="381" t="s">
        <v>277</v>
      </c>
      <c r="B14" s="381" t="s">
        <v>391</v>
      </c>
      <c r="C14" s="381" t="s">
        <v>415</v>
      </c>
      <c r="D14" s="381" t="s">
        <v>319</v>
      </c>
      <c r="E14" s="381" t="s">
        <v>1297</v>
      </c>
      <c r="F14" s="381">
        <v>4</v>
      </c>
      <c r="G14" s="381">
        <v>378</v>
      </c>
      <c r="H14" s="381">
        <v>4600</v>
      </c>
      <c r="I14" s="381">
        <v>4580</v>
      </c>
      <c r="J14" s="381">
        <v>20</v>
      </c>
      <c r="K14" s="381"/>
      <c r="L14" s="355"/>
      <c r="M14" s="357"/>
      <c r="N14" s="365"/>
      <c r="O14" s="366"/>
      <c r="P14" s="227"/>
      <c r="Q14" s="227"/>
      <c r="R14" s="227"/>
      <c r="S14" s="227"/>
      <c r="T14" s="227"/>
      <c r="U14" s="227"/>
      <c r="V14" s="227"/>
      <c r="W14" s="227"/>
      <c r="X14" s="227"/>
      <c r="Y14" s="227"/>
    </row>
    <row r="15" spans="1:25" x14ac:dyDescent="0.2">
      <c r="A15" s="381" t="s">
        <v>277</v>
      </c>
      <c r="B15" s="381" t="s">
        <v>391</v>
      </c>
      <c r="C15" s="381" t="s">
        <v>1283</v>
      </c>
      <c r="D15" s="381" t="s">
        <v>319</v>
      </c>
      <c r="E15" s="381" t="s">
        <v>1300</v>
      </c>
      <c r="F15" s="381">
        <v>24</v>
      </c>
      <c r="G15" s="381">
        <v>4236</v>
      </c>
      <c r="H15" s="381">
        <v>41885</v>
      </c>
      <c r="I15" s="381">
        <v>28409</v>
      </c>
      <c r="J15" s="381">
        <v>13476</v>
      </c>
      <c r="K15" s="381"/>
      <c r="L15" s="355"/>
      <c r="M15" s="357"/>
      <c r="N15" s="365"/>
      <c r="O15" s="366"/>
      <c r="P15" s="227"/>
      <c r="Q15" s="227"/>
      <c r="R15" s="227"/>
      <c r="S15" s="227"/>
      <c r="T15" s="227"/>
      <c r="U15" s="227"/>
      <c r="V15" s="227"/>
      <c r="W15" s="227"/>
      <c r="X15" s="227"/>
      <c r="Y15" s="227"/>
    </row>
    <row r="16" spans="1:25" x14ac:dyDescent="0.2">
      <c r="A16" s="381" t="s">
        <v>277</v>
      </c>
      <c r="B16" s="381" t="s">
        <v>391</v>
      </c>
      <c r="C16" s="381" t="s">
        <v>1283</v>
      </c>
      <c r="D16" s="381" t="s">
        <v>319</v>
      </c>
      <c r="E16" s="381" t="s">
        <v>1299</v>
      </c>
      <c r="F16" s="381">
        <v>32</v>
      </c>
      <c r="G16" s="381">
        <v>2770</v>
      </c>
      <c r="H16" s="381">
        <v>4116</v>
      </c>
      <c r="I16" s="381">
        <v>4102</v>
      </c>
      <c r="J16" s="381">
        <v>14</v>
      </c>
      <c r="K16" s="381"/>
      <c r="L16" s="355"/>
      <c r="M16" s="357"/>
      <c r="N16" s="365"/>
      <c r="O16" s="366"/>
      <c r="P16" s="227"/>
      <c r="Q16" s="227"/>
      <c r="R16" s="227"/>
      <c r="S16" s="227"/>
      <c r="T16" s="227"/>
      <c r="U16" s="227"/>
      <c r="V16" s="227"/>
      <c r="W16" s="227"/>
      <c r="X16" s="227"/>
      <c r="Y16" s="227"/>
    </row>
    <row r="17" spans="1:25" x14ac:dyDescent="0.2">
      <c r="A17" s="381" t="s">
        <v>277</v>
      </c>
      <c r="B17" s="381" t="s">
        <v>391</v>
      </c>
      <c r="C17" s="381" t="s">
        <v>1283</v>
      </c>
      <c r="D17" s="381" t="s">
        <v>319</v>
      </c>
      <c r="E17" s="381" t="s">
        <v>1301</v>
      </c>
      <c r="F17" s="381">
        <v>16</v>
      </c>
      <c r="G17" s="381">
        <v>1650</v>
      </c>
      <c r="H17" s="381">
        <v>2070</v>
      </c>
      <c r="I17" s="381">
        <v>2054</v>
      </c>
      <c r="J17" s="381">
        <v>16</v>
      </c>
      <c r="K17" s="381"/>
      <c r="L17" s="356"/>
      <c r="M17" s="358"/>
      <c r="N17" s="356"/>
      <c r="O17" s="366"/>
      <c r="P17" s="227"/>
      <c r="Q17" s="227"/>
      <c r="R17" s="227"/>
      <c r="S17" s="227"/>
      <c r="T17" s="227"/>
      <c r="U17" s="227"/>
      <c r="V17" s="227"/>
      <c r="W17" s="227"/>
      <c r="X17" s="227"/>
      <c r="Y17" s="227"/>
    </row>
    <row r="18" spans="1:25" x14ac:dyDescent="0.2">
      <c r="A18" s="381" t="s">
        <v>277</v>
      </c>
      <c r="B18" s="381" t="s">
        <v>391</v>
      </c>
      <c r="C18" s="381" t="s">
        <v>1283</v>
      </c>
      <c r="D18" s="381" t="s">
        <v>319</v>
      </c>
      <c r="E18" s="381" t="s">
        <v>1297</v>
      </c>
      <c r="F18" s="381">
        <v>11</v>
      </c>
      <c r="G18" s="381">
        <v>590</v>
      </c>
      <c r="H18" s="381">
        <v>55600</v>
      </c>
      <c r="I18" s="381">
        <v>51831</v>
      </c>
      <c r="J18" s="381">
        <v>3769</v>
      </c>
      <c r="K18" s="381"/>
      <c r="L18" s="356"/>
      <c r="M18" s="358"/>
      <c r="N18" s="356"/>
      <c r="O18" s="366"/>
      <c r="P18" s="227"/>
      <c r="Q18" s="227"/>
      <c r="R18" s="227"/>
      <c r="S18" s="227"/>
      <c r="T18" s="227"/>
      <c r="U18" s="227"/>
      <c r="V18" s="227"/>
      <c r="W18" s="227"/>
      <c r="X18" s="227"/>
      <c r="Y18" s="227"/>
    </row>
    <row r="19" spans="1:25" x14ac:dyDescent="0.2">
      <c r="A19" s="381" t="s">
        <v>277</v>
      </c>
      <c r="B19" s="381" t="s">
        <v>391</v>
      </c>
      <c r="C19" s="381" t="s">
        <v>1289</v>
      </c>
      <c r="D19" s="381" t="s">
        <v>319</v>
      </c>
      <c r="E19" s="381" t="s">
        <v>1300</v>
      </c>
      <c r="F19" s="381">
        <v>15</v>
      </c>
      <c r="G19" s="381">
        <v>4402</v>
      </c>
      <c r="H19" s="381">
        <v>28836</v>
      </c>
      <c r="I19" s="381">
        <v>28605</v>
      </c>
      <c r="J19" s="381">
        <v>230</v>
      </c>
      <c r="K19" s="381"/>
      <c r="L19" s="356"/>
      <c r="M19" s="358"/>
      <c r="N19" s="356"/>
      <c r="O19" s="366"/>
      <c r="P19" s="227"/>
      <c r="Q19" s="227"/>
      <c r="R19" s="227"/>
      <c r="S19" s="227"/>
      <c r="T19" s="227"/>
      <c r="U19" s="227"/>
      <c r="V19" s="227"/>
      <c r="W19" s="227"/>
      <c r="X19" s="227"/>
      <c r="Y19" s="227"/>
    </row>
    <row r="20" spans="1:25" x14ac:dyDescent="0.2">
      <c r="A20" s="381" t="s">
        <v>277</v>
      </c>
      <c r="B20" s="381" t="s">
        <v>391</v>
      </c>
      <c r="C20" s="381" t="s">
        <v>1289</v>
      </c>
      <c r="D20" s="381" t="s">
        <v>319</v>
      </c>
      <c r="E20" s="381" t="s">
        <v>1299</v>
      </c>
      <c r="F20" s="381">
        <v>11</v>
      </c>
      <c r="G20" s="381">
        <v>773</v>
      </c>
      <c r="H20" s="381">
        <v>1047</v>
      </c>
      <c r="I20" s="381">
        <v>1047</v>
      </c>
      <c r="J20" s="381">
        <v>1</v>
      </c>
      <c r="K20" s="381"/>
      <c r="L20" s="356"/>
      <c r="M20" s="358"/>
      <c r="N20" s="356"/>
      <c r="O20" s="366"/>
      <c r="P20" s="227"/>
      <c r="Q20" s="227"/>
      <c r="R20" s="227"/>
      <c r="S20" s="227"/>
      <c r="T20" s="227"/>
      <c r="U20" s="227"/>
      <c r="V20" s="227"/>
      <c r="W20" s="227"/>
      <c r="X20" s="227"/>
      <c r="Y20" s="227"/>
    </row>
    <row r="21" spans="1:25" x14ac:dyDescent="0.2">
      <c r="A21" s="381" t="s">
        <v>277</v>
      </c>
      <c r="B21" s="381" t="s">
        <v>391</v>
      </c>
      <c r="C21" s="381" t="s">
        <v>1289</v>
      </c>
      <c r="D21" s="381" t="s">
        <v>319</v>
      </c>
      <c r="E21" s="381" t="s">
        <v>1301</v>
      </c>
      <c r="F21" s="381">
        <v>10</v>
      </c>
      <c r="G21" s="381">
        <v>2148</v>
      </c>
      <c r="H21" s="381">
        <v>3887</v>
      </c>
      <c r="I21" s="381">
        <v>3870</v>
      </c>
      <c r="J21" s="381">
        <v>17</v>
      </c>
      <c r="K21" s="381"/>
      <c r="L21" s="356"/>
      <c r="M21" s="358"/>
      <c r="N21" s="356"/>
      <c r="O21" s="366"/>
      <c r="P21" s="227"/>
      <c r="Q21" s="227"/>
      <c r="R21" s="227"/>
      <c r="S21" s="227"/>
      <c r="T21" s="227"/>
      <c r="U21" s="227"/>
      <c r="V21" s="227"/>
      <c r="W21" s="227"/>
      <c r="X21" s="227"/>
      <c r="Y21" s="227"/>
    </row>
    <row r="22" spans="1:25" x14ac:dyDescent="0.2">
      <c r="A22" s="381" t="s">
        <v>277</v>
      </c>
      <c r="B22" s="381" t="s">
        <v>391</v>
      </c>
      <c r="C22" s="381" t="s">
        <v>1289</v>
      </c>
      <c r="D22" s="381" t="s">
        <v>319</v>
      </c>
      <c r="E22" s="381" t="s">
        <v>1297</v>
      </c>
      <c r="F22" s="381">
        <v>9</v>
      </c>
      <c r="G22" s="381">
        <v>281</v>
      </c>
      <c r="H22" s="381">
        <v>14863</v>
      </c>
      <c r="I22" s="381">
        <v>14863</v>
      </c>
      <c r="J22" s="381">
        <v>0</v>
      </c>
      <c r="K22" s="381"/>
      <c r="L22" s="356"/>
      <c r="M22" s="358"/>
      <c r="N22" s="356"/>
      <c r="O22" s="366"/>
      <c r="P22" s="227"/>
      <c r="Q22" s="227"/>
      <c r="R22" s="227"/>
      <c r="S22" s="227"/>
      <c r="T22" s="227"/>
      <c r="U22" s="227"/>
      <c r="V22" s="227"/>
      <c r="W22" s="227"/>
      <c r="X22" s="227"/>
      <c r="Y22" s="227"/>
    </row>
    <row r="23" spans="1:25" x14ac:dyDescent="0.2">
      <c r="A23" s="381" t="s">
        <v>277</v>
      </c>
      <c r="B23" s="381" t="s">
        <v>535</v>
      </c>
      <c r="C23" s="381" t="s">
        <v>1302</v>
      </c>
      <c r="D23" s="381" t="s">
        <v>319</v>
      </c>
      <c r="E23" s="381" t="s">
        <v>1297</v>
      </c>
      <c r="F23" s="381">
        <v>2</v>
      </c>
      <c r="G23" s="381">
        <v>16</v>
      </c>
      <c r="H23" s="381">
        <v>569</v>
      </c>
      <c r="I23" s="381">
        <v>398</v>
      </c>
      <c r="J23" s="381">
        <v>172</v>
      </c>
      <c r="K23" s="381"/>
      <c r="L23" s="356"/>
      <c r="M23" s="358"/>
      <c r="N23" s="356"/>
      <c r="O23" s="366"/>
      <c r="P23" s="227"/>
      <c r="Q23" s="227"/>
      <c r="R23" s="227"/>
      <c r="S23" s="227"/>
      <c r="T23" s="227"/>
      <c r="U23" s="227"/>
      <c r="V23" s="227"/>
      <c r="W23" s="227"/>
      <c r="X23" s="227"/>
      <c r="Y23" s="227"/>
    </row>
    <row r="24" spans="1:25" x14ac:dyDescent="0.2">
      <c r="A24" s="52"/>
      <c r="B24" s="52"/>
      <c r="C24" s="52"/>
      <c r="D24" s="52"/>
      <c r="E24" s="52"/>
      <c r="F24" s="52"/>
      <c r="G24" s="52"/>
      <c r="H24" s="52"/>
      <c r="I24" s="52"/>
      <c r="J24" s="52"/>
      <c r="K24" s="52"/>
      <c r="L24" s="356"/>
      <c r="M24" s="358"/>
      <c r="N24" s="356"/>
      <c r="O24" s="366"/>
      <c r="P24" s="227"/>
      <c r="Q24" s="227"/>
      <c r="R24" s="227"/>
      <c r="S24" s="227"/>
      <c r="T24" s="227"/>
      <c r="U24" s="227"/>
      <c r="V24" s="227"/>
      <c r="W24" s="227"/>
      <c r="X24" s="227"/>
      <c r="Y24" s="227"/>
    </row>
    <row r="25" spans="1:25" x14ac:dyDescent="0.2">
      <c r="A25" s="52" t="s">
        <v>1303</v>
      </c>
      <c r="B25" s="52"/>
      <c r="C25" s="52"/>
      <c r="D25" s="52"/>
      <c r="E25" s="52"/>
      <c r="F25" s="52"/>
      <c r="G25" s="52"/>
      <c r="H25" s="52"/>
      <c r="I25" s="52"/>
      <c r="J25" s="52"/>
      <c r="K25" s="52"/>
      <c r="L25" s="361"/>
      <c r="M25" s="362"/>
      <c r="N25" s="363"/>
      <c r="O25" s="366"/>
      <c r="P25" s="227"/>
      <c r="Q25" s="227"/>
      <c r="R25" s="227"/>
      <c r="S25" s="227"/>
      <c r="T25" s="227"/>
      <c r="U25" s="227"/>
      <c r="V25" s="227"/>
      <c r="W25" s="227"/>
      <c r="X25" s="227"/>
      <c r="Y25" s="227"/>
    </row>
    <row r="26" spans="1:25" x14ac:dyDescent="0.2">
      <c r="A26" s="52" t="s">
        <v>1304</v>
      </c>
      <c r="B26" s="52"/>
      <c r="C26" s="52"/>
      <c r="D26" s="52"/>
      <c r="E26" s="52"/>
      <c r="F26" s="52"/>
      <c r="G26" s="52"/>
      <c r="H26" s="52"/>
      <c r="I26" s="52"/>
      <c r="J26" s="52"/>
      <c r="K26" s="52"/>
      <c r="L26" s="358"/>
      <c r="M26" s="358"/>
      <c r="N26" s="358"/>
      <c r="O26" s="366"/>
      <c r="P26" s="227"/>
      <c r="Q26" s="227"/>
      <c r="R26" s="227"/>
      <c r="S26" s="227"/>
      <c r="T26" s="227"/>
      <c r="U26" s="227"/>
      <c r="V26" s="227"/>
      <c r="W26" s="227"/>
      <c r="X26" s="227"/>
      <c r="Y26" s="227"/>
    </row>
    <row r="27" spans="1:25" x14ac:dyDescent="0.2">
      <c r="A27" s="52" t="s">
        <v>1305</v>
      </c>
      <c r="B27" s="52"/>
      <c r="C27" s="52"/>
      <c r="D27" s="52"/>
      <c r="E27" s="52"/>
      <c r="F27" s="52"/>
      <c r="G27" s="52"/>
      <c r="H27" s="52"/>
      <c r="I27" s="52"/>
      <c r="J27" s="52"/>
      <c r="K27" s="52"/>
      <c r="L27" s="358"/>
      <c r="M27" s="358"/>
      <c r="N27" s="358"/>
      <c r="O27" s="366"/>
      <c r="P27" s="227"/>
      <c r="Q27" s="227"/>
      <c r="R27" s="227"/>
      <c r="S27" s="227"/>
      <c r="T27" s="227"/>
      <c r="U27" s="227"/>
      <c r="V27" s="227"/>
      <c r="W27" s="227"/>
      <c r="X27" s="227"/>
      <c r="Y27" s="227"/>
    </row>
    <row r="28" spans="1:25" x14ac:dyDescent="0.2">
      <c r="A28" s="52" t="s">
        <v>1306</v>
      </c>
      <c r="B28" s="52"/>
      <c r="C28" s="52"/>
      <c r="D28" s="52"/>
      <c r="E28" s="52"/>
      <c r="F28" s="52"/>
      <c r="G28" s="52"/>
      <c r="H28" s="52"/>
      <c r="I28" s="52"/>
      <c r="J28" s="52"/>
      <c r="K28" s="52"/>
      <c r="L28" s="358"/>
      <c r="M28" s="358"/>
      <c r="N28" s="358"/>
      <c r="O28" s="366"/>
      <c r="P28" s="227"/>
      <c r="Q28" s="227"/>
      <c r="R28" s="227"/>
      <c r="S28" s="227"/>
      <c r="T28" s="227"/>
      <c r="U28" s="227"/>
      <c r="V28" s="227"/>
      <c r="W28" s="227"/>
      <c r="X28" s="227"/>
      <c r="Y28" s="227"/>
    </row>
    <row r="29" spans="1:25" x14ac:dyDescent="0.2">
      <c r="A29" s="52"/>
      <c r="B29" s="52"/>
      <c r="C29" s="52"/>
      <c r="D29" s="52"/>
      <c r="E29" s="52"/>
      <c r="F29" s="52"/>
      <c r="G29" s="52"/>
      <c r="H29" s="382"/>
      <c r="I29" s="382"/>
      <c r="J29" s="52"/>
      <c r="K29" s="52"/>
      <c r="L29" s="358"/>
      <c r="M29" s="358"/>
      <c r="N29" s="358"/>
      <c r="O29" s="366"/>
      <c r="P29" s="227"/>
      <c r="Q29" s="227"/>
      <c r="R29" s="227"/>
      <c r="S29" s="227"/>
      <c r="T29" s="227"/>
      <c r="U29" s="227"/>
      <c r="V29" s="227"/>
      <c r="W29" s="227"/>
      <c r="X29" s="227"/>
      <c r="Y29" s="227"/>
    </row>
    <row r="30" spans="1:25" x14ac:dyDescent="0.2">
      <c r="L30" s="227"/>
      <c r="M30" s="227"/>
      <c r="N30" s="227"/>
      <c r="O30" s="227"/>
      <c r="P30" s="227"/>
      <c r="Q30" s="227"/>
      <c r="R30" s="227"/>
      <c r="S30" s="227"/>
      <c r="T30" s="227"/>
      <c r="U30" s="227"/>
      <c r="V30" s="227"/>
      <c r="W30" s="227"/>
      <c r="X30" s="227"/>
      <c r="Y30" s="227"/>
    </row>
    <row r="31" spans="1:25" x14ac:dyDescent="0.2">
      <c r="L31" s="227"/>
      <c r="M31" s="227"/>
      <c r="N31" s="227"/>
      <c r="O31" s="227"/>
      <c r="P31" s="227"/>
      <c r="Q31" s="227"/>
      <c r="R31" s="227"/>
      <c r="S31" s="227"/>
      <c r="T31" s="227"/>
      <c r="U31" s="227"/>
      <c r="V31" s="227"/>
      <c r="W31" s="227"/>
      <c r="X31" s="227"/>
      <c r="Y31" s="227"/>
    </row>
    <row r="32" spans="1:25" x14ac:dyDescent="0.2">
      <c r="L32" s="227"/>
      <c r="M32" s="227"/>
      <c r="N32" s="227"/>
      <c r="O32" s="227"/>
      <c r="P32" s="227"/>
      <c r="Q32" s="227"/>
      <c r="R32" s="227"/>
      <c r="S32" s="227"/>
      <c r="T32" s="227"/>
      <c r="U32" s="227"/>
      <c r="V32" s="227"/>
      <c r="W32" s="227"/>
      <c r="X32" s="227"/>
      <c r="Y32" s="227"/>
    </row>
    <row r="33" spans="12:25" x14ac:dyDescent="0.2">
      <c r="L33" s="227"/>
      <c r="M33" s="227"/>
      <c r="N33" s="227"/>
      <c r="O33" s="227"/>
      <c r="P33" s="227"/>
      <c r="Q33" s="227"/>
      <c r="R33" s="227"/>
      <c r="S33" s="227"/>
      <c r="T33" s="227"/>
      <c r="U33" s="227"/>
      <c r="V33" s="227"/>
      <c r="W33" s="227"/>
      <c r="X33" s="227"/>
      <c r="Y33" s="227"/>
    </row>
    <row r="34" spans="12:25" x14ac:dyDescent="0.2">
      <c r="M34" s="227"/>
      <c r="N34" s="227"/>
      <c r="O34" s="227"/>
      <c r="P34" s="227"/>
      <c r="Q34" s="227"/>
    </row>
    <row r="35" spans="12:25" x14ac:dyDescent="0.2">
      <c r="M35" s="227"/>
      <c r="N35" s="227"/>
      <c r="O35" s="227"/>
      <c r="P35" s="227"/>
      <c r="Q35" s="227"/>
    </row>
    <row r="36" spans="12:25" x14ac:dyDescent="0.2">
      <c r="M36" s="227"/>
      <c r="N36" s="227"/>
      <c r="O36" s="227"/>
      <c r="P36" s="227"/>
      <c r="Q36" s="227"/>
    </row>
    <row r="37" spans="12:25" x14ac:dyDescent="0.2">
      <c r="M37" s="227"/>
      <c r="N37" s="227"/>
      <c r="O37" s="227"/>
      <c r="P37" s="227"/>
      <c r="Q37" s="227"/>
    </row>
    <row r="38" spans="12:25" x14ac:dyDescent="0.2">
      <c r="M38" s="227"/>
      <c r="N38" s="227"/>
      <c r="O38" s="227"/>
      <c r="P38" s="227"/>
      <c r="Q38" s="227"/>
    </row>
    <row r="39" spans="12:25" x14ac:dyDescent="0.2">
      <c r="M39" s="227"/>
      <c r="N39" s="227"/>
      <c r="O39" s="227"/>
      <c r="P39" s="227"/>
      <c r="Q39" s="227"/>
    </row>
    <row r="40" spans="12:25" x14ac:dyDescent="0.2">
      <c r="M40" s="227"/>
      <c r="N40" s="227"/>
      <c r="O40" s="227"/>
      <c r="P40" s="227"/>
      <c r="Q40" s="227"/>
    </row>
    <row r="41" spans="12:25" x14ac:dyDescent="0.2">
      <c r="M41" s="227"/>
      <c r="N41" s="227"/>
      <c r="O41" s="227"/>
      <c r="P41" s="227"/>
      <c r="Q41" s="227"/>
    </row>
    <row r="42" spans="12:25" x14ac:dyDescent="0.2">
      <c r="M42" s="227"/>
      <c r="N42" s="227"/>
      <c r="O42" s="227"/>
      <c r="P42" s="227"/>
      <c r="Q42" s="227"/>
    </row>
    <row r="43" spans="12:25" x14ac:dyDescent="0.2">
      <c r="M43" s="227"/>
      <c r="N43" s="227"/>
      <c r="O43" s="227"/>
      <c r="P43" s="227"/>
      <c r="Q43" s="227"/>
    </row>
    <row r="44" spans="12:25" x14ac:dyDescent="0.2">
      <c r="M44" s="227"/>
      <c r="N44" s="227"/>
      <c r="O44" s="227"/>
      <c r="P44" s="227"/>
      <c r="Q44" s="227"/>
    </row>
    <row r="45" spans="12:25" x14ac:dyDescent="0.2">
      <c r="M45" s="227"/>
      <c r="N45" s="227"/>
      <c r="O45" s="227"/>
      <c r="P45" s="227"/>
      <c r="Q45" s="227"/>
    </row>
    <row r="46" spans="12:25" x14ac:dyDescent="0.2">
      <c r="M46" s="227"/>
      <c r="N46" s="227"/>
      <c r="O46" s="227"/>
      <c r="P46" s="227"/>
      <c r="Q46" s="227"/>
    </row>
    <row r="47" spans="12:25" x14ac:dyDescent="0.2">
      <c r="M47" s="227"/>
      <c r="N47" s="227"/>
      <c r="O47" s="227"/>
      <c r="P47" s="227"/>
      <c r="Q47" s="227"/>
    </row>
    <row r="48" spans="12:25" x14ac:dyDescent="0.2">
      <c r="M48" s="227"/>
      <c r="N48" s="227"/>
      <c r="O48" s="227"/>
      <c r="P48" s="227"/>
      <c r="Q48" s="227"/>
    </row>
    <row r="49" spans="13:17" x14ac:dyDescent="0.2">
      <c r="M49" s="227"/>
      <c r="N49" s="227"/>
      <c r="O49" s="227"/>
      <c r="P49" s="227"/>
      <c r="Q49" s="227"/>
    </row>
    <row r="50" spans="13:17" x14ac:dyDescent="0.2">
      <c r="M50" s="227"/>
      <c r="N50" s="227"/>
      <c r="O50" s="227"/>
      <c r="P50" s="227"/>
      <c r="Q50" s="227"/>
    </row>
    <row r="51" spans="13:17" x14ac:dyDescent="0.2">
      <c r="M51" s="227"/>
      <c r="N51" s="227"/>
      <c r="O51" s="227"/>
      <c r="P51" s="227"/>
      <c r="Q51" s="227"/>
    </row>
    <row r="52" spans="13:17" x14ac:dyDescent="0.2">
      <c r="M52" s="227"/>
      <c r="N52" s="227"/>
      <c r="O52" s="227"/>
      <c r="P52" s="227"/>
      <c r="Q52" s="227"/>
    </row>
    <row r="53" spans="13:17" x14ac:dyDescent="0.2">
      <c r="M53" s="227"/>
      <c r="N53" s="227"/>
      <c r="O53" s="227"/>
      <c r="P53" s="227"/>
      <c r="Q53" s="227"/>
    </row>
    <row r="54" spans="13:17" x14ac:dyDescent="0.2">
      <c r="M54" s="227"/>
      <c r="N54" s="227"/>
      <c r="O54" s="227"/>
      <c r="P54" s="227"/>
      <c r="Q54" s="227"/>
    </row>
    <row r="55" spans="13:17" x14ac:dyDescent="0.2">
      <c r="M55" s="227"/>
      <c r="N55" s="227"/>
      <c r="O55" s="227"/>
      <c r="P55" s="227"/>
      <c r="Q55" s="227"/>
    </row>
    <row r="56" spans="13:17" x14ac:dyDescent="0.2">
      <c r="M56" s="227"/>
      <c r="N56" s="227"/>
      <c r="O56" s="227"/>
      <c r="P56" s="227"/>
      <c r="Q56" s="227"/>
    </row>
    <row r="57" spans="13:17" x14ac:dyDescent="0.2">
      <c r="M57" s="227"/>
      <c r="N57" s="227"/>
      <c r="O57" s="227"/>
      <c r="P57" s="227"/>
      <c r="Q57" s="227"/>
    </row>
    <row r="58" spans="13:17" x14ac:dyDescent="0.2">
      <c r="M58" s="227"/>
      <c r="N58" s="227"/>
      <c r="O58" s="227"/>
      <c r="P58" s="227"/>
      <c r="Q58" s="227"/>
    </row>
    <row r="59" spans="13:17" x14ac:dyDescent="0.2">
      <c r="M59" s="227"/>
      <c r="N59" s="227"/>
      <c r="O59" s="227"/>
      <c r="P59" s="227"/>
      <c r="Q59" s="227"/>
    </row>
    <row r="60" spans="13:17" x14ac:dyDescent="0.2">
      <c r="M60" s="227"/>
      <c r="N60" s="227"/>
      <c r="O60" s="227"/>
      <c r="P60" s="227"/>
      <c r="Q60" s="227"/>
    </row>
    <row r="61" spans="13:17" x14ac:dyDescent="0.2">
      <c r="M61" s="227"/>
      <c r="N61" s="227"/>
      <c r="O61" s="227"/>
      <c r="P61" s="227"/>
      <c r="Q61" s="227"/>
    </row>
    <row r="62" spans="13:17" x14ac:dyDescent="0.2">
      <c r="M62" s="227"/>
      <c r="N62" s="227"/>
      <c r="O62" s="227"/>
      <c r="P62" s="227"/>
      <c r="Q62" s="227"/>
    </row>
    <row r="63" spans="13:17" x14ac:dyDescent="0.2">
      <c r="M63" s="227"/>
      <c r="N63" s="227"/>
      <c r="O63" s="227"/>
      <c r="P63" s="227"/>
      <c r="Q63" s="227"/>
    </row>
    <row r="64" spans="13:17" x14ac:dyDescent="0.2">
      <c r="M64" s="227"/>
      <c r="N64" s="227"/>
      <c r="O64" s="227"/>
      <c r="P64" s="227"/>
      <c r="Q64" s="227"/>
    </row>
    <row r="65" spans="13:17" x14ac:dyDescent="0.2">
      <c r="M65" s="227"/>
      <c r="N65" s="227"/>
      <c r="O65" s="227"/>
      <c r="P65" s="227"/>
      <c r="Q65" s="227"/>
    </row>
    <row r="66" spans="13:17" x14ac:dyDescent="0.2">
      <c r="M66" s="227"/>
      <c r="N66" s="227"/>
      <c r="O66" s="227"/>
      <c r="P66" s="227"/>
      <c r="Q66" s="227"/>
    </row>
    <row r="67" spans="13:17" x14ac:dyDescent="0.2">
      <c r="M67" s="227"/>
      <c r="N67" s="227"/>
      <c r="O67" s="227"/>
      <c r="P67" s="227"/>
      <c r="Q67" s="227"/>
    </row>
    <row r="68" spans="13:17" x14ac:dyDescent="0.2">
      <c r="M68" s="227"/>
      <c r="N68" s="227"/>
      <c r="O68" s="227"/>
      <c r="P68" s="227"/>
      <c r="Q68" s="227"/>
    </row>
    <row r="69" spans="13:17" x14ac:dyDescent="0.2">
      <c r="M69" s="227"/>
      <c r="N69" s="227"/>
      <c r="O69" s="227"/>
      <c r="P69" s="227"/>
      <c r="Q69" s="227"/>
    </row>
    <row r="70" spans="13:17" x14ac:dyDescent="0.2">
      <c r="M70" s="227"/>
      <c r="N70" s="227"/>
      <c r="O70" s="227"/>
      <c r="P70" s="227"/>
      <c r="Q70" s="227"/>
    </row>
    <row r="71" spans="13:17" x14ac:dyDescent="0.2">
      <c r="M71" s="227"/>
      <c r="N71" s="227"/>
      <c r="O71" s="227"/>
      <c r="P71" s="227"/>
      <c r="Q71" s="227"/>
    </row>
    <row r="72" spans="13:17" x14ac:dyDescent="0.2">
      <c r="M72" s="227"/>
      <c r="N72" s="227"/>
      <c r="O72" s="227"/>
      <c r="P72" s="227"/>
      <c r="Q72" s="227"/>
    </row>
    <row r="73" spans="13:17" x14ac:dyDescent="0.2">
      <c r="M73" s="227"/>
      <c r="N73" s="227"/>
      <c r="O73" s="227"/>
      <c r="P73" s="227"/>
      <c r="Q73" s="227"/>
    </row>
    <row r="74" spans="13:17" x14ac:dyDescent="0.2">
      <c r="M74" s="227"/>
      <c r="N74" s="227"/>
      <c r="O74" s="227"/>
      <c r="P74" s="227"/>
      <c r="Q74" s="227"/>
    </row>
    <row r="75" spans="13:17" x14ac:dyDescent="0.2">
      <c r="M75" s="227"/>
      <c r="N75" s="227"/>
      <c r="O75" s="227"/>
      <c r="P75" s="227"/>
      <c r="Q75" s="227"/>
    </row>
    <row r="76" spans="13:17" x14ac:dyDescent="0.2">
      <c r="M76" s="227"/>
      <c r="N76" s="227"/>
      <c r="O76" s="227"/>
      <c r="P76" s="227"/>
      <c r="Q76" s="227"/>
    </row>
    <row r="77" spans="13:17" x14ac:dyDescent="0.2">
      <c r="M77" s="227"/>
      <c r="N77" s="227"/>
      <c r="O77" s="227"/>
      <c r="P77" s="227"/>
      <c r="Q77" s="227"/>
    </row>
    <row r="78" spans="13:17" x14ac:dyDescent="0.2">
      <c r="M78" s="227"/>
      <c r="N78" s="227"/>
      <c r="O78" s="227"/>
      <c r="P78" s="227"/>
      <c r="Q78" s="227"/>
    </row>
    <row r="79" spans="13:17" x14ac:dyDescent="0.2">
      <c r="M79" s="227"/>
      <c r="N79" s="227"/>
      <c r="O79" s="227"/>
      <c r="P79" s="227"/>
      <c r="Q79" s="227"/>
    </row>
    <row r="80" spans="13:17" x14ac:dyDescent="0.2">
      <c r="M80" s="227"/>
      <c r="N80" s="227"/>
      <c r="O80" s="227"/>
      <c r="P80" s="227"/>
      <c r="Q80" s="227"/>
    </row>
    <row r="81" spans="13:17" x14ac:dyDescent="0.2">
      <c r="M81" s="227"/>
      <c r="N81" s="227"/>
      <c r="O81" s="227"/>
      <c r="P81" s="227"/>
      <c r="Q81" s="227"/>
    </row>
    <row r="82" spans="13:17" x14ac:dyDescent="0.2">
      <c r="M82" s="227"/>
      <c r="N82" s="227"/>
      <c r="O82" s="227"/>
      <c r="P82" s="227"/>
      <c r="Q82" s="227"/>
    </row>
    <row r="83" spans="13:17" x14ac:dyDescent="0.2">
      <c r="M83" s="227"/>
      <c r="N83" s="227"/>
      <c r="O83" s="227"/>
      <c r="P83" s="227"/>
      <c r="Q83" s="227"/>
    </row>
    <row r="84" spans="13:17" x14ac:dyDescent="0.2">
      <c r="M84" s="227"/>
      <c r="N84" s="227"/>
      <c r="O84" s="227"/>
      <c r="P84" s="227"/>
      <c r="Q84" s="227"/>
    </row>
    <row r="85" spans="13:17" x14ac:dyDescent="0.2">
      <c r="M85" s="227"/>
      <c r="N85" s="227"/>
      <c r="O85" s="227"/>
      <c r="P85" s="227"/>
      <c r="Q85" s="227"/>
    </row>
    <row r="86" spans="13:17" x14ac:dyDescent="0.2">
      <c r="M86" s="227"/>
      <c r="N86" s="227"/>
      <c r="O86" s="227"/>
      <c r="P86" s="227"/>
      <c r="Q86" s="227"/>
    </row>
    <row r="87" spans="13:17" x14ac:dyDescent="0.2">
      <c r="M87" s="227"/>
      <c r="N87" s="227"/>
      <c r="O87" s="227"/>
      <c r="P87" s="227"/>
      <c r="Q87" s="227"/>
    </row>
    <row r="88" spans="13:17" x14ac:dyDescent="0.2">
      <c r="M88" s="227"/>
      <c r="N88" s="227"/>
      <c r="O88" s="227"/>
      <c r="P88" s="227"/>
      <c r="Q88" s="227"/>
    </row>
    <row r="89" spans="13:17" x14ac:dyDescent="0.2">
      <c r="M89" s="227"/>
      <c r="N89" s="227"/>
      <c r="O89" s="227"/>
      <c r="P89" s="227"/>
      <c r="Q89" s="227"/>
    </row>
    <row r="90" spans="13:17" x14ac:dyDescent="0.2">
      <c r="M90" s="227"/>
      <c r="N90" s="227"/>
      <c r="O90" s="227"/>
      <c r="P90" s="227"/>
      <c r="Q90" s="227"/>
    </row>
    <row r="91" spans="13:17" x14ac:dyDescent="0.2">
      <c r="M91" s="227"/>
      <c r="N91" s="227"/>
      <c r="O91" s="227"/>
      <c r="P91" s="227"/>
      <c r="Q91" s="227"/>
    </row>
    <row r="92" spans="13:17" x14ac:dyDescent="0.2">
      <c r="M92" s="227"/>
      <c r="N92" s="227"/>
      <c r="O92" s="227"/>
      <c r="P92" s="227"/>
      <c r="Q92" s="227"/>
    </row>
    <row r="93" spans="13:17" x14ac:dyDescent="0.2">
      <c r="M93" s="227"/>
      <c r="N93" s="227"/>
      <c r="O93" s="227"/>
      <c r="P93" s="227"/>
      <c r="Q93" s="227"/>
    </row>
    <row r="94" spans="13:17" x14ac:dyDescent="0.2">
      <c r="M94" s="227"/>
      <c r="N94" s="227"/>
      <c r="O94" s="227"/>
      <c r="P94" s="227"/>
      <c r="Q94" s="227"/>
    </row>
    <row r="95" spans="13:17" x14ac:dyDescent="0.2">
      <c r="M95" s="227"/>
      <c r="N95" s="227"/>
      <c r="O95" s="227"/>
      <c r="P95" s="227"/>
      <c r="Q95" s="227"/>
    </row>
    <row r="96" spans="13:17" x14ac:dyDescent="0.2">
      <c r="M96" s="227"/>
      <c r="N96" s="227"/>
      <c r="O96" s="227"/>
      <c r="P96" s="227"/>
      <c r="Q96" s="227"/>
    </row>
    <row r="97" spans="13:17" x14ac:dyDescent="0.2">
      <c r="M97" s="227"/>
      <c r="N97" s="227"/>
      <c r="O97" s="227"/>
      <c r="P97" s="227"/>
      <c r="Q97" s="227"/>
    </row>
    <row r="98" spans="13:17" x14ac:dyDescent="0.2">
      <c r="M98" s="227"/>
      <c r="N98" s="227"/>
      <c r="O98" s="227"/>
      <c r="P98" s="227"/>
      <c r="Q98" s="227"/>
    </row>
    <row r="99" spans="13:17" x14ac:dyDescent="0.2">
      <c r="M99" s="227"/>
      <c r="N99" s="227"/>
      <c r="O99" s="227"/>
      <c r="P99" s="227"/>
      <c r="Q99" s="227"/>
    </row>
    <row r="100" spans="13:17" x14ac:dyDescent="0.2">
      <c r="M100" s="227"/>
      <c r="N100" s="227"/>
      <c r="O100" s="227"/>
      <c r="P100" s="227"/>
      <c r="Q100" s="227"/>
    </row>
    <row r="101" spans="13:17" x14ac:dyDescent="0.2">
      <c r="M101" s="227"/>
      <c r="N101" s="227"/>
      <c r="O101" s="227"/>
      <c r="P101" s="227"/>
      <c r="Q101" s="227"/>
    </row>
    <row r="102" spans="13:17" x14ac:dyDescent="0.2">
      <c r="M102" s="227"/>
      <c r="N102" s="227"/>
      <c r="O102" s="227"/>
      <c r="P102" s="227"/>
      <c r="Q102" s="227"/>
    </row>
    <row r="103" spans="13:17" x14ac:dyDescent="0.2">
      <c r="M103" s="227"/>
      <c r="N103" s="227"/>
      <c r="O103" s="227"/>
      <c r="P103" s="227"/>
      <c r="Q103" s="227"/>
    </row>
    <row r="104" spans="13:17" x14ac:dyDescent="0.2">
      <c r="M104" s="227"/>
      <c r="N104" s="227"/>
      <c r="O104" s="227"/>
      <c r="P104" s="227"/>
      <c r="Q104" s="227"/>
    </row>
    <row r="105" spans="13:17" x14ac:dyDescent="0.2">
      <c r="M105" s="227"/>
      <c r="N105" s="227"/>
      <c r="O105" s="227"/>
      <c r="P105" s="227"/>
      <c r="Q105" s="227"/>
    </row>
    <row r="106" spans="13:17" x14ac:dyDescent="0.2">
      <c r="M106" s="227"/>
      <c r="N106" s="227"/>
      <c r="O106" s="227"/>
      <c r="P106" s="227"/>
      <c r="Q106" s="227"/>
    </row>
    <row r="107" spans="13:17" x14ac:dyDescent="0.2">
      <c r="M107" s="227"/>
      <c r="N107" s="227"/>
      <c r="O107" s="227"/>
      <c r="P107" s="227"/>
      <c r="Q107" s="227"/>
    </row>
    <row r="108" spans="13:17" x14ac:dyDescent="0.2">
      <c r="M108" s="227"/>
      <c r="N108" s="227"/>
      <c r="O108" s="227"/>
      <c r="P108" s="227"/>
      <c r="Q108" s="227"/>
    </row>
    <row r="109" spans="13:17" x14ac:dyDescent="0.2">
      <c r="M109" s="227"/>
      <c r="N109" s="227"/>
      <c r="O109" s="227"/>
      <c r="P109" s="227"/>
      <c r="Q109" s="227"/>
    </row>
    <row r="110" spans="13:17" x14ac:dyDescent="0.2">
      <c r="M110" s="227"/>
      <c r="N110" s="227"/>
      <c r="O110" s="227"/>
      <c r="P110" s="227"/>
      <c r="Q110" s="227"/>
    </row>
    <row r="111" spans="13:17" x14ac:dyDescent="0.2">
      <c r="M111" s="227"/>
      <c r="N111" s="227"/>
      <c r="O111" s="227"/>
      <c r="P111" s="227"/>
      <c r="Q111" s="227"/>
    </row>
    <row r="112" spans="13:17" x14ac:dyDescent="0.2">
      <c r="M112" s="227"/>
      <c r="N112" s="227"/>
      <c r="O112" s="227"/>
      <c r="P112" s="227"/>
      <c r="Q112" s="227"/>
    </row>
    <row r="113" spans="13:17" x14ac:dyDescent="0.2">
      <c r="M113" s="227"/>
      <c r="N113" s="227"/>
      <c r="O113" s="227"/>
      <c r="P113" s="227"/>
      <c r="Q113" s="227"/>
    </row>
    <row r="114" spans="13:17" x14ac:dyDescent="0.2">
      <c r="M114" s="227"/>
      <c r="N114" s="227"/>
      <c r="O114" s="227"/>
      <c r="P114" s="227"/>
      <c r="Q114" s="227"/>
    </row>
    <row r="115" spans="13:17" x14ac:dyDescent="0.2">
      <c r="M115" s="227"/>
      <c r="N115" s="227"/>
      <c r="O115" s="227"/>
      <c r="P115" s="227"/>
      <c r="Q115" s="227"/>
    </row>
    <row r="116" spans="13:17" x14ac:dyDescent="0.2">
      <c r="M116" s="227"/>
      <c r="N116" s="227"/>
      <c r="O116" s="227"/>
      <c r="P116" s="227"/>
      <c r="Q116" s="227"/>
    </row>
    <row r="117" spans="13:17" x14ac:dyDescent="0.2">
      <c r="M117" s="227"/>
      <c r="N117" s="227"/>
      <c r="O117" s="227"/>
      <c r="P117" s="227"/>
      <c r="Q117" s="227"/>
    </row>
    <row r="118" spans="13:17" x14ac:dyDescent="0.2">
      <c r="M118" s="227"/>
      <c r="N118" s="227"/>
      <c r="O118" s="227"/>
      <c r="P118" s="227"/>
      <c r="Q118" s="227"/>
    </row>
    <row r="119" spans="13:17" x14ac:dyDescent="0.2">
      <c r="M119" s="227"/>
      <c r="N119" s="227"/>
      <c r="O119" s="227"/>
      <c r="P119" s="227"/>
      <c r="Q119" s="227"/>
    </row>
    <row r="120" spans="13:17" x14ac:dyDescent="0.2">
      <c r="M120" s="227"/>
      <c r="N120" s="227"/>
      <c r="O120" s="227"/>
      <c r="P120" s="227"/>
      <c r="Q120" s="227"/>
    </row>
    <row r="121" spans="13:17" x14ac:dyDescent="0.2">
      <c r="M121" s="227"/>
      <c r="N121" s="227"/>
      <c r="O121" s="227"/>
      <c r="P121" s="227"/>
      <c r="Q121" s="227"/>
    </row>
    <row r="122" spans="13:17" x14ac:dyDescent="0.2">
      <c r="M122" s="227"/>
      <c r="N122" s="227"/>
      <c r="O122" s="227"/>
      <c r="P122" s="227"/>
      <c r="Q122" s="227"/>
    </row>
    <row r="123" spans="13:17" x14ac:dyDescent="0.2">
      <c r="M123" s="227"/>
      <c r="N123" s="227"/>
      <c r="O123" s="227"/>
      <c r="P123" s="227"/>
      <c r="Q123" s="227"/>
    </row>
    <row r="124" spans="13:17" x14ac:dyDescent="0.2">
      <c r="M124" s="227"/>
      <c r="N124" s="227"/>
      <c r="O124" s="227"/>
      <c r="P124" s="227"/>
      <c r="Q124" s="227"/>
    </row>
    <row r="125" spans="13:17" x14ac:dyDescent="0.2">
      <c r="M125" s="227"/>
      <c r="N125" s="227"/>
      <c r="O125" s="227"/>
      <c r="P125" s="227"/>
      <c r="Q125" s="227"/>
    </row>
    <row r="126" spans="13:17" x14ac:dyDescent="0.2">
      <c r="M126" s="227"/>
      <c r="N126" s="227"/>
      <c r="O126" s="227"/>
      <c r="P126" s="227"/>
      <c r="Q126" s="227"/>
    </row>
    <row r="127" spans="13:17" x14ac:dyDescent="0.2">
      <c r="M127" s="227"/>
      <c r="N127" s="227"/>
      <c r="O127" s="227"/>
      <c r="P127" s="227"/>
      <c r="Q127" s="227"/>
    </row>
    <row r="128" spans="13:17" x14ac:dyDescent="0.2">
      <c r="M128" s="227"/>
      <c r="N128" s="227"/>
      <c r="O128" s="227"/>
      <c r="P128" s="227"/>
      <c r="Q128" s="227"/>
    </row>
    <row r="129" spans="13:17" x14ac:dyDescent="0.2">
      <c r="M129" s="227"/>
      <c r="N129" s="227"/>
      <c r="O129" s="227"/>
      <c r="P129" s="227"/>
      <c r="Q129" s="227"/>
    </row>
    <row r="130" spans="13:17" x14ac:dyDescent="0.2">
      <c r="M130" s="227"/>
      <c r="N130" s="227"/>
      <c r="O130" s="227"/>
      <c r="P130" s="227"/>
      <c r="Q130" s="227"/>
    </row>
    <row r="131" spans="13:17" x14ac:dyDescent="0.2">
      <c r="M131" s="227"/>
      <c r="N131" s="227"/>
      <c r="O131" s="227"/>
      <c r="P131" s="227"/>
      <c r="Q131" s="227"/>
    </row>
    <row r="132" spans="13:17" x14ac:dyDescent="0.2">
      <c r="M132" s="227"/>
      <c r="N132" s="227"/>
      <c r="O132" s="227"/>
      <c r="P132" s="227"/>
      <c r="Q132" s="227"/>
    </row>
    <row r="133" spans="13:17" x14ac:dyDescent="0.2">
      <c r="M133" s="227"/>
      <c r="N133" s="227"/>
      <c r="O133" s="227"/>
      <c r="P133" s="227"/>
      <c r="Q133" s="227"/>
    </row>
    <row r="134" spans="13:17" x14ac:dyDescent="0.2">
      <c r="M134" s="227"/>
      <c r="N134" s="227"/>
      <c r="O134" s="227"/>
      <c r="P134" s="227"/>
      <c r="Q134" s="227"/>
    </row>
    <row r="135" spans="13:17" x14ac:dyDescent="0.2">
      <c r="M135" s="227"/>
      <c r="N135" s="227"/>
      <c r="O135" s="227"/>
      <c r="P135" s="227"/>
      <c r="Q135" s="227"/>
    </row>
    <row r="136" spans="13:17" x14ac:dyDescent="0.2">
      <c r="M136" s="227"/>
      <c r="N136" s="227"/>
      <c r="O136" s="227"/>
      <c r="P136" s="227"/>
      <c r="Q136" s="227"/>
    </row>
    <row r="137" spans="13:17" x14ac:dyDescent="0.2">
      <c r="M137" s="227"/>
      <c r="N137" s="227"/>
      <c r="O137" s="227"/>
      <c r="P137" s="227"/>
      <c r="Q137" s="227"/>
    </row>
    <row r="138" spans="13:17" x14ac:dyDescent="0.2">
      <c r="M138" s="227"/>
      <c r="N138" s="227"/>
      <c r="O138" s="227"/>
      <c r="P138" s="227"/>
      <c r="Q138" s="227"/>
    </row>
    <row r="139" spans="13:17" x14ac:dyDescent="0.2">
      <c r="M139" s="227"/>
      <c r="N139" s="227"/>
      <c r="O139" s="227"/>
      <c r="P139" s="227"/>
      <c r="Q139" s="227"/>
    </row>
    <row r="140" spans="13:17" x14ac:dyDescent="0.2">
      <c r="M140" s="227"/>
      <c r="N140" s="227"/>
      <c r="O140" s="227"/>
      <c r="P140" s="227"/>
      <c r="Q140" s="227"/>
    </row>
    <row r="141" spans="13:17" x14ac:dyDescent="0.2">
      <c r="M141" s="227"/>
      <c r="N141" s="227"/>
      <c r="O141" s="227"/>
      <c r="P141" s="227"/>
      <c r="Q141" s="227"/>
    </row>
    <row r="142" spans="13:17" x14ac:dyDescent="0.2">
      <c r="M142" s="227"/>
      <c r="N142" s="227"/>
      <c r="O142" s="227"/>
      <c r="P142" s="227"/>
      <c r="Q142" s="227"/>
    </row>
    <row r="143" spans="13:17" x14ac:dyDescent="0.2">
      <c r="M143" s="227"/>
      <c r="N143" s="227"/>
      <c r="O143" s="227"/>
      <c r="P143" s="227"/>
      <c r="Q143" s="227"/>
    </row>
    <row r="144" spans="13:17" x14ac:dyDescent="0.2">
      <c r="M144" s="227"/>
      <c r="N144" s="227"/>
      <c r="O144" s="227"/>
      <c r="P144" s="227"/>
      <c r="Q144" s="227"/>
    </row>
    <row r="145" spans="13:17" x14ac:dyDescent="0.2">
      <c r="M145" s="227"/>
      <c r="N145" s="227"/>
      <c r="O145" s="227"/>
      <c r="P145" s="227"/>
      <c r="Q145" s="227"/>
    </row>
    <row r="146" spans="13:17" x14ac:dyDescent="0.2">
      <c r="M146" s="227"/>
      <c r="N146" s="227"/>
      <c r="O146" s="227"/>
      <c r="P146" s="227"/>
      <c r="Q146" s="227"/>
    </row>
    <row r="147" spans="13:17" x14ac:dyDescent="0.2">
      <c r="M147" s="227"/>
      <c r="N147" s="227"/>
      <c r="O147" s="227"/>
      <c r="P147" s="227"/>
      <c r="Q147" s="227"/>
    </row>
    <row r="148" spans="13:17" x14ac:dyDescent="0.2">
      <c r="M148" s="227"/>
      <c r="N148" s="227"/>
      <c r="O148" s="227"/>
      <c r="P148" s="227"/>
      <c r="Q148" s="227"/>
    </row>
    <row r="149" spans="13:17" x14ac:dyDescent="0.2">
      <c r="M149" s="227"/>
      <c r="N149" s="227"/>
      <c r="O149" s="227"/>
      <c r="P149" s="227"/>
      <c r="Q149" s="227"/>
    </row>
    <row r="150" spans="13:17" x14ac:dyDescent="0.2">
      <c r="M150" s="227"/>
      <c r="N150" s="227"/>
      <c r="O150" s="227"/>
      <c r="P150" s="227"/>
      <c r="Q150" s="227"/>
    </row>
    <row r="151" spans="13:17" x14ac:dyDescent="0.2">
      <c r="M151" s="227"/>
      <c r="N151" s="227"/>
      <c r="O151" s="227"/>
      <c r="P151" s="227"/>
      <c r="Q151" s="227"/>
    </row>
    <row r="152" spans="13:17" x14ac:dyDescent="0.2">
      <c r="M152" s="227"/>
      <c r="N152" s="227"/>
      <c r="O152" s="227"/>
      <c r="P152" s="227"/>
      <c r="Q152" s="227"/>
    </row>
    <row r="153" spans="13:17" x14ac:dyDescent="0.2">
      <c r="M153" s="227"/>
      <c r="N153" s="227"/>
      <c r="O153" s="227"/>
      <c r="P153" s="227"/>
      <c r="Q153" s="227"/>
    </row>
    <row r="154" spans="13:17" x14ac:dyDescent="0.2">
      <c r="M154" s="227"/>
      <c r="N154" s="227"/>
      <c r="O154" s="227"/>
      <c r="P154" s="227"/>
      <c r="Q154" s="227"/>
    </row>
    <row r="155" spans="13:17" x14ac:dyDescent="0.2">
      <c r="M155" s="227"/>
      <c r="N155" s="227"/>
      <c r="O155" s="227"/>
      <c r="P155" s="227"/>
      <c r="Q155" s="227"/>
    </row>
    <row r="156" spans="13:17" x14ac:dyDescent="0.2">
      <c r="M156" s="227"/>
      <c r="N156" s="227"/>
      <c r="O156" s="227"/>
      <c r="P156" s="227"/>
      <c r="Q156" s="227"/>
    </row>
    <row r="157" spans="13:17" x14ac:dyDescent="0.2">
      <c r="M157" s="227"/>
      <c r="N157" s="227"/>
      <c r="O157" s="227"/>
      <c r="P157" s="227"/>
      <c r="Q157" s="227"/>
    </row>
    <row r="158" spans="13:17" x14ac:dyDescent="0.2">
      <c r="M158" s="227"/>
      <c r="N158" s="227"/>
      <c r="O158" s="227"/>
      <c r="P158" s="227"/>
      <c r="Q158" s="227"/>
    </row>
    <row r="159" spans="13:17" x14ac:dyDescent="0.2">
      <c r="M159" s="227"/>
      <c r="N159" s="227"/>
      <c r="O159" s="227"/>
      <c r="P159" s="227"/>
      <c r="Q159" s="227"/>
    </row>
    <row r="160" spans="13:17" x14ac:dyDescent="0.2">
      <c r="M160" s="227"/>
      <c r="N160" s="227"/>
      <c r="O160" s="227"/>
      <c r="P160" s="227"/>
      <c r="Q160" s="227"/>
    </row>
    <row r="161" spans="13:17" x14ac:dyDescent="0.2">
      <c r="M161" s="227"/>
      <c r="N161" s="227"/>
      <c r="O161" s="227"/>
      <c r="P161" s="227"/>
      <c r="Q161" s="227"/>
    </row>
    <row r="162" spans="13:17" x14ac:dyDescent="0.2">
      <c r="M162" s="227"/>
      <c r="N162" s="227"/>
      <c r="O162" s="227"/>
      <c r="P162" s="227"/>
      <c r="Q162" s="227"/>
    </row>
    <row r="163" spans="13:17" x14ac:dyDescent="0.2">
      <c r="M163" s="227"/>
      <c r="N163" s="227"/>
      <c r="O163" s="227"/>
      <c r="P163" s="227"/>
      <c r="Q163" s="227"/>
    </row>
    <row r="164" spans="13:17" x14ac:dyDescent="0.2">
      <c r="M164" s="227"/>
      <c r="N164" s="227"/>
      <c r="O164" s="227"/>
      <c r="P164" s="227"/>
      <c r="Q164" s="227"/>
    </row>
    <row r="165" spans="13:17" x14ac:dyDescent="0.2">
      <c r="M165" s="227"/>
      <c r="N165" s="227"/>
      <c r="O165" s="227"/>
      <c r="P165" s="227"/>
      <c r="Q165" s="227"/>
    </row>
    <row r="166" spans="13:17" x14ac:dyDescent="0.2">
      <c r="M166" s="227"/>
      <c r="N166" s="227"/>
      <c r="O166" s="227"/>
      <c r="P166" s="227"/>
      <c r="Q166" s="227"/>
    </row>
    <row r="167" spans="13:17" x14ac:dyDescent="0.2">
      <c r="M167" s="227"/>
      <c r="N167" s="227"/>
      <c r="O167" s="227"/>
      <c r="P167" s="227"/>
      <c r="Q167" s="227"/>
    </row>
    <row r="168" spans="13:17" x14ac:dyDescent="0.2">
      <c r="M168" s="227"/>
      <c r="N168" s="227"/>
      <c r="O168" s="227"/>
      <c r="P168" s="227"/>
      <c r="Q168" s="227"/>
    </row>
    <row r="169" spans="13:17" x14ac:dyDescent="0.2">
      <c r="M169" s="227"/>
      <c r="N169" s="227"/>
      <c r="O169" s="227"/>
      <c r="P169" s="227"/>
      <c r="Q169" s="227"/>
    </row>
    <row r="170" spans="13:17" x14ac:dyDescent="0.2">
      <c r="M170" s="227"/>
      <c r="N170" s="227"/>
      <c r="O170" s="227"/>
      <c r="P170" s="227"/>
      <c r="Q170" s="227"/>
    </row>
    <row r="171" spans="13:17" x14ac:dyDescent="0.2">
      <c r="M171" s="227"/>
      <c r="N171" s="227"/>
      <c r="O171" s="227"/>
      <c r="P171" s="227"/>
      <c r="Q171" s="227"/>
    </row>
    <row r="172" spans="13:17" x14ac:dyDescent="0.2">
      <c r="M172" s="227"/>
      <c r="N172" s="227"/>
      <c r="O172" s="227"/>
      <c r="P172" s="227"/>
      <c r="Q172" s="227"/>
    </row>
    <row r="173" spans="13:17" x14ac:dyDescent="0.2">
      <c r="M173" s="227"/>
      <c r="N173" s="227"/>
      <c r="O173" s="227"/>
      <c r="P173" s="227"/>
      <c r="Q173" s="227"/>
    </row>
    <row r="174" spans="13:17" x14ac:dyDescent="0.2">
      <c r="M174" s="227"/>
      <c r="N174" s="227"/>
      <c r="O174" s="227"/>
      <c r="P174" s="227"/>
      <c r="Q174" s="227"/>
    </row>
    <row r="175" spans="13:17" x14ac:dyDescent="0.2">
      <c r="M175" s="227"/>
      <c r="N175" s="227"/>
      <c r="O175" s="227"/>
      <c r="P175" s="227"/>
      <c r="Q175" s="227"/>
    </row>
    <row r="176" spans="13:17" x14ac:dyDescent="0.2">
      <c r="M176" s="227"/>
      <c r="N176" s="227"/>
      <c r="O176" s="227"/>
      <c r="P176" s="227"/>
      <c r="Q176" s="227"/>
    </row>
    <row r="177" spans="13:17" x14ac:dyDescent="0.2">
      <c r="M177" s="227"/>
      <c r="N177" s="227"/>
      <c r="O177" s="227"/>
      <c r="P177" s="227"/>
      <c r="Q177" s="227"/>
    </row>
    <row r="178" spans="13:17" x14ac:dyDescent="0.2">
      <c r="M178" s="227"/>
      <c r="N178" s="227"/>
      <c r="O178" s="227"/>
      <c r="P178" s="227"/>
      <c r="Q178" s="227"/>
    </row>
    <row r="179" spans="13:17" x14ac:dyDescent="0.2">
      <c r="M179" s="227"/>
      <c r="N179" s="227"/>
      <c r="O179" s="227"/>
      <c r="P179" s="227"/>
      <c r="Q179" s="227"/>
    </row>
    <row r="180" spans="13:17" x14ac:dyDescent="0.2">
      <c r="M180" s="227"/>
      <c r="N180" s="227"/>
      <c r="O180" s="227"/>
      <c r="P180" s="227"/>
      <c r="Q180" s="227"/>
    </row>
    <row r="181" spans="13:17" x14ac:dyDescent="0.2">
      <c r="M181" s="227"/>
      <c r="N181" s="227"/>
      <c r="O181" s="227"/>
      <c r="P181" s="227"/>
      <c r="Q181" s="227"/>
    </row>
    <row r="182" spans="13:17" x14ac:dyDescent="0.2">
      <c r="M182" s="227"/>
      <c r="N182" s="227"/>
      <c r="O182" s="227"/>
      <c r="P182" s="227"/>
      <c r="Q182" s="227"/>
    </row>
    <row r="183" spans="13:17" x14ac:dyDescent="0.2">
      <c r="M183" s="227"/>
      <c r="N183" s="227"/>
      <c r="O183" s="227"/>
      <c r="P183" s="227"/>
      <c r="Q183" s="227"/>
    </row>
    <row r="184" spans="13:17" x14ac:dyDescent="0.2">
      <c r="M184" s="227"/>
      <c r="N184" s="227"/>
      <c r="O184" s="227"/>
      <c r="P184" s="227"/>
      <c r="Q184" s="227"/>
    </row>
    <row r="185" spans="13:17" x14ac:dyDescent="0.2">
      <c r="M185" s="227"/>
      <c r="N185" s="227"/>
      <c r="O185" s="227"/>
      <c r="P185" s="227"/>
      <c r="Q185" s="227"/>
    </row>
    <row r="186" spans="13:17" x14ac:dyDescent="0.2">
      <c r="M186" s="227"/>
      <c r="N186" s="227"/>
      <c r="O186" s="227"/>
      <c r="P186" s="227"/>
      <c r="Q186" s="227"/>
    </row>
    <row r="187" spans="13:17" x14ac:dyDescent="0.2">
      <c r="M187" s="227"/>
      <c r="N187" s="227"/>
      <c r="O187" s="227"/>
      <c r="P187" s="227"/>
      <c r="Q187" s="227"/>
    </row>
    <row r="188" spans="13:17" x14ac:dyDescent="0.2">
      <c r="M188" s="227"/>
      <c r="N188" s="227"/>
      <c r="O188" s="227"/>
      <c r="P188" s="227"/>
      <c r="Q188" s="227"/>
    </row>
    <row r="189" spans="13:17" x14ac:dyDescent="0.2">
      <c r="M189" s="227"/>
      <c r="N189" s="227"/>
      <c r="O189" s="227"/>
      <c r="P189" s="227"/>
      <c r="Q189" s="227"/>
    </row>
    <row r="190" spans="13:17" x14ac:dyDescent="0.2">
      <c r="M190" s="227"/>
      <c r="N190" s="227"/>
      <c r="O190" s="227"/>
      <c r="P190" s="227"/>
      <c r="Q190" s="227"/>
    </row>
    <row r="191" spans="13:17" x14ac:dyDescent="0.2">
      <c r="M191" s="227"/>
      <c r="N191" s="227"/>
      <c r="O191" s="227"/>
      <c r="P191" s="227"/>
      <c r="Q191" s="227"/>
    </row>
    <row r="192" spans="13:17" x14ac:dyDescent="0.2">
      <c r="M192" s="227"/>
      <c r="N192" s="227"/>
      <c r="O192" s="227"/>
      <c r="P192" s="227"/>
      <c r="Q192" s="227"/>
    </row>
    <row r="193" spans="13:17" x14ac:dyDescent="0.2">
      <c r="M193" s="227"/>
      <c r="N193" s="227"/>
      <c r="O193" s="227"/>
      <c r="P193" s="227"/>
      <c r="Q193" s="227"/>
    </row>
    <row r="194" spans="13:17" x14ac:dyDescent="0.2">
      <c r="M194" s="227"/>
      <c r="N194" s="227"/>
      <c r="O194" s="227"/>
      <c r="P194" s="227"/>
      <c r="Q194" s="227"/>
    </row>
    <row r="195" spans="13:17" x14ac:dyDescent="0.2">
      <c r="M195" s="227"/>
      <c r="N195" s="227"/>
      <c r="O195" s="227"/>
      <c r="P195" s="227"/>
      <c r="Q195" s="227"/>
    </row>
    <row r="196" spans="13:17" x14ac:dyDescent="0.2">
      <c r="M196" s="227"/>
      <c r="N196" s="227"/>
      <c r="O196" s="227"/>
      <c r="P196" s="227"/>
      <c r="Q196" s="227"/>
    </row>
    <row r="197" spans="13:17" x14ac:dyDescent="0.2">
      <c r="M197" s="227"/>
      <c r="N197" s="227"/>
      <c r="O197" s="227"/>
      <c r="P197" s="227"/>
      <c r="Q197" s="227"/>
    </row>
    <row r="198" spans="13:17" x14ac:dyDescent="0.2">
      <c r="M198" s="227"/>
      <c r="N198" s="227"/>
      <c r="O198" s="227"/>
      <c r="P198" s="227"/>
      <c r="Q198" s="227"/>
    </row>
    <row r="199" spans="13:17" x14ac:dyDescent="0.2">
      <c r="M199" s="227"/>
      <c r="N199" s="227"/>
      <c r="O199" s="227"/>
      <c r="P199" s="227"/>
      <c r="Q199" s="227"/>
    </row>
    <row r="200" spans="13:17" x14ac:dyDescent="0.2">
      <c r="M200" s="227"/>
      <c r="N200" s="227"/>
      <c r="O200" s="227"/>
      <c r="P200" s="227"/>
      <c r="Q200" s="227"/>
    </row>
    <row r="201" spans="13:17" x14ac:dyDescent="0.2">
      <c r="M201" s="227"/>
      <c r="N201" s="227"/>
      <c r="O201" s="227"/>
      <c r="P201" s="227"/>
      <c r="Q201" s="227"/>
    </row>
    <row r="202" spans="13:17" x14ac:dyDescent="0.2">
      <c r="M202" s="227"/>
      <c r="N202" s="227"/>
      <c r="O202" s="227"/>
      <c r="P202" s="227"/>
      <c r="Q202" s="227"/>
    </row>
    <row r="203" spans="13:17" x14ac:dyDescent="0.2">
      <c r="M203" s="227"/>
      <c r="N203" s="227"/>
      <c r="O203" s="227"/>
      <c r="P203" s="227"/>
      <c r="Q203" s="227"/>
    </row>
    <row r="204" spans="13:17" x14ac:dyDescent="0.2">
      <c r="M204" s="227"/>
      <c r="N204" s="227"/>
      <c r="O204" s="227"/>
      <c r="P204" s="227"/>
      <c r="Q204" s="227"/>
    </row>
    <row r="205" spans="13:17" x14ac:dyDescent="0.2">
      <c r="M205" s="227"/>
      <c r="N205" s="227"/>
      <c r="O205" s="227"/>
      <c r="P205" s="227"/>
      <c r="Q205" s="227"/>
    </row>
    <row r="206" spans="13:17" x14ac:dyDescent="0.2">
      <c r="M206" s="227"/>
      <c r="N206" s="227"/>
      <c r="O206" s="227"/>
      <c r="P206" s="227"/>
      <c r="Q206" s="227"/>
    </row>
    <row r="207" spans="13:17" x14ac:dyDescent="0.2">
      <c r="M207" s="227"/>
      <c r="N207" s="227"/>
      <c r="O207" s="227"/>
      <c r="P207" s="227"/>
      <c r="Q207" s="227"/>
    </row>
    <row r="208" spans="13:17" x14ac:dyDescent="0.2">
      <c r="M208" s="227"/>
      <c r="N208" s="227"/>
      <c r="O208" s="227"/>
      <c r="P208" s="227"/>
      <c r="Q208" s="227"/>
    </row>
    <row r="209" spans="13:17" x14ac:dyDescent="0.2">
      <c r="M209" s="227"/>
      <c r="N209" s="227"/>
      <c r="O209" s="227"/>
      <c r="P209" s="227"/>
      <c r="Q209" s="227"/>
    </row>
    <row r="210" spans="13:17" x14ac:dyDescent="0.2">
      <c r="M210" s="227"/>
      <c r="N210" s="227"/>
      <c r="O210" s="227"/>
      <c r="P210" s="227"/>
      <c r="Q210" s="227"/>
    </row>
    <row r="211" spans="13:17" x14ac:dyDescent="0.2">
      <c r="M211" s="227"/>
      <c r="N211" s="227"/>
      <c r="O211" s="227"/>
      <c r="P211" s="227"/>
      <c r="Q211" s="227"/>
    </row>
    <row r="212" spans="13:17" x14ac:dyDescent="0.2">
      <c r="M212" s="227"/>
      <c r="N212" s="227"/>
      <c r="O212" s="227"/>
      <c r="P212" s="227"/>
      <c r="Q212" s="227"/>
    </row>
    <row r="213" spans="13:17" x14ac:dyDescent="0.2">
      <c r="M213" s="227"/>
      <c r="N213" s="227"/>
      <c r="O213" s="227"/>
      <c r="P213" s="227"/>
      <c r="Q213" s="227"/>
    </row>
    <row r="214" spans="13:17" x14ac:dyDescent="0.2">
      <c r="M214" s="227"/>
      <c r="N214" s="227"/>
      <c r="O214" s="227"/>
      <c r="P214" s="227"/>
      <c r="Q214" s="227"/>
    </row>
    <row r="215" spans="13:17" x14ac:dyDescent="0.2">
      <c r="M215" s="227"/>
      <c r="N215" s="227"/>
      <c r="O215" s="227"/>
      <c r="P215" s="227"/>
      <c r="Q215" s="227"/>
    </row>
    <row r="216" spans="13:17" x14ac:dyDescent="0.2">
      <c r="M216" s="227"/>
      <c r="N216" s="227"/>
      <c r="O216" s="227"/>
      <c r="P216" s="227"/>
      <c r="Q216" s="227"/>
    </row>
    <row r="217" spans="13:17" x14ac:dyDescent="0.2">
      <c r="M217" s="227"/>
      <c r="N217" s="227"/>
      <c r="O217" s="227"/>
      <c r="P217" s="227"/>
      <c r="Q217" s="227"/>
    </row>
    <row r="218" spans="13:17" x14ac:dyDescent="0.2">
      <c r="M218" s="227"/>
      <c r="N218" s="227"/>
      <c r="O218" s="227"/>
      <c r="P218" s="227"/>
      <c r="Q218" s="227"/>
    </row>
    <row r="219" spans="13:17" x14ac:dyDescent="0.2">
      <c r="M219" s="227"/>
      <c r="N219" s="227"/>
      <c r="O219" s="227"/>
      <c r="P219" s="227"/>
      <c r="Q219" s="227"/>
    </row>
    <row r="220" spans="13:17" x14ac:dyDescent="0.2">
      <c r="M220" s="227"/>
      <c r="N220" s="227"/>
      <c r="O220" s="227"/>
      <c r="P220" s="227"/>
      <c r="Q220" s="227"/>
    </row>
    <row r="221" spans="13:17" x14ac:dyDescent="0.2">
      <c r="M221" s="227"/>
      <c r="N221" s="227"/>
      <c r="O221" s="227"/>
      <c r="P221" s="227"/>
      <c r="Q221" s="227"/>
    </row>
    <row r="222" spans="13:17" x14ac:dyDescent="0.2">
      <c r="M222" s="227"/>
      <c r="N222" s="227"/>
      <c r="O222" s="227"/>
      <c r="P222" s="227"/>
      <c r="Q222" s="227"/>
    </row>
    <row r="223" spans="13:17" x14ac:dyDescent="0.2">
      <c r="M223" s="227"/>
      <c r="N223" s="227"/>
      <c r="O223" s="227"/>
      <c r="P223" s="227"/>
      <c r="Q223" s="227"/>
    </row>
    <row r="224" spans="13:17" x14ac:dyDescent="0.2">
      <c r="M224" s="227"/>
      <c r="N224" s="227"/>
      <c r="O224" s="227"/>
      <c r="P224" s="227"/>
      <c r="Q224" s="227"/>
    </row>
    <row r="225" spans="13:17" x14ac:dyDescent="0.2">
      <c r="M225" s="227"/>
      <c r="N225" s="227"/>
      <c r="O225" s="227"/>
      <c r="P225" s="227"/>
      <c r="Q225" s="227"/>
    </row>
    <row r="226" spans="13:17" x14ac:dyDescent="0.2">
      <c r="M226" s="227"/>
      <c r="N226" s="227"/>
      <c r="O226" s="227"/>
      <c r="P226" s="227"/>
      <c r="Q226" s="227"/>
    </row>
    <row r="227" spans="13:17" x14ac:dyDescent="0.2">
      <c r="M227" s="227"/>
      <c r="N227" s="227"/>
      <c r="O227" s="227"/>
      <c r="P227" s="227"/>
      <c r="Q227" s="227"/>
    </row>
    <row r="228" spans="13:17" x14ac:dyDescent="0.2">
      <c r="M228" s="227"/>
      <c r="N228" s="227"/>
      <c r="O228" s="227"/>
      <c r="P228" s="227"/>
      <c r="Q228" s="227"/>
    </row>
    <row r="229" spans="13:17" x14ac:dyDescent="0.2">
      <c r="M229" s="227"/>
      <c r="N229" s="227"/>
      <c r="O229" s="227"/>
      <c r="P229" s="227"/>
      <c r="Q229" s="227"/>
    </row>
    <row r="230" spans="13:17" x14ac:dyDescent="0.2">
      <c r="M230" s="227"/>
      <c r="N230" s="227"/>
      <c r="O230" s="227"/>
      <c r="P230" s="227"/>
      <c r="Q230" s="227"/>
    </row>
    <row r="231" spans="13:17" x14ac:dyDescent="0.2">
      <c r="M231" s="227"/>
      <c r="N231" s="227"/>
      <c r="O231" s="227"/>
      <c r="P231" s="227"/>
      <c r="Q231" s="227"/>
    </row>
    <row r="232" spans="13:17" x14ac:dyDescent="0.2">
      <c r="M232" s="227"/>
      <c r="N232" s="227"/>
      <c r="O232" s="227"/>
      <c r="P232" s="227"/>
      <c r="Q232" s="227"/>
    </row>
    <row r="233" spans="13:17" x14ac:dyDescent="0.2">
      <c r="M233" s="227"/>
      <c r="N233" s="227"/>
      <c r="O233" s="227"/>
      <c r="P233" s="227"/>
      <c r="Q233" s="227"/>
    </row>
    <row r="234" spans="13:17" x14ac:dyDescent="0.2">
      <c r="M234" s="227"/>
      <c r="N234" s="227"/>
      <c r="O234" s="227"/>
      <c r="P234" s="227"/>
      <c r="Q234" s="227"/>
    </row>
    <row r="235" spans="13:17" x14ac:dyDescent="0.2">
      <c r="M235" s="227"/>
      <c r="N235" s="227"/>
      <c r="O235" s="227"/>
      <c r="P235" s="227"/>
      <c r="Q235" s="227"/>
    </row>
    <row r="236" spans="13:17" x14ac:dyDescent="0.2">
      <c r="M236" s="227"/>
      <c r="N236" s="227"/>
      <c r="O236" s="227"/>
      <c r="P236" s="227"/>
      <c r="Q236" s="227"/>
    </row>
    <row r="237" spans="13:17" x14ac:dyDescent="0.2">
      <c r="M237" s="227"/>
      <c r="N237" s="227"/>
      <c r="O237" s="227"/>
      <c r="P237" s="227"/>
      <c r="Q237" s="227"/>
    </row>
    <row r="238" spans="13:17" x14ac:dyDescent="0.2">
      <c r="M238" s="227"/>
      <c r="N238" s="227"/>
      <c r="O238" s="227"/>
      <c r="P238" s="227"/>
      <c r="Q238" s="227"/>
    </row>
    <row r="239" spans="13:17" x14ac:dyDescent="0.2">
      <c r="M239" s="227"/>
      <c r="N239" s="227"/>
      <c r="O239" s="227"/>
      <c r="P239" s="227"/>
      <c r="Q239" s="227"/>
    </row>
    <row r="240" spans="13:17" x14ac:dyDescent="0.2">
      <c r="M240" s="227"/>
      <c r="N240" s="227"/>
      <c r="O240" s="227"/>
      <c r="P240" s="227"/>
      <c r="Q240" s="227"/>
    </row>
    <row r="241" spans="13:17" x14ac:dyDescent="0.2">
      <c r="M241" s="227"/>
      <c r="N241" s="227"/>
      <c r="O241" s="227"/>
      <c r="P241" s="227"/>
      <c r="Q241" s="227"/>
    </row>
    <row r="242" spans="13:17" x14ac:dyDescent="0.2">
      <c r="M242" s="227"/>
      <c r="N242" s="227"/>
      <c r="O242" s="227"/>
      <c r="P242" s="227"/>
      <c r="Q242" s="227"/>
    </row>
    <row r="243" spans="13:17" x14ac:dyDescent="0.2">
      <c r="M243" s="227"/>
      <c r="N243" s="227"/>
      <c r="O243" s="227"/>
      <c r="P243" s="227"/>
      <c r="Q243" s="227"/>
    </row>
    <row r="244" spans="13:17" x14ac:dyDescent="0.2">
      <c r="M244" s="227"/>
      <c r="N244" s="227"/>
      <c r="O244" s="227"/>
      <c r="P244" s="227"/>
      <c r="Q244" s="227"/>
    </row>
    <row r="245" spans="13:17" x14ac:dyDescent="0.2">
      <c r="M245" s="227"/>
      <c r="N245" s="227"/>
      <c r="O245" s="227"/>
      <c r="P245" s="227"/>
      <c r="Q245" s="227"/>
    </row>
    <row r="246" spans="13:17" x14ac:dyDescent="0.2">
      <c r="M246" s="227"/>
      <c r="N246" s="227"/>
      <c r="O246" s="227"/>
      <c r="P246" s="227"/>
      <c r="Q246" s="227"/>
    </row>
    <row r="247" spans="13:17" x14ac:dyDescent="0.2">
      <c r="M247" s="227"/>
      <c r="N247" s="227"/>
      <c r="O247" s="227"/>
      <c r="P247" s="227"/>
      <c r="Q247" s="227"/>
    </row>
    <row r="248" spans="13:17" x14ac:dyDescent="0.2">
      <c r="M248" s="227"/>
      <c r="N248" s="227"/>
      <c r="O248" s="227"/>
      <c r="P248" s="227"/>
      <c r="Q248" s="227"/>
    </row>
    <row r="249" spans="13:17" x14ac:dyDescent="0.2">
      <c r="M249" s="227"/>
      <c r="N249" s="227"/>
      <c r="O249" s="227"/>
      <c r="P249" s="227"/>
      <c r="Q249" s="227"/>
    </row>
    <row r="250" spans="13:17" x14ac:dyDescent="0.2">
      <c r="M250" s="227"/>
      <c r="N250" s="227"/>
      <c r="O250" s="227"/>
      <c r="P250" s="227"/>
      <c r="Q250" s="227"/>
    </row>
    <row r="251" spans="13:17" x14ac:dyDescent="0.2">
      <c r="M251" s="227"/>
      <c r="N251" s="227"/>
      <c r="O251" s="227"/>
      <c r="P251" s="227"/>
      <c r="Q251" s="227"/>
    </row>
    <row r="252" spans="13:17" x14ac:dyDescent="0.2">
      <c r="M252" s="227"/>
      <c r="N252" s="227"/>
      <c r="O252" s="227"/>
      <c r="P252" s="227"/>
      <c r="Q252" s="227"/>
    </row>
    <row r="253" spans="13:17" x14ac:dyDescent="0.2">
      <c r="M253" s="227"/>
      <c r="N253" s="227"/>
      <c r="O253" s="227"/>
      <c r="P253" s="227"/>
      <c r="Q253" s="227"/>
    </row>
    <row r="254" spans="13:17" x14ac:dyDescent="0.2">
      <c r="M254" s="227"/>
      <c r="N254" s="227"/>
      <c r="O254" s="227"/>
      <c r="P254" s="227"/>
      <c r="Q254" s="227"/>
    </row>
    <row r="255" spans="13:17" x14ac:dyDescent="0.2">
      <c r="M255" s="227"/>
      <c r="N255" s="227"/>
      <c r="O255" s="227"/>
      <c r="P255" s="227"/>
      <c r="Q255" s="227"/>
    </row>
    <row r="256" spans="13:17" x14ac:dyDescent="0.2">
      <c r="M256" s="227"/>
      <c r="N256" s="227"/>
      <c r="O256" s="227"/>
      <c r="P256" s="227"/>
      <c r="Q256" s="227"/>
    </row>
    <row r="257" spans="13:17" x14ac:dyDescent="0.2">
      <c r="M257" s="227"/>
      <c r="N257" s="227"/>
      <c r="O257" s="227"/>
      <c r="P257" s="227"/>
      <c r="Q257" s="227"/>
    </row>
    <row r="258" spans="13:17" x14ac:dyDescent="0.2">
      <c r="M258" s="227"/>
      <c r="N258" s="227"/>
      <c r="O258" s="227"/>
      <c r="P258" s="227"/>
      <c r="Q258" s="227"/>
    </row>
    <row r="259" spans="13:17" x14ac:dyDescent="0.2">
      <c r="M259" s="227"/>
      <c r="N259" s="227"/>
      <c r="O259" s="227"/>
      <c r="P259" s="227"/>
      <c r="Q259" s="227"/>
    </row>
    <row r="260" spans="13:17" x14ac:dyDescent="0.2">
      <c r="M260" s="227"/>
      <c r="N260" s="227"/>
      <c r="O260" s="227"/>
      <c r="P260" s="227"/>
      <c r="Q260" s="227"/>
    </row>
    <row r="261" spans="13:17" x14ac:dyDescent="0.2">
      <c r="M261" s="227"/>
      <c r="N261" s="227"/>
      <c r="O261" s="227"/>
      <c r="P261" s="227"/>
      <c r="Q261" s="227"/>
    </row>
    <row r="262" spans="13:17" x14ac:dyDescent="0.2">
      <c r="M262" s="227"/>
      <c r="N262" s="227"/>
      <c r="O262" s="227"/>
      <c r="P262" s="227"/>
      <c r="Q262" s="227"/>
    </row>
    <row r="263" spans="13:17" x14ac:dyDescent="0.2">
      <c r="M263" s="227"/>
      <c r="N263" s="227"/>
      <c r="O263" s="227"/>
      <c r="P263" s="227"/>
      <c r="Q263" s="227"/>
    </row>
    <row r="264" spans="13:17" x14ac:dyDescent="0.2">
      <c r="M264" s="227"/>
      <c r="N264" s="227"/>
      <c r="O264" s="227"/>
      <c r="P264" s="227"/>
      <c r="Q264" s="227"/>
    </row>
    <row r="265" spans="13:17" x14ac:dyDescent="0.2">
      <c r="M265" s="227"/>
      <c r="N265" s="227"/>
      <c r="O265" s="227"/>
      <c r="P265" s="227"/>
      <c r="Q265" s="227"/>
    </row>
    <row r="266" spans="13:17" x14ac:dyDescent="0.2">
      <c r="M266" s="227"/>
      <c r="N266" s="227"/>
      <c r="O266" s="227"/>
      <c r="P266" s="227"/>
      <c r="Q266" s="227"/>
    </row>
    <row r="267" spans="13:17" x14ac:dyDescent="0.2">
      <c r="M267" s="227"/>
      <c r="N267" s="227"/>
      <c r="O267" s="227"/>
      <c r="P267" s="227"/>
      <c r="Q267" s="227"/>
    </row>
    <row r="268" spans="13:17" x14ac:dyDescent="0.2">
      <c r="M268" s="227"/>
      <c r="N268" s="227"/>
      <c r="O268" s="227"/>
      <c r="P268" s="227"/>
      <c r="Q268" s="227"/>
    </row>
    <row r="269" spans="13:17" x14ac:dyDescent="0.2">
      <c r="M269" s="227"/>
      <c r="N269" s="227"/>
      <c r="O269" s="227"/>
      <c r="P269" s="227"/>
      <c r="Q269" s="227"/>
    </row>
    <row r="270" spans="13:17" x14ac:dyDescent="0.2">
      <c r="M270" s="227"/>
      <c r="N270" s="227"/>
      <c r="O270" s="227"/>
      <c r="P270" s="227"/>
      <c r="Q270" s="227"/>
    </row>
    <row r="271" spans="13:17" x14ac:dyDescent="0.2">
      <c r="M271" s="227"/>
      <c r="N271" s="227"/>
      <c r="O271" s="227"/>
      <c r="P271" s="227"/>
      <c r="Q271" s="227"/>
    </row>
    <row r="272" spans="13:17" x14ac:dyDescent="0.2">
      <c r="M272" s="227"/>
      <c r="N272" s="227"/>
      <c r="O272" s="227"/>
      <c r="P272" s="227"/>
      <c r="Q272" s="227"/>
    </row>
    <row r="273" spans="13:17" x14ac:dyDescent="0.2">
      <c r="M273" s="227"/>
      <c r="N273" s="227"/>
      <c r="O273" s="227"/>
      <c r="P273" s="227"/>
      <c r="Q273" s="227"/>
    </row>
    <row r="274" spans="13:17" x14ac:dyDescent="0.2">
      <c r="M274" s="227"/>
      <c r="N274" s="227"/>
      <c r="O274" s="227"/>
      <c r="P274" s="227"/>
      <c r="Q274" s="227"/>
    </row>
    <row r="275" spans="13:17" x14ac:dyDescent="0.2">
      <c r="M275" s="227"/>
      <c r="N275" s="227"/>
      <c r="O275" s="227"/>
      <c r="P275" s="227"/>
      <c r="Q275" s="227"/>
    </row>
    <row r="276" spans="13:17" x14ac:dyDescent="0.2">
      <c r="M276" s="227"/>
      <c r="N276" s="227"/>
      <c r="O276" s="227"/>
      <c r="P276" s="227"/>
      <c r="Q276" s="227"/>
    </row>
    <row r="277" spans="13:17" x14ac:dyDescent="0.2">
      <c r="M277" s="227"/>
      <c r="N277" s="227"/>
      <c r="O277" s="227"/>
      <c r="P277" s="227"/>
      <c r="Q277" s="227"/>
    </row>
    <row r="278" spans="13:17" x14ac:dyDescent="0.2">
      <c r="M278" s="227"/>
      <c r="N278" s="227"/>
      <c r="O278" s="227"/>
      <c r="P278" s="227"/>
      <c r="Q278" s="227"/>
    </row>
    <row r="279" spans="13:17" x14ac:dyDescent="0.2">
      <c r="M279" s="227"/>
      <c r="N279" s="227"/>
      <c r="O279" s="227"/>
      <c r="P279" s="227"/>
      <c r="Q279" s="227"/>
    </row>
    <row r="280" spans="13:17" x14ac:dyDescent="0.2">
      <c r="M280" s="227"/>
      <c r="N280" s="227"/>
      <c r="O280" s="227"/>
      <c r="P280" s="227"/>
      <c r="Q280" s="227"/>
    </row>
    <row r="281" spans="13:17" x14ac:dyDescent="0.2">
      <c r="M281" s="227"/>
      <c r="N281" s="227"/>
      <c r="O281" s="227"/>
      <c r="P281" s="227"/>
      <c r="Q281" s="227"/>
    </row>
    <row r="282" spans="13:17" x14ac:dyDescent="0.2">
      <c r="M282" s="227"/>
      <c r="N282" s="227"/>
      <c r="O282" s="227"/>
      <c r="P282" s="227"/>
      <c r="Q282" s="227"/>
    </row>
    <row r="283" spans="13:17" x14ac:dyDescent="0.2">
      <c r="M283" s="227"/>
      <c r="N283" s="227"/>
      <c r="O283" s="227"/>
      <c r="P283" s="227"/>
      <c r="Q283" s="227"/>
    </row>
    <row r="284" spans="13:17" x14ac:dyDescent="0.2">
      <c r="M284" s="227"/>
      <c r="N284" s="227"/>
      <c r="O284" s="227"/>
      <c r="P284" s="227"/>
      <c r="Q284" s="227"/>
    </row>
    <row r="285" spans="13:17" x14ac:dyDescent="0.2">
      <c r="M285" s="227"/>
      <c r="N285" s="227"/>
      <c r="O285" s="227"/>
      <c r="P285" s="227"/>
      <c r="Q285" s="227"/>
    </row>
    <row r="286" spans="13:17" x14ac:dyDescent="0.2">
      <c r="M286" s="227"/>
      <c r="N286" s="227"/>
      <c r="O286" s="227"/>
      <c r="P286" s="227"/>
      <c r="Q286" s="227"/>
    </row>
    <row r="287" spans="13:17" x14ac:dyDescent="0.2">
      <c r="M287" s="227"/>
      <c r="N287" s="227"/>
      <c r="O287" s="227"/>
      <c r="P287" s="227"/>
      <c r="Q287" s="227"/>
    </row>
    <row r="288" spans="13:17" x14ac:dyDescent="0.2">
      <c r="M288" s="227"/>
      <c r="N288" s="227"/>
      <c r="O288" s="227"/>
      <c r="P288" s="227"/>
      <c r="Q288" s="227"/>
    </row>
    <row r="289" spans="13:17" x14ac:dyDescent="0.2">
      <c r="M289" s="227"/>
      <c r="N289" s="227"/>
      <c r="O289" s="227"/>
      <c r="P289" s="227"/>
      <c r="Q289" s="227"/>
    </row>
    <row r="290" spans="13:17" x14ac:dyDescent="0.2">
      <c r="M290" s="227"/>
      <c r="N290" s="227"/>
      <c r="O290" s="227"/>
      <c r="P290" s="227"/>
      <c r="Q290" s="227"/>
    </row>
    <row r="291" spans="13:17" x14ac:dyDescent="0.2">
      <c r="M291" s="227"/>
      <c r="N291" s="227"/>
      <c r="O291" s="227"/>
      <c r="P291" s="227"/>
      <c r="Q291" s="227"/>
    </row>
    <row r="292" spans="13:17" x14ac:dyDescent="0.2">
      <c r="M292" s="227"/>
      <c r="N292" s="227"/>
      <c r="O292" s="227"/>
      <c r="P292" s="227"/>
      <c r="Q292" s="227"/>
    </row>
    <row r="293" spans="13:17" x14ac:dyDescent="0.2">
      <c r="M293" s="227"/>
      <c r="N293" s="227"/>
      <c r="O293" s="227"/>
      <c r="P293" s="227"/>
      <c r="Q293" s="227"/>
    </row>
    <row r="294" spans="13:17" x14ac:dyDescent="0.2">
      <c r="M294" s="227"/>
      <c r="N294" s="227"/>
      <c r="O294" s="227"/>
      <c r="P294" s="227"/>
      <c r="Q294" s="227"/>
    </row>
    <row r="295" spans="13:17" x14ac:dyDescent="0.2">
      <c r="M295" s="227"/>
      <c r="N295" s="227"/>
      <c r="O295" s="227"/>
      <c r="P295" s="227"/>
      <c r="Q295" s="227"/>
    </row>
    <row r="296" spans="13:17" x14ac:dyDescent="0.2">
      <c r="M296" s="227"/>
      <c r="N296" s="227"/>
      <c r="O296" s="227"/>
      <c r="P296" s="227"/>
      <c r="Q296" s="227"/>
    </row>
    <row r="297" spans="13:17" x14ac:dyDescent="0.2">
      <c r="M297" s="227"/>
      <c r="N297" s="227"/>
      <c r="O297" s="227"/>
      <c r="P297" s="227"/>
      <c r="Q297" s="227"/>
    </row>
    <row r="298" spans="13:17" x14ac:dyDescent="0.2">
      <c r="M298" s="227"/>
      <c r="N298" s="227"/>
      <c r="O298" s="227"/>
      <c r="P298" s="227"/>
      <c r="Q298" s="227"/>
    </row>
    <row r="299" spans="13:17" x14ac:dyDescent="0.2">
      <c r="M299" s="227"/>
      <c r="N299" s="227"/>
      <c r="O299" s="227"/>
      <c r="P299" s="227"/>
      <c r="Q299" s="227"/>
    </row>
    <row r="300" spans="13:17" x14ac:dyDescent="0.2">
      <c r="M300" s="227"/>
      <c r="N300" s="227"/>
      <c r="O300" s="227"/>
      <c r="P300" s="227"/>
      <c r="Q300" s="227"/>
    </row>
    <row r="301" spans="13:17" x14ac:dyDescent="0.2">
      <c r="M301" s="227"/>
      <c r="N301" s="227"/>
      <c r="O301" s="227"/>
      <c r="P301" s="227"/>
      <c r="Q301" s="227"/>
    </row>
    <row r="302" spans="13:17" x14ac:dyDescent="0.2">
      <c r="M302" s="227"/>
      <c r="N302" s="227"/>
      <c r="O302" s="227"/>
      <c r="P302" s="227"/>
      <c r="Q302" s="227"/>
    </row>
    <row r="303" spans="13:17" x14ac:dyDescent="0.2">
      <c r="M303" s="227"/>
      <c r="N303" s="227"/>
      <c r="O303" s="227"/>
      <c r="P303" s="227"/>
      <c r="Q303" s="227"/>
    </row>
    <row r="304" spans="13:17" x14ac:dyDescent="0.2">
      <c r="M304" s="227"/>
      <c r="N304" s="227"/>
      <c r="O304" s="227"/>
      <c r="P304" s="227"/>
      <c r="Q304" s="227"/>
    </row>
    <row r="305" spans="13:17" x14ac:dyDescent="0.2">
      <c r="M305" s="227"/>
      <c r="N305" s="227"/>
      <c r="O305" s="227"/>
      <c r="P305" s="227"/>
      <c r="Q305" s="227"/>
    </row>
    <row r="306" spans="13:17" x14ac:dyDescent="0.2">
      <c r="M306" s="227"/>
      <c r="N306" s="227"/>
      <c r="O306" s="227"/>
      <c r="P306" s="227"/>
      <c r="Q306" s="227"/>
    </row>
    <row r="307" spans="13:17" x14ac:dyDescent="0.2">
      <c r="M307" s="227"/>
      <c r="N307" s="227"/>
      <c r="O307" s="227"/>
      <c r="P307" s="227"/>
      <c r="Q307" s="227"/>
    </row>
    <row r="308" spans="13:17" x14ac:dyDescent="0.2">
      <c r="M308" s="227"/>
      <c r="N308" s="227"/>
      <c r="O308" s="227"/>
      <c r="P308" s="227"/>
      <c r="Q308" s="227"/>
    </row>
    <row r="309" spans="13:17" x14ac:dyDescent="0.2">
      <c r="M309" s="227"/>
      <c r="N309" s="227"/>
      <c r="O309" s="227"/>
      <c r="P309" s="227"/>
      <c r="Q309" s="227"/>
    </row>
    <row r="310" spans="13:17" x14ac:dyDescent="0.2">
      <c r="M310" s="227"/>
      <c r="N310" s="227"/>
      <c r="O310" s="227"/>
      <c r="P310" s="227"/>
      <c r="Q310" s="227"/>
    </row>
    <row r="311" spans="13:17" x14ac:dyDescent="0.2">
      <c r="M311" s="227"/>
      <c r="N311" s="227"/>
      <c r="O311" s="227"/>
      <c r="P311" s="227"/>
      <c r="Q311" s="227"/>
    </row>
    <row r="312" spans="13:17" x14ac:dyDescent="0.2">
      <c r="M312" s="227"/>
      <c r="N312" s="227"/>
      <c r="O312" s="227"/>
      <c r="P312" s="227"/>
      <c r="Q312" s="227"/>
    </row>
    <row r="313" spans="13:17" x14ac:dyDescent="0.2">
      <c r="M313" s="227"/>
      <c r="N313" s="227"/>
      <c r="O313" s="227"/>
      <c r="P313" s="227"/>
      <c r="Q313" s="227"/>
    </row>
    <row r="314" spans="13:17" x14ac:dyDescent="0.2">
      <c r="M314" s="227"/>
      <c r="N314" s="227"/>
      <c r="O314" s="227"/>
      <c r="P314" s="227"/>
      <c r="Q314" s="227"/>
    </row>
    <row r="315" spans="13:17" x14ac:dyDescent="0.2">
      <c r="M315" s="227"/>
      <c r="N315" s="227"/>
      <c r="O315" s="227"/>
      <c r="P315" s="227"/>
      <c r="Q315" s="227"/>
    </row>
    <row r="316" spans="13:17" x14ac:dyDescent="0.2">
      <c r="M316" s="227"/>
      <c r="N316" s="227"/>
      <c r="O316" s="227"/>
      <c r="P316" s="227"/>
      <c r="Q316" s="227"/>
    </row>
    <row r="317" spans="13:17" x14ac:dyDescent="0.2">
      <c r="M317" s="227"/>
      <c r="N317" s="227"/>
      <c r="O317" s="227"/>
      <c r="P317" s="227"/>
      <c r="Q317" s="227"/>
    </row>
    <row r="318" spans="13:17" x14ac:dyDescent="0.2">
      <c r="M318" s="227"/>
      <c r="N318" s="227"/>
      <c r="O318" s="227"/>
      <c r="P318" s="227"/>
      <c r="Q318" s="227"/>
    </row>
    <row r="319" spans="13:17" x14ac:dyDescent="0.2">
      <c r="M319" s="227"/>
      <c r="N319" s="227"/>
      <c r="O319" s="227"/>
      <c r="P319" s="227"/>
      <c r="Q319" s="227"/>
    </row>
    <row r="320" spans="13:17" x14ac:dyDescent="0.2">
      <c r="M320" s="227"/>
      <c r="N320" s="227"/>
      <c r="O320" s="227"/>
      <c r="P320" s="227"/>
      <c r="Q320" s="227"/>
    </row>
    <row r="321" spans="13:17" x14ac:dyDescent="0.2">
      <c r="M321" s="227"/>
      <c r="N321" s="227"/>
      <c r="O321" s="227"/>
      <c r="P321" s="227"/>
      <c r="Q321" s="227"/>
    </row>
    <row r="322" spans="13:17" x14ac:dyDescent="0.2">
      <c r="M322" s="227"/>
      <c r="N322" s="227"/>
      <c r="O322" s="227"/>
      <c r="P322" s="227"/>
      <c r="Q322" s="227"/>
    </row>
    <row r="323" spans="13:17" x14ac:dyDescent="0.2">
      <c r="M323" s="227"/>
      <c r="N323" s="227"/>
      <c r="O323" s="227"/>
      <c r="P323" s="227"/>
      <c r="Q323" s="227"/>
    </row>
    <row r="324" spans="13:17" x14ac:dyDescent="0.2">
      <c r="M324" s="227"/>
      <c r="N324" s="227"/>
      <c r="O324" s="227"/>
      <c r="P324" s="227"/>
      <c r="Q324" s="227"/>
    </row>
    <row r="325" spans="13:17" x14ac:dyDescent="0.2">
      <c r="M325" s="227"/>
      <c r="N325" s="227"/>
      <c r="O325" s="227"/>
      <c r="P325" s="227"/>
      <c r="Q325" s="227"/>
    </row>
    <row r="326" spans="13:17" x14ac:dyDescent="0.2">
      <c r="M326" s="227"/>
      <c r="N326" s="227"/>
      <c r="O326" s="227"/>
      <c r="P326" s="227"/>
      <c r="Q326" s="227"/>
    </row>
    <row r="327" spans="13:17" x14ac:dyDescent="0.2">
      <c r="M327" s="227"/>
      <c r="N327" s="227"/>
      <c r="O327" s="227"/>
      <c r="P327" s="227"/>
      <c r="Q327" s="227"/>
    </row>
    <row r="328" spans="13:17" x14ac:dyDescent="0.2">
      <c r="M328" s="227"/>
      <c r="N328" s="227"/>
      <c r="O328" s="227"/>
      <c r="P328" s="227"/>
      <c r="Q328" s="227"/>
    </row>
    <row r="329" spans="13:17" x14ac:dyDescent="0.2">
      <c r="M329" s="227"/>
      <c r="N329" s="227"/>
      <c r="O329" s="227"/>
      <c r="P329" s="227"/>
      <c r="Q329" s="227"/>
    </row>
    <row r="330" spans="13:17" x14ac:dyDescent="0.2">
      <c r="M330" s="227"/>
      <c r="N330" s="227"/>
      <c r="O330" s="227"/>
      <c r="P330" s="227"/>
      <c r="Q330" s="227"/>
    </row>
    <row r="331" spans="13:17" x14ac:dyDescent="0.2">
      <c r="M331" s="227"/>
      <c r="N331" s="227"/>
      <c r="O331" s="227"/>
      <c r="P331" s="227"/>
      <c r="Q331" s="227"/>
    </row>
    <row r="332" spans="13:17" x14ac:dyDescent="0.2">
      <c r="M332" s="227"/>
      <c r="N332" s="227"/>
      <c r="O332" s="227"/>
      <c r="P332" s="227"/>
      <c r="Q332" s="227"/>
    </row>
    <row r="333" spans="13:17" x14ac:dyDescent="0.2">
      <c r="M333" s="227"/>
      <c r="N333" s="227"/>
      <c r="O333" s="227"/>
      <c r="P333" s="227"/>
      <c r="Q333" s="227"/>
    </row>
    <row r="334" spans="13:17" x14ac:dyDescent="0.2">
      <c r="M334" s="227"/>
      <c r="N334" s="227"/>
      <c r="O334" s="227"/>
      <c r="P334" s="227"/>
      <c r="Q334" s="227"/>
    </row>
    <row r="335" spans="13:17" x14ac:dyDescent="0.2">
      <c r="M335" s="227"/>
      <c r="N335" s="227"/>
      <c r="O335" s="227"/>
      <c r="P335" s="227"/>
      <c r="Q335" s="227"/>
    </row>
    <row r="336" spans="13:17" x14ac:dyDescent="0.2">
      <c r="M336" s="227"/>
      <c r="N336" s="227"/>
      <c r="O336" s="227"/>
      <c r="P336" s="227"/>
      <c r="Q336" s="227"/>
    </row>
    <row r="337" spans="13:17" x14ac:dyDescent="0.2">
      <c r="M337" s="227"/>
      <c r="N337" s="227"/>
      <c r="O337" s="227"/>
      <c r="P337" s="227"/>
      <c r="Q337" s="227"/>
    </row>
    <row r="338" spans="13:17" x14ac:dyDescent="0.2">
      <c r="M338" s="227"/>
      <c r="N338" s="227"/>
      <c r="O338" s="227"/>
      <c r="P338" s="227"/>
      <c r="Q338" s="227"/>
    </row>
    <row r="339" spans="13:17" x14ac:dyDescent="0.2">
      <c r="M339" s="227"/>
      <c r="N339" s="227"/>
      <c r="O339" s="227"/>
      <c r="P339" s="227"/>
      <c r="Q339" s="227"/>
    </row>
    <row r="340" spans="13:17" x14ac:dyDescent="0.2">
      <c r="M340" s="227"/>
      <c r="N340" s="227"/>
      <c r="O340" s="227"/>
      <c r="P340" s="227"/>
      <c r="Q340" s="227"/>
    </row>
    <row r="341" spans="13:17" x14ac:dyDescent="0.2">
      <c r="M341" s="227"/>
      <c r="N341" s="227"/>
      <c r="O341" s="227"/>
      <c r="P341" s="227"/>
      <c r="Q341" s="227"/>
    </row>
    <row r="342" spans="13:17" x14ac:dyDescent="0.2">
      <c r="M342" s="227"/>
      <c r="N342" s="227"/>
      <c r="O342" s="227"/>
      <c r="P342" s="227"/>
      <c r="Q342" s="227"/>
    </row>
    <row r="343" spans="13:17" x14ac:dyDescent="0.2">
      <c r="M343" s="227"/>
      <c r="N343" s="227"/>
      <c r="O343" s="227"/>
      <c r="P343" s="227"/>
      <c r="Q343" s="227"/>
    </row>
    <row r="344" spans="13:17" x14ac:dyDescent="0.2">
      <c r="M344" s="227"/>
      <c r="N344" s="227"/>
      <c r="O344" s="227"/>
      <c r="P344" s="227"/>
      <c r="Q344" s="227"/>
    </row>
    <row r="345" spans="13:17" x14ac:dyDescent="0.2">
      <c r="M345" s="227"/>
      <c r="N345" s="227"/>
      <c r="O345" s="227"/>
      <c r="P345" s="227"/>
      <c r="Q345" s="227"/>
    </row>
    <row r="346" spans="13:17" x14ac:dyDescent="0.2">
      <c r="M346" s="227"/>
      <c r="N346" s="227"/>
      <c r="O346" s="227"/>
      <c r="P346" s="227"/>
      <c r="Q346" s="227"/>
    </row>
    <row r="347" spans="13:17" x14ac:dyDescent="0.2">
      <c r="M347" s="227"/>
      <c r="N347" s="227"/>
      <c r="O347" s="227"/>
      <c r="P347" s="227"/>
      <c r="Q347" s="227"/>
    </row>
    <row r="348" spans="13:17" x14ac:dyDescent="0.2">
      <c r="M348" s="227"/>
      <c r="N348" s="227"/>
      <c r="O348" s="227"/>
      <c r="P348" s="227"/>
      <c r="Q348" s="227"/>
    </row>
    <row r="349" spans="13:17" x14ac:dyDescent="0.2">
      <c r="M349" s="227"/>
      <c r="N349" s="227"/>
      <c r="O349" s="227"/>
      <c r="P349" s="227"/>
      <c r="Q349" s="227"/>
    </row>
    <row r="350" spans="13:17" x14ac:dyDescent="0.2">
      <c r="M350" s="227"/>
      <c r="N350" s="227"/>
      <c r="O350" s="227"/>
      <c r="P350" s="227"/>
      <c r="Q350" s="227"/>
    </row>
    <row r="351" spans="13:17" x14ac:dyDescent="0.2">
      <c r="M351" s="227"/>
      <c r="N351" s="227"/>
      <c r="O351" s="227"/>
      <c r="P351" s="227"/>
      <c r="Q351" s="227"/>
    </row>
    <row r="352" spans="13:17" x14ac:dyDescent="0.2">
      <c r="M352" s="227"/>
      <c r="N352" s="227"/>
      <c r="O352" s="227"/>
      <c r="P352" s="227"/>
      <c r="Q352" s="227"/>
    </row>
    <row r="353" spans="13:17" x14ac:dyDescent="0.2">
      <c r="M353" s="227"/>
      <c r="N353" s="227"/>
      <c r="O353" s="227"/>
      <c r="P353" s="227"/>
      <c r="Q353" s="227"/>
    </row>
    <row r="354" spans="13:17" x14ac:dyDescent="0.2">
      <c r="M354" s="227"/>
      <c r="N354" s="227"/>
      <c r="O354" s="227"/>
      <c r="P354" s="227"/>
      <c r="Q354" s="227"/>
    </row>
    <row r="355" spans="13:17" x14ac:dyDescent="0.2">
      <c r="M355" s="227"/>
      <c r="N355" s="227"/>
      <c r="O355" s="227"/>
      <c r="P355" s="227"/>
      <c r="Q355" s="227"/>
    </row>
    <row r="356" spans="13:17" x14ac:dyDescent="0.2">
      <c r="M356" s="227"/>
      <c r="N356" s="227"/>
      <c r="O356" s="227"/>
      <c r="P356" s="227"/>
      <c r="Q356" s="227"/>
    </row>
    <row r="357" spans="13:17" x14ac:dyDescent="0.2">
      <c r="M357" s="227"/>
      <c r="N357" s="227"/>
      <c r="O357" s="227"/>
      <c r="P357" s="227"/>
      <c r="Q357" s="227"/>
    </row>
    <row r="358" spans="13:17" x14ac:dyDescent="0.2">
      <c r="M358" s="227"/>
      <c r="N358" s="227"/>
      <c r="O358" s="227"/>
      <c r="P358" s="227"/>
      <c r="Q358" s="227"/>
    </row>
    <row r="359" spans="13:17" x14ac:dyDescent="0.2">
      <c r="M359" s="227"/>
      <c r="N359" s="227"/>
      <c r="O359" s="227"/>
      <c r="P359" s="227"/>
      <c r="Q359" s="227"/>
    </row>
    <row r="360" spans="13:17" x14ac:dyDescent="0.2">
      <c r="M360" s="227"/>
      <c r="N360" s="227"/>
      <c r="O360" s="227"/>
      <c r="P360" s="227"/>
      <c r="Q360" s="227"/>
    </row>
    <row r="361" spans="13:17" x14ac:dyDescent="0.2">
      <c r="M361" s="227"/>
      <c r="N361" s="227"/>
      <c r="O361" s="227"/>
      <c r="P361" s="227"/>
      <c r="Q361" s="227"/>
    </row>
    <row r="362" spans="13:17" x14ac:dyDescent="0.2">
      <c r="M362" s="227"/>
      <c r="N362" s="227"/>
      <c r="O362" s="227"/>
      <c r="P362" s="227"/>
      <c r="Q362" s="227"/>
    </row>
    <row r="363" spans="13:17" x14ac:dyDescent="0.2">
      <c r="M363" s="227"/>
      <c r="N363" s="227"/>
      <c r="O363" s="227"/>
      <c r="P363" s="227"/>
      <c r="Q363" s="227"/>
    </row>
    <row r="364" spans="13:17" x14ac:dyDescent="0.2">
      <c r="M364" s="227"/>
      <c r="N364" s="227"/>
      <c r="O364" s="227"/>
      <c r="P364" s="227"/>
      <c r="Q364" s="227"/>
    </row>
    <row r="365" spans="13:17" x14ac:dyDescent="0.2">
      <c r="M365" s="227"/>
      <c r="N365" s="227"/>
      <c r="O365" s="227"/>
      <c r="P365" s="227"/>
      <c r="Q365" s="227"/>
    </row>
    <row r="366" spans="13:17" x14ac:dyDescent="0.2">
      <c r="M366" s="227"/>
      <c r="N366" s="227"/>
      <c r="O366" s="227"/>
      <c r="P366" s="227"/>
      <c r="Q366" s="227"/>
    </row>
    <row r="367" spans="13:17" x14ac:dyDescent="0.2">
      <c r="M367" s="227"/>
      <c r="N367" s="227"/>
      <c r="O367" s="227"/>
      <c r="P367" s="227"/>
      <c r="Q367" s="227"/>
    </row>
    <row r="368" spans="13:17" x14ac:dyDescent="0.2">
      <c r="M368" s="227"/>
      <c r="N368" s="227"/>
      <c r="O368" s="227"/>
      <c r="P368" s="227"/>
      <c r="Q368" s="227"/>
    </row>
    <row r="369" spans="13:17" x14ac:dyDescent="0.2">
      <c r="M369" s="227"/>
      <c r="N369" s="227"/>
      <c r="O369" s="227"/>
      <c r="P369" s="227"/>
      <c r="Q369" s="227"/>
    </row>
    <row r="370" spans="13:17" x14ac:dyDescent="0.2">
      <c r="M370" s="227"/>
      <c r="N370" s="227"/>
      <c r="O370" s="227"/>
      <c r="P370" s="227"/>
      <c r="Q370" s="227"/>
    </row>
    <row r="371" spans="13:17" x14ac:dyDescent="0.2">
      <c r="M371" s="227"/>
      <c r="N371" s="227"/>
      <c r="O371" s="227"/>
      <c r="P371" s="227"/>
      <c r="Q371" s="227"/>
    </row>
    <row r="372" spans="13:17" x14ac:dyDescent="0.2">
      <c r="M372" s="227"/>
      <c r="N372" s="227"/>
      <c r="O372" s="227"/>
      <c r="P372" s="227"/>
      <c r="Q372" s="227"/>
    </row>
    <row r="373" spans="13:17" x14ac:dyDescent="0.2">
      <c r="M373" s="227"/>
      <c r="N373" s="227"/>
      <c r="O373" s="227"/>
      <c r="P373" s="227"/>
      <c r="Q373" s="227"/>
    </row>
    <row r="374" spans="13:17" x14ac:dyDescent="0.2">
      <c r="M374" s="227"/>
      <c r="N374" s="227"/>
      <c r="O374" s="227"/>
      <c r="P374" s="227"/>
      <c r="Q374" s="227"/>
    </row>
    <row r="375" spans="13:17" x14ac:dyDescent="0.2">
      <c r="M375" s="227"/>
      <c r="N375" s="227"/>
      <c r="O375" s="227"/>
      <c r="P375" s="227"/>
      <c r="Q375" s="227"/>
    </row>
    <row r="376" spans="13:17" x14ac:dyDescent="0.2">
      <c r="M376" s="227"/>
      <c r="N376" s="227"/>
      <c r="O376" s="227"/>
      <c r="P376" s="227"/>
      <c r="Q376" s="227"/>
    </row>
    <row r="377" spans="13:17" x14ac:dyDescent="0.2">
      <c r="M377" s="227"/>
      <c r="N377" s="227"/>
      <c r="O377" s="227"/>
      <c r="P377" s="227"/>
      <c r="Q377" s="227"/>
    </row>
    <row r="378" spans="13:17" x14ac:dyDescent="0.2">
      <c r="M378" s="227"/>
      <c r="N378" s="227"/>
      <c r="O378" s="227"/>
      <c r="P378" s="227"/>
      <c r="Q378" s="227"/>
    </row>
    <row r="379" spans="13:17" x14ac:dyDescent="0.2">
      <c r="M379" s="227"/>
      <c r="N379" s="227"/>
      <c r="O379" s="227"/>
      <c r="P379" s="227"/>
      <c r="Q379" s="227"/>
    </row>
    <row r="380" spans="13:17" x14ac:dyDescent="0.2">
      <c r="M380" s="227"/>
      <c r="N380" s="227"/>
      <c r="O380" s="227"/>
      <c r="P380" s="227"/>
      <c r="Q380" s="227"/>
    </row>
    <row r="381" spans="13:17" x14ac:dyDescent="0.2">
      <c r="M381" s="227"/>
      <c r="N381" s="227"/>
      <c r="O381" s="227"/>
      <c r="P381" s="227"/>
      <c r="Q381" s="227"/>
    </row>
    <row r="382" spans="13:17" x14ac:dyDescent="0.2">
      <c r="M382" s="227"/>
      <c r="N382" s="227"/>
      <c r="O382" s="227"/>
      <c r="P382" s="227"/>
      <c r="Q382" s="227"/>
    </row>
    <row r="383" spans="13:17" x14ac:dyDescent="0.2">
      <c r="M383" s="227"/>
      <c r="N383" s="227"/>
      <c r="O383" s="227"/>
      <c r="P383" s="227"/>
      <c r="Q383" s="227"/>
    </row>
    <row r="384" spans="13:17" x14ac:dyDescent="0.2">
      <c r="M384" s="227"/>
      <c r="N384" s="227"/>
      <c r="O384" s="227"/>
      <c r="P384" s="227"/>
      <c r="Q384" s="227"/>
    </row>
    <row r="385" spans="13:17" x14ac:dyDescent="0.2">
      <c r="M385" s="227"/>
      <c r="N385" s="227"/>
      <c r="O385" s="227"/>
      <c r="P385" s="227"/>
      <c r="Q385" s="227"/>
    </row>
    <row r="386" spans="13:17" x14ac:dyDescent="0.2">
      <c r="M386" s="227"/>
      <c r="N386" s="227"/>
      <c r="O386" s="227"/>
      <c r="P386" s="227"/>
      <c r="Q386" s="227"/>
    </row>
    <row r="387" spans="13:17" x14ac:dyDescent="0.2">
      <c r="M387" s="227"/>
      <c r="N387" s="227"/>
      <c r="O387" s="227"/>
      <c r="P387" s="227"/>
      <c r="Q387" s="227"/>
    </row>
    <row r="388" spans="13:17" x14ac:dyDescent="0.2">
      <c r="M388" s="227"/>
      <c r="N388" s="227"/>
      <c r="O388" s="227"/>
      <c r="P388" s="227"/>
      <c r="Q388" s="227"/>
    </row>
    <row r="389" spans="13:17" x14ac:dyDescent="0.2">
      <c r="M389" s="227"/>
      <c r="N389" s="227"/>
      <c r="O389" s="227"/>
      <c r="P389" s="227"/>
      <c r="Q389" s="227"/>
    </row>
    <row r="390" spans="13:17" x14ac:dyDescent="0.2">
      <c r="M390" s="227"/>
      <c r="N390" s="227"/>
      <c r="O390" s="227"/>
      <c r="P390" s="227"/>
      <c r="Q390" s="227"/>
    </row>
    <row r="391" spans="13:17" x14ac:dyDescent="0.2">
      <c r="M391" s="227"/>
      <c r="N391" s="227"/>
      <c r="O391" s="227"/>
      <c r="P391" s="227"/>
      <c r="Q391" s="227"/>
    </row>
    <row r="392" spans="13:17" x14ac:dyDescent="0.2">
      <c r="M392" s="227"/>
      <c r="N392" s="227"/>
      <c r="O392" s="227"/>
      <c r="P392" s="227"/>
      <c r="Q392" s="227"/>
    </row>
    <row r="393" spans="13:17" x14ac:dyDescent="0.2">
      <c r="M393" s="227"/>
      <c r="N393" s="227"/>
      <c r="O393" s="227"/>
      <c r="P393" s="227"/>
      <c r="Q393" s="227"/>
    </row>
    <row r="394" spans="13:17" x14ac:dyDescent="0.2">
      <c r="M394" s="227"/>
      <c r="N394" s="227"/>
      <c r="O394" s="227"/>
      <c r="P394" s="227"/>
      <c r="Q394" s="227"/>
    </row>
    <row r="395" spans="13:17" x14ac:dyDescent="0.2">
      <c r="M395" s="227"/>
      <c r="N395" s="227"/>
      <c r="O395" s="227"/>
      <c r="P395" s="227"/>
      <c r="Q395" s="227"/>
    </row>
    <row r="396" spans="13:17" x14ac:dyDescent="0.2">
      <c r="M396" s="227"/>
      <c r="N396" s="227"/>
      <c r="O396" s="227"/>
      <c r="P396" s="227"/>
      <c r="Q396" s="227"/>
    </row>
    <row r="397" spans="13:17" x14ac:dyDescent="0.2">
      <c r="M397" s="227"/>
      <c r="N397" s="227"/>
      <c r="O397" s="227"/>
      <c r="P397" s="227"/>
      <c r="Q397" s="227"/>
    </row>
    <row r="398" spans="13:17" x14ac:dyDescent="0.2">
      <c r="M398" s="227"/>
      <c r="N398" s="227"/>
      <c r="O398" s="227"/>
      <c r="P398" s="227"/>
      <c r="Q398" s="227"/>
    </row>
    <row r="399" spans="13:17" x14ac:dyDescent="0.2">
      <c r="M399" s="227"/>
      <c r="N399" s="227"/>
      <c r="O399" s="227"/>
      <c r="P399" s="227"/>
      <c r="Q399" s="227"/>
    </row>
    <row r="400" spans="13:17" x14ac:dyDescent="0.2">
      <c r="M400" s="227"/>
      <c r="N400" s="227"/>
      <c r="O400" s="227"/>
      <c r="P400" s="227"/>
      <c r="Q400" s="227"/>
    </row>
    <row r="401" spans="13:17" x14ac:dyDescent="0.2">
      <c r="M401" s="227"/>
      <c r="N401" s="227"/>
      <c r="O401" s="227"/>
      <c r="P401" s="227"/>
      <c r="Q401" s="227"/>
    </row>
    <row r="402" spans="13:17" x14ac:dyDescent="0.2">
      <c r="M402" s="227"/>
      <c r="N402" s="227"/>
      <c r="O402" s="227"/>
      <c r="P402" s="227"/>
      <c r="Q402" s="227"/>
    </row>
    <row r="403" spans="13:17" x14ac:dyDescent="0.2">
      <c r="M403" s="227"/>
      <c r="N403" s="227"/>
      <c r="O403" s="227"/>
      <c r="P403" s="227"/>
      <c r="Q403" s="227"/>
    </row>
    <row r="404" spans="13:17" x14ac:dyDescent="0.2">
      <c r="M404" s="227"/>
      <c r="N404" s="227"/>
      <c r="O404" s="227"/>
      <c r="P404" s="227"/>
      <c r="Q404" s="227"/>
    </row>
    <row r="405" spans="13:17" x14ac:dyDescent="0.2">
      <c r="M405" s="227"/>
      <c r="N405" s="227"/>
      <c r="O405" s="227"/>
      <c r="P405" s="227"/>
      <c r="Q405" s="227"/>
    </row>
    <row r="406" spans="13:17" x14ac:dyDescent="0.2">
      <c r="M406" s="227"/>
      <c r="N406" s="227"/>
      <c r="O406" s="227"/>
      <c r="P406" s="227"/>
      <c r="Q406" s="227"/>
    </row>
    <row r="407" spans="13:17" x14ac:dyDescent="0.2">
      <c r="M407" s="227"/>
      <c r="N407" s="227"/>
      <c r="O407" s="227"/>
      <c r="P407" s="227"/>
      <c r="Q407" s="227"/>
    </row>
    <row r="408" spans="13:17" x14ac:dyDescent="0.2">
      <c r="M408" s="227"/>
      <c r="N408" s="227"/>
      <c r="O408" s="227"/>
      <c r="P408" s="227"/>
      <c r="Q408" s="227"/>
    </row>
    <row r="409" spans="13:17" x14ac:dyDescent="0.2">
      <c r="M409" s="227"/>
      <c r="N409" s="227"/>
      <c r="O409" s="227"/>
      <c r="P409" s="227"/>
      <c r="Q409" s="227"/>
    </row>
    <row r="410" spans="13:17" x14ac:dyDescent="0.2">
      <c r="M410" s="227"/>
      <c r="N410" s="227"/>
      <c r="O410" s="227"/>
      <c r="P410" s="227"/>
      <c r="Q410" s="227"/>
    </row>
    <row r="411" spans="13:17" x14ac:dyDescent="0.2">
      <c r="M411" s="227"/>
      <c r="N411" s="227"/>
      <c r="O411" s="227"/>
      <c r="P411" s="227"/>
      <c r="Q411" s="227"/>
    </row>
    <row r="412" spans="13:17" x14ac:dyDescent="0.2">
      <c r="M412" s="227"/>
      <c r="N412" s="227"/>
      <c r="O412" s="227"/>
      <c r="P412" s="227"/>
      <c r="Q412" s="227"/>
    </row>
    <row r="413" spans="13:17" x14ac:dyDescent="0.2">
      <c r="M413" s="227"/>
      <c r="N413" s="227"/>
      <c r="O413" s="227"/>
      <c r="P413" s="227"/>
      <c r="Q413" s="227"/>
    </row>
    <row r="414" spans="13:17" x14ac:dyDescent="0.2">
      <c r="M414" s="227"/>
      <c r="N414" s="227"/>
      <c r="O414" s="227"/>
      <c r="P414" s="227"/>
      <c r="Q414" s="227"/>
    </row>
    <row r="415" spans="13:17" x14ac:dyDescent="0.2">
      <c r="M415" s="227"/>
      <c r="N415" s="227"/>
      <c r="O415" s="227"/>
      <c r="P415" s="227"/>
      <c r="Q415" s="227"/>
    </row>
    <row r="416" spans="13:17" x14ac:dyDescent="0.2">
      <c r="M416" s="227"/>
      <c r="N416" s="227"/>
      <c r="O416" s="227"/>
      <c r="P416" s="227"/>
      <c r="Q416" s="227"/>
    </row>
    <row r="417" spans="13:17" x14ac:dyDescent="0.2">
      <c r="M417" s="227"/>
      <c r="N417" s="227"/>
      <c r="O417" s="227"/>
      <c r="P417" s="227"/>
      <c r="Q417" s="227"/>
    </row>
    <row r="418" spans="13:17" x14ac:dyDescent="0.2">
      <c r="M418" s="227"/>
      <c r="N418" s="227"/>
      <c r="O418" s="227"/>
      <c r="P418" s="227"/>
      <c r="Q418" s="227"/>
    </row>
    <row r="419" spans="13:17" x14ac:dyDescent="0.2">
      <c r="M419" s="227"/>
      <c r="N419" s="227"/>
      <c r="O419" s="227"/>
      <c r="P419" s="227"/>
      <c r="Q419" s="227"/>
    </row>
    <row r="420" spans="13:17" x14ac:dyDescent="0.2">
      <c r="M420" s="227"/>
      <c r="N420" s="227"/>
      <c r="O420" s="227"/>
      <c r="P420" s="227"/>
      <c r="Q420" s="227"/>
    </row>
    <row r="421" spans="13:17" x14ac:dyDescent="0.2">
      <c r="M421" s="227"/>
      <c r="N421" s="227"/>
      <c r="O421" s="227"/>
      <c r="P421" s="227"/>
      <c r="Q421" s="227"/>
    </row>
    <row r="422" spans="13:17" x14ac:dyDescent="0.2">
      <c r="M422" s="227"/>
      <c r="N422" s="227"/>
      <c r="O422" s="227"/>
      <c r="P422" s="227"/>
      <c r="Q422" s="227"/>
    </row>
    <row r="423" spans="13:17" x14ac:dyDescent="0.2">
      <c r="M423" s="227"/>
      <c r="N423" s="227"/>
      <c r="O423" s="227"/>
      <c r="P423" s="227"/>
      <c r="Q423" s="227"/>
    </row>
    <row r="424" spans="13:17" x14ac:dyDescent="0.2">
      <c r="M424" s="227"/>
      <c r="N424" s="227"/>
      <c r="O424" s="227"/>
      <c r="P424" s="227"/>
      <c r="Q424" s="227"/>
    </row>
    <row r="425" spans="13:17" x14ac:dyDescent="0.2">
      <c r="M425" s="227"/>
      <c r="N425" s="227"/>
      <c r="O425" s="227"/>
      <c r="P425" s="227"/>
      <c r="Q425" s="227"/>
    </row>
    <row r="426" spans="13:17" x14ac:dyDescent="0.2">
      <c r="M426" s="227"/>
      <c r="N426" s="227"/>
      <c r="O426" s="227"/>
      <c r="P426" s="227"/>
      <c r="Q426" s="227"/>
    </row>
    <row r="427" spans="13:17" x14ac:dyDescent="0.2">
      <c r="M427" s="227"/>
      <c r="N427" s="227"/>
      <c r="O427" s="227"/>
      <c r="P427" s="227"/>
      <c r="Q427" s="227"/>
    </row>
    <row r="428" spans="13:17" x14ac:dyDescent="0.2">
      <c r="M428" s="227"/>
      <c r="N428" s="227"/>
      <c r="O428" s="227"/>
      <c r="P428" s="227"/>
      <c r="Q428" s="227"/>
    </row>
    <row r="429" spans="13:17" x14ac:dyDescent="0.2">
      <c r="M429" s="227"/>
      <c r="N429" s="227"/>
      <c r="O429" s="227"/>
      <c r="P429" s="227"/>
      <c r="Q429" s="227"/>
    </row>
    <row r="430" spans="13:17" x14ac:dyDescent="0.2">
      <c r="M430" s="227"/>
      <c r="N430" s="227"/>
      <c r="O430" s="227"/>
      <c r="P430" s="227"/>
      <c r="Q430" s="227"/>
    </row>
    <row r="431" spans="13:17" x14ac:dyDescent="0.2">
      <c r="M431" s="227"/>
      <c r="N431" s="227"/>
      <c r="O431" s="227"/>
      <c r="P431" s="227"/>
      <c r="Q431" s="227"/>
    </row>
    <row r="432" spans="13:17" x14ac:dyDescent="0.2">
      <c r="M432" s="227"/>
      <c r="N432" s="227"/>
      <c r="O432" s="227"/>
      <c r="P432" s="227"/>
      <c r="Q432" s="227"/>
    </row>
    <row r="433" spans="13:17" x14ac:dyDescent="0.2">
      <c r="M433" s="227"/>
      <c r="N433" s="227"/>
      <c r="O433" s="227"/>
      <c r="P433" s="227"/>
      <c r="Q433" s="227"/>
    </row>
    <row r="434" spans="13:17" x14ac:dyDescent="0.2">
      <c r="M434" s="227"/>
      <c r="N434" s="227"/>
      <c r="O434" s="227"/>
      <c r="P434" s="227"/>
      <c r="Q434" s="227"/>
    </row>
    <row r="435" spans="13:17" x14ac:dyDescent="0.2">
      <c r="M435" s="227"/>
      <c r="N435" s="227"/>
      <c r="O435" s="227"/>
      <c r="P435" s="227"/>
      <c r="Q435" s="227"/>
    </row>
    <row r="436" spans="13:17" x14ac:dyDescent="0.2">
      <c r="M436" s="227"/>
      <c r="N436" s="227"/>
      <c r="O436" s="227"/>
      <c r="P436" s="227"/>
      <c r="Q436" s="227"/>
    </row>
    <row r="437" spans="13:17" x14ac:dyDescent="0.2">
      <c r="M437" s="227"/>
      <c r="N437" s="227"/>
      <c r="O437" s="227"/>
      <c r="P437" s="227"/>
      <c r="Q437" s="227"/>
    </row>
    <row r="438" spans="13:17" x14ac:dyDescent="0.2">
      <c r="M438" s="227"/>
      <c r="N438" s="227"/>
      <c r="O438" s="227"/>
      <c r="P438" s="227"/>
      <c r="Q438" s="227"/>
    </row>
    <row r="439" spans="13:17" x14ac:dyDescent="0.2">
      <c r="M439" s="227"/>
      <c r="N439" s="227"/>
      <c r="O439" s="227"/>
      <c r="P439" s="227"/>
      <c r="Q439" s="227"/>
    </row>
    <row r="440" spans="13:17" x14ac:dyDescent="0.2">
      <c r="M440" s="227"/>
      <c r="N440" s="227"/>
      <c r="O440" s="227"/>
      <c r="P440" s="227"/>
      <c r="Q440" s="227"/>
    </row>
    <row r="441" spans="13:17" x14ac:dyDescent="0.2">
      <c r="M441" s="227"/>
      <c r="N441" s="227"/>
      <c r="O441" s="227"/>
      <c r="P441" s="227"/>
      <c r="Q441" s="227"/>
    </row>
    <row r="442" spans="13:17" x14ac:dyDescent="0.2">
      <c r="M442" s="227"/>
      <c r="N442" s="227"/>
      <c r="O442" s="227"/>
      <c r="P442" s="227"/>
      <c r="Q442" s="227"/>
    </row>
    <row r="443" spans="13:17" x14ac:dyDescent="0.2">
      <c r="M443" s="227"/>
      <c r="N443" s="227"/>
      <c r="O443" s="227"/>
      <c r="P443" s="227"/>
      <c r="Q443" s="227"/>
    </row>
    <row r="444" spans="13:17" x14ac:dyDescent="0.2">
      <c r="M444" s="227"/>
      <c r="N444" s="227"/>
      <c r="O444" s="227"/>
      <c r="P444" s="227"/>
      <c r="Q444" s="227"/>
    </row>
    <row r="445" spans="13:17" x14ac:dyDescent="0.2">
      <c r="M445" s="227"/>
      <c r="N445" s="227"/>
      <c r="O445" s="227"/>
      <c r="P445" s="227"/>
      <c r="Q445" s="227"/>
    </row>
    <row r="446" spans="13:17" x14ac:dyDescent="0.2">
      <c r="M446" s="227"/>
      <c r="N446" s="227"/>
      <c r="O446" s="227"/>
      <c r="P446" s="227"/>
      <c r="Q446" s="227"/>
    </row>
    <row r="447" spans="13:17" x14ac:dyDescent="0.2">
      <c r="M447" s="227"/>
      <c r="N447" s="227"/>
      <c r="O447" s="227"/>
      <c r="P447" s="227"/>
      <c r="Q447" s="227"/>
    </row>
    <row r="448" spans="13:17" x14ac:dyDescent="0.2">
      <c r="M448" s="227"/>
      <c r="N448" s="227"/>
      <c r="O448" s="227"/>
      <c r="P448" s="227"/>
      <c r="Q448" s="227"/>
    </row>
    <row r="449" spans="13:17" x14ac:dyDescent="0.2">
      <c r="M449" s="227"/>
      <c r="N449" s="227"/>
      <c r="O449" s="227"/>
      <c r="P449" s="227"/>
      <c r="Q449" s="227"/>
    </row>
    <row r="450" spans="13:17" x14ac:dyDescent="0.2">
      <c r="M450" s="227"/>
      <c r="N450" s="227"/>
      <c r="O450" s="227"/>
      <c r="P450" s="227"/>
      <c r="Q450" s="227"/>
    </row>
    <row r="451" spans="13:17" x14ac:dyDescent="0.2">
      <c r="M451" s="227"/>
      <c r="N451" s="227"/>
      <c r="O451" s="227"/>
      <c r="P451" s="227"/>
      <c r="Q451" s="227"/>
    </row>
    <row r="452" spans="13:17" x14ac:dyDescent="0.2">
      <c r="M452" s="227"/>
      <c r="N452" s="227"/>
      <c r="O452" s="227"/>
      <c r="P452" s="227"/>
      <c r="Q452" s="227"/>
    </row>
    <row r="453" spans="13:17" x14ac:dyDescent="0.2">
      <c r="M453" s="227"/>
      <c r="N453" s="227"/>
      <c r="O453" s="227"/>
      <c r="P453" s="227"/>
      <c r="Q453" s="227"/>
    </row>
    <row r="454" spans="13:17" x14ac:dyDescent="0.2">
      <c r="M454" s="227"/>
      <c r="N454" s="227"/>
      <c r="O454" s="227"/>
      <c r="P454" s="227"/>
      <c r="Q454" s="227"/>
    </row>
    <row r="455" spans="13:17" x14ac:dyDescent="0.2">
      <c r="M455" s="227"/>
      <c r="N455" s="227"/>
      <c r="O455" s="227"/>
      <c r="P455" s="227"/>
      <c r="Q455" s="227"/>
    </row>
    <row r="456" spans="13:17" x14ac:dyDescent="0.2">
      <c r="M456" s="227"/>
      <c r="N456" s="227"/>
      <c r="O456" s="227"/>
      <c r="P456" s="227"/>
      <c r="Q456" s="227"/>
    </row>
    <row r="457" spans="13:17" x14ac:dyDescent="0.2">
      <c r="M457" s="227"/>
      <c r="N457" s="227"/>
      <c r="O457" s="227"/>
      <c r="P457" s="227"/>
      <c r="Q457" s="227"/>
    </row>
    <row r="458" spans="13:17" x14ac:dyDescent="0.2">
      <c r="M458" s="227"/>
      <c r="N458" s="227"/>
      <c r="O458" s="227"/>
      <c r="P458" s="227"/>
      <c r="Q458" s="227"/>
    </row>
    <row r="459" spans="13:17" x14ac:dyDescent="0.2">
      <c r="M459" s="227"/>
      <c r="N459" s="227"/>
      <c r="O459" s="227"/>
      <c r="P459" s="227"/>
      <c r="Q459" s="227"/>
    </row>
    <row r="460" spans="13:17" x14ac:dyDescent="0.2">
      <c r="M460" s="227"/>
      <c r="N460" s="227"/>
      <c r="O460" s="227"/>
      <c r="P460" s="227"/>
      <c r="Q460" s="227"/>
    </row>
    <row r="461" spans="13:17" x14ac:dyDescent="0.2">
      <c r="M461" s="227"/>
      <c r="N461" s="227"/>
      <c r="O461" s="227"/>
      <c r="P461" s="227"/>
      <c r="Q461" s="227"/>
    </row>
    <row r="462" spans="13:17" x14ac:dyDescent="0.2">
      <c r="M462" s="227"/>
      <c r="N462" s="227"/>
      <c r="O462" s="227"/>
      <c r="P462" s="227"/>
      <c r="Q462" s="227"/>
    </row>
    <row r="463" spans="13:17" x14ac:dyDescent="0.2">
      <c r="M463" s="227"/>
      <c r="N463" s="227"/>
      <c r="O463" s="227"/>
      <c r="P463" s="227"/>
      <c r="Q463" s="227"/>
    </row>
  </sheetData>
  <pageMargins left="0.7" right="0.7" top="0.75" bottom="0.75" header="0.3" footer="0.3"/>
  <pageSetup paperSize="9" scale="72" fitToHeight="0" orientation="landscape"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A1:Z466"/>
  <sheetViews>
    <sheetView topLeftCell="H5" zoomScale="70" zoomScaleNormal="70" workbookViewId="0">
      <pane ySplit="4" topLeftCell="A9" activePane="bottomLeft" state="frozen"/>
      <selection activeCell="H5" sqref="H5"/>
      <selection pane="bottomLeft" activeCell="T23" sqref="T23"/>
    </sheetView>
  </sheetViews>
  <sheetFormatPr defaultColWidth="8.85546875" defaultRowHeight="12.75" x14ac:dyDescent="0.2"/>
  <cols>
    <col min="1" max="1" width="7.42578125" style="61" customWidth="1"/>
    <col min="2" max="2" width="14.42578125" style="61" customWidth="1"/>
    <col min="3" max="3" width="11.85546875" style="61" customWidth="1"/>
    <col min="4" max="4" width="11.5703125" style="61" customWidth="1"/>
    <col min="5" max="5" width="13.7109375" style="61" customWidth="1"/>
    <col min="6" max="6" width="12.140625" style="61" customWidth="1"/>
    <col min="7" max="7" width="16.28515625" style="61" customWidth="1"/>
    <col min="8" max="8" width="15.7109375" style="61" customWidth="1"/>
    <col min="9" max="9" width="13.7109375" style="61" customWidth="1"/>
    <col min="10" max="10" width="18.85546875" style="61" customWidth="1"/>
    <col min="11" max="11" width="14.85546875" style="61" customWidth="1"/>
    <col min="12" max="12" width="20.5703125" style="61" customWidth="1"/>
    <col min="13" max="13" width="19.140625" style="61" customWidth="1"/>
    <col min="14" max="14" width="17" style="61" customWidth="1"/>
    <col min="15" max="15" width="21.7109375" style="61" customWidth="1"/>
    <col min="16" max="16" width="21.42578125" style="62" customWidth="1"/>
    <col min="17" max="17" width="14.7109375" style="61" customWidth="1"/>
    <col min="18" max="18" width="19.5703125" style="61" customWidth="1"/>
    <col min="19" max="19" width="14" style="62" customWidth="1"/>
    <col min="20" max="20" width="57.42578125" style="61" customWidth="1"/>
    <col min="21" max="21" width="15.140625" style="61" customWidth="1"/>
    <col min="22" max="24" width="8.85546875" style="61"/>
    <col min="25" max="25" width="52.7109375" style="61" customWidth="1"/>
    <col min="26" max="16384" width="8.85546875" style="61"/>
  </cols>
  <sheetData>
    <row r="1" spans="1:26" x14ac:dyDescent="0.2">
      <c r="A1" s="53" t="s">
        <v>49</v>
      </c>
    </row>
    <row r="2" spans="1:26" s="57" customFormat="1" x14ac:dyDescent="0.2">
      <c r="B2" s="54"/>
      <c r="C2" s="54"/>
      <c r="D2" s="54"/>
      <c r="E2" s="54"/>
      <c r="F2" s="54"/>
      <c r="G2" s="54"/>
      <c r="H2" s="54"/>
      <c r="I2" s="54"/>
      <c r="J2" s="54"/>
      <c r="K2" s="54"/>
      <c r="L2" s="54"/>
      <c r="M2" s="54"/>
      <c r="N2" s="54"/>
      <c r="O2" s="54"/>
      <c r="P2" s="526"/>
      <c r="Q2" s="54"/>
      <c r="R2" s="54"/>
      <c r="S2" s="528" t="s">
        <v>56</v>
      </c>
      <c r="T2" s="56" t="s">
        <v>50</v>
      </c>
    </row>
    <row r="3" spans="1:26" ht="13.5" thickBot="1" x14ac:dyDescent="0.25">
      <c r="A3" s="58"/>
      <c r="B3" s="59"/>
      <c r="C3" s="59"/>
      <c r="D3" s="59"/>
      <c r="E3" s="59"/>
      <c r="F3" s="59"/>
      <c r="G3" s="59"/>
      <c r="H3" s="59"/>
      <c r="I3" s="59"/>
      <c r="J3" s="59"/>
      <c r="K3" s="59"/>
      <c r="L3" s="59"/>
      <c r="M3" s="59"/>
      <c r="N3" s="59"/>
      <c r="O3" s="59"/>
      <c r="P3" s="527"/>
      <c r="Q3" s="59"/>
      <c r="R3" s="59"/>
      <c r="S3" s="60" t="s">
        <v>55</v>
      </c>
      <c r="T3" s="172"/>
    </row>
    <row r="4" spans="1:26" ht="38.25" customHeight="1" thickBot="1" x14ac:dyDescent="0.25">
      <c r="A4" s="796"/>
      <c r="B4" s="796"/>
      <c r="C4" s="796"/>
      <c r="D4" s="796"/>
      <c r="E4" s="796"/>
      <c r="F4" s="796"/>
      <c r="G4" s="796"/>
      <c r="H4" s="797" t="s">
        <v>12</v>
      </c>
      <c r="I4" s="798"/>
      <c r="J4" s="384" t="s">
        <v>13</v>
      </c>
      <c r="K4" s="797" t="s">
        <v>14</v>
      </c>
      <c r="L4" s="798"/>
      <c r="M4" s="797" t="s">
        <v>15</v>
      </c>
      <c r="N4" s="798"/>
      <c r="O4" s="797" t="s">
        <v>16</v>
      </c>
      <c r="P4" s="798"/>
      <c r="Q4" s="799"/>
      <c r="R4" s="799"/>
      <c r="S4" s="385"/>
      <c r="T4" s="173"/>
    </row>
    <row r="5" spans="1:26" ht="38.25" customHeight="1" thickBot="1" x14ac:dyDescent="0.25">
      <c r="A5" s="785"/>
      <c r="B5" s="786"/>
      <c r="C5" s="786"/>
      <c r="D5" s="786"/>
      <c r="E5" s="786"/>
      <c r="F5" s="786"/>
      <c r="G5" s="786"/>
      <c r="H5" s="786"/>
      <c r="I5" s="786"/>
      <c r="J5" s="786"/>
      <c r="K5" s="786"/>
      <c r="L5" s="786"/>
      <c r="M5" s="786"/>
      <c r="N5" s="786"/>
      <c r="O5" s="786"/>
      <c r="P5" s="786"/>
      <c r="Q5" s="789" t="s">
        <v>1935</v>
      </c>
      <c r="R5" s="790"/>
      <c r="S5" s="205">
        <v>2019</v>
      </c>
      <c r="T5" s="682"/>
    </row>
    <row r="6" spans="1:26" ht="38.25" customHeight="1" thickBot="1" x14ac:dyDescent="0.25">
      <c r="A6" s="787"/>
      <c r="B6" s="788"/>
      <c r="C6" s="788"/>
      <c r="D6" s="788"/>
      <c r="E6" s="788"/>
      <c r="F6" s="788"/>
      <c r="G6" s="788"/>
      <c r="H6" s="788"/>
      <c r="I6" s="788"/>
      <c r="J6" s="788"/>
      <c r="K6" s="788"/>
      <c r="L6" s="788"/>
      <c r="M6" s="788"/>
      <c r="N6" s="788"/>
      <c r="O6" s="788"/>
      <c r="P6" s="788"/>
      <c r="Q6" s="791" t="s">
        <v>1876</v>
      </c>
      <c r="R6" s="792"/>
      <c r="S6" s="208" t="s">
        <v>1877</v>
      </c>
      <c r="T6" s="682"/>
    </row>
    <row r="7" spans="1:26" ht="38.25" customHeight="1" thickBot="1" x14ac:dyDescent="0.25">
      <c r="A7" s="793"/>
      <c r="B7" s="794"/>
      <c r="C7" s="794"/>
      <c r="D7" s="794"/>
      <c r="E7" s="794"/>
      <c r="F7" s="794"/>
      <c r="G7" s="794"/>
      <c r="H7" s="705" t="s">
        <v>12</v>
      </c>
      <c r="I7" s="705"/>
      <c r="J7" s="683" t="s">
        <v>13</v>
      </c>
      <c r="K7" s="705" t="s">
        <v>14</v>
      </c>
      <c r="L7" s="705"/>
      <c r="M7" s="705" t="s">
        <v>15</v>
      </c>
      <c r="N7" s="705"/>
      <c r="O7" s="705" t="s">
        <v>16</v>
      </c>
      <c r="P7" s="705"/>
      <c r="Q7" s="795"/>
      <c r="R7" s="795"/>
      <c r="S7" s="684"/>
      <c r="T7" s="682"/>
    </row>
    <row r="8" spans="1:26" ht="77.25" thickBot="1" x14ac:dyDescent="0.25">
      <c r="A8" s="231" t="s">
        <v>0</v>
      </c>
      <c r="B8" s="386" t="s">
        <v>10</v>
      </c>
      <c r="C8" s="387" t="s">
        <v>43</v>
      </c>
      <c r="D8" s="387" t="s">
        <v>1</v>
      </c>
      <c r="E8" s="387" t="s">
        <v>5</v>
      </c>
      <c r="F8" s="388" t="s">
        <v>28</v>
      </c>
      <c r="G8" s="383" t="s">
        <v>29</v>
      </c>
      <c r="H8" s="383" t="s">
        <v>17</v>
      </c>
      <c r="I8" s="383" t="s">
        <v>30</v>
      </c>
      <c r="J8" s="383" t="s">
        <v>31</v>
      </c>
      <c r="K8" s="383" t="s">
        <v>38</v>
      </c>
      <c r="L8" s="389" t="s">
        <v>32</v>
      </c>
      <c r="M8" s="389" t="s">
        <v>33</v>
      </c>
      <c r="N8" s="389" t="s">
        <v>34</v>
      </c>
      <c r="O8" s="389" t="s">
        <v>39</v>
      </c>
      <c r="P8" s="389" t="s">
        <v>35</v>
      </c>
      <c r="Q8" s="389" t="s">
        <v>40</v>
      </c>
      <c r="R8" s="389" t="s">
        <v>41</v>
      </c>
      <c r="S8" s="389" t="s">
        <v>36</v>
      </c>
      <c r="T8" s="186" t="s">
        <v>154</v>
      </c>
    </row>
    <row r="9" spans="1:26" ht="291" customHeight="1" x14ac:dyDescent="0.2">
      <c r="A9" s="295" t="s">
        <v>277</v>
      </c>
      <c r="B9" s="295" t="s">
        <v>277</v>
      </c>
      <c r="C9" s="295" t="s">
        <v>50</v>
      </c>
      <c r="D9" s="295" t="s">
        <v>725</v>
      </c>
      <c r="E9" s="295" t="s">
        <v>74</v>
      </c>
      <c r="F9" s="295" t="s">
        <v>738</v>
      </c>
      <c r="G9" s="295" t="s">
        <v>1385</v>
      </c>
      <c r="H9" s="295" t="s">
        <v>6</v>
      </c>
      <c r="I9" s="373" t="s">
        <v>1312</v>
      </c>
      <c r="J9" s="373" t="s">
        <v>1313</v>
      </c>
      <c r="K9" s="295" t="s">
        <v>6</v>
      </c>
      <c r="L9" s="373" t="s">
        <v>1386</v>
      </c>
      <c r="M9" s="295" t="s">
        <v>1387</v>
      </c>
      <c r="N9" s="373" t="s">
        <v>1316</v>
      </c>
      <c r="O9" s="295" t="s">
        <v>6</v>
      </c>
      <c r="P9" s="295" t="s">
        <v>1317</v>
      </c>
      <c r="Q9" s="295" t="s">
        <v>1313</v>
      </c>
      <c r="R9" s="373" t="s">
        <v>1388</v>
      </c>
      <c r="S9" s="373" t="s">
        <v>1319</v>
      </c>
      <c r="T9" s="469" t="s">
        <v>1909</v>
      </c>
      <c r="U9" s="228"/>
      <c r="V9" s="228"/>
      <c r="W9" s="228"/>
      <c r="X9" s="228"/>
      <c r="Y9" s="228"/>
      <c r="Z9" s="228"/>
    </row>
    <row r="10" spans="1:26" ht="216.75" x14ac:dyDescent="0.2">
      <c r="A10" s="295" t="s">
        <v>277</v>
      </c>
      <c r="B10" s="295" t="s">
        <v>277</v>
      </c>
      <c r="C10" s="295" t="s">
        <v>50</v>
      </c>
      <c r="D10" s="295" t="s">
        <v>725</v>
      </c>
      <c r="E10" s="295" t="s">
        <v>74</v>
      </c>
      <c r="F10" s="295" t="s">
        <v>1044</v>
      </c>
      <c r="G10" s="295" t="s">
        <v>1311</v>
      </c>
      <c r="H10" s="295" t="s">
        <v>6</v>
      </c>
      <c r="I10" s="373" t="s">
        <v>1312</v>
      </c>
      <c r="J10" s="373" t="s">
        <v>1313</v>
      </c>
      <c r="K10" s="295" t="s">
        <v>6</v>
      </c>
      <c r="L10" s="373" t="s">
        <v>1314</v>
      </c>
      <c r="M10" s="295" t="s">
        <v>1315</v>
      </c>
      <c r="N10" s="373" t="s">
        <v>1316</v>
      </c>
      <c r="O10" s="295" t="s">
        <v>6</v>
      </c>
      <c r="P10" s="295" t="s">
        <v>1317</v>
      </c>
      <c r="Q10" s="295" t="s">
        <v>1313</v>
      </c>
      <c r="R10" s="373" t="s">
        <v>1318</v>
      </c>
      <c r="S10" s="373" t="s">
        <v>1319</v>
      </c>
      <c r="T10" s="469" t="s">
        <v>1910</v>
      </c>
      <c r="U10" s="228"/>
      <c r="V10" s="228"/>
      <c r="W10" s="228"/>
      <c r="X10" s="228"/>
      <c r="Y10" s="228"/>
      <c r="Z10" s="228"/>
    </row>
    <row r="11" spans="1:26" ht="216.75" x14ac:dyDescent="0.2">
      <c r="A11" s="295" t="s">
        <v>277</v>
      </c>
      <c r="B11" s="295" t="s">
        <v>277</v>
      </c>
      <c r="C11" s="295" t="s">
        <v>50</v>
      </c>
      <c r="D11" s="295" t="s">
        <v>725</v>
      </c>
      <c r="E11" s="295" t="s">
        <v>74</v>
      </c>
      <c r="F11" s="295" t="s">
        <v>1047</v>
      </c>
      <c r="G11" s="295" t="s">
        <v>1320</v>
      </c>
      <c r="H11" s="295" t="s">
        <v>6</v>
      </c>
      <c r="I11" s="373" t="s">
        <v>1312</v>
      </c>
      <c r="J11" s="373" t="s">
        <v>1313</v>
      </c>
      <c r="K11" s="295" t="s">
        <v>6</v>
      </c>
      <c r="L11" s="295" t="s">
        <v>1321</v>
      </c>
      <c r="M11" s="373" t="s">
        <v>1322</v>
      </c>
      <c r="N11" s="373" t="s">
        <v>1316</v>
      </c>
      <c r="O11" s="373" t="s">
        <v>1323</v>
      </c>
      <c r="P11" s="295" t="s">
        <v>1324</v>
      </c>
      <c r="Q11" s="295" t="s">
        <v>1313</v>
      </c>
      <c r="R11" s="373" t="s">
        <v>1325</v>
      </c>
      <c r="S11" s="373" t="s">
        <v>1319</v>
      </c>
      <c r="T11" s="469" t="s">
        <v>1911</v>
      </c>
      <c r="U11" s="228"/>
      <c r="V11" s="228"/>
      <c r="W11" s="228"/>
      <c r="X11" s="228"/>
      <c r="Y11" s="228"/>
      <c r="Z11" s="228"/>
    </row>
    <row r="12" spans="1:26" ht="216.75" x14ac:dyDescent="0.2">
      <c r="A12" s="295" t="s">
        <v>277</v>
      </c>
      <c r="B12" s="295" t="s">
        <v>277</v>
      </c>
      <c r="C12" s="295" t="s">
        <v>50</v>
      </c>
      <c r="D12" s="295" t="s">
        <v>725</v>
      </c>
      <c r="E12" s="295" t="s">
        <v>74</v>
      </c>
      <c r="F12" s="295" t="s">
        <v>1047</v>
      </c>
      <c r="G12" s="373" t="s">
        <v>1326</v>
      </c>
      <c r="H12" s="295" t="s">
        <v>6</v>
      </c>
      <c r="I12" s="373" t="s">
        <v>1327</v>
      </c>
      <c r="J12" s="373" t="s">
        <v>1328</v>
      </c>
      <c r="K12" s="295" t="s">
        <v>6</v>
      </c>
      <c r="L12" s="373" t="s">
        <v>1329</v>
      </c>
      <c r="M12" s="295" t="s">
        <v>1330</v>
      </c>
      <c r="N12" s="295" t="s">
        <v>322</v>
      </c>
      <c r="O12" s="295" t="s">
        <v>6</v>
      </c>
      <c r="P12" s="295" t="s">
        <v>1331</v>
      </c>
      <c r="Q12" s="295" t="s">
        <v>77</v>
      </c>
      <c r="R12" s="295"/>
      <c r="S12" s="373" t="s">
        <v>1332</v>
      </c>
      <c r="T12" s="469" t="s">
        <v>1893</v>
      </c>
      <c r="U12" s="228"/>
      <c r="V12" s="228"/>
      <c r="W12" s="228"/>
      <c r="X12" s="228"/>
      <c r="Y12" s="228"/>
      <c r="Z12" s="228"/>
    </row>
    <row r="13" spans="1:26" ht="216.75" x14ac:dyDescent="0.2">
      <c r="A13" s="295" t="s">
        <v>277</v>
      </c>
      <c r="B13" s="295" t="s">
        <v>277</v>
      </c>
      <c r="C13" s="295" t="s">
        <v>50</v>
      </c>
      <c r="D13" s="295" t="s">
        <v>725</v>
      </c>
      <c r="E13" s="295" t="s">
        <v>74</v>
      </c>
      <c r="F13" s="295" t="s">
        <v>1073</v>
      </c>
      <c r="G13" s="295" t="s">
        <v>1333</v>
      </c>
      <c r="H13" s="295" t="s">
        <v>6</v>
      </c>
      <c r="I13" s="373" t="s">
        <v>1334</v>
      </c>
      <c r="J13" s="373" t="s">
        <v>1328</v>
      </c>
      <c r="K13" s="295" t="s">
        <v>6</v>
      </c>
      <c r="L13" s="373" t="s">
        <v>1335</v>
      </c>
      <c r="M13" s="295" t="s">
        <v>1330</v>
      </c>
      <c r="N13" s="295" t="s">
        <v>322</v>
      </c>
      <c r="O13" s="295" t="s">
        <v>6</v>
      </c>
      <c r="P13" s="295" t="s">
        <v>1331</v>
      </c>
      <c r="Q13" s="295" t="s">
        <v>77</v>
      </c>
      <c r="R13" s="295"/>
      <c r="S13" s="373" t="s">
        <v>1319</v>
      </c>
      <c r="T13" s="469" t="s">
        <v>1912</v>
      </c>
      <c r="U13" s="228"/>
      <c r="V13" s="228"/>
      <c r="W13" s="228"/>
      <c r="X13" s="228"/>
      <c r="Y13" s="228"/>
      <c r="Z13" s="228"/>
    </row>
    <row r="14" spans="1:26" ht="216.75" x14ac:dyDescent="0.2">
      <c r="A14" s="295" t="s">
        <v>277</v>
      </c>
      <c r="B14" s="295" t="s">
        <v>277</v>
      </c>
      <c r="C14" s="295" t="s">
        <v>50</v>
      </c>
      <c r="D14" s="295" t="s">
        <v>725</v>
      </c>
      <c r="E14" s="295" t="s">
        <v>74</v>
      </c>
      <c r="F14" s="295" t="s">
        <v>1073</v>
      </c>
      <c r="G14" s="295" t="s">
        <v>1336</v>
      </c>
      <c r="H14" s="295"/>
      <c r="I14" s="373" t="s">
        <v>1327</v>
      </c>
      <c r="J14" s="373" t="s">
        <v>1328</v>
      </c>
      <c r="K14" s="295" t="s">
        <v>6</v>
      </c>
      <c r="L14" s="373" t="s">
        <v>1335</v>
      </c>
      <c r="M14" s="295" t="s">
        <v>1330</v>
      </c>
      <c r="N14" s="295" t="s">
        <v>322</v>
      </c>
      <c r="O14" s="295" t="s">
        <v>6</v>
      </c>
      <c r="P14" s="295" t="s">
        <v>1331</v>
      </c>
      <c r="Q14" s="295" t="s">
        <v>77</v>
      </c>
      <c r="R14" s="295"/>
      <c r="S14" s="373" t="s">
        <v>1319</v>
      </c>
      <c r="T14" s="469" t="s">
        <v>1913</v>
      </c>
      <c r="U14" s="228"/>
      <c r="V14" s="228"/>
      <c r="W14" s="228"/>
      <c r="X14" s="228"/>
      <c r="Y14" s="228"/>
      <c r="Z14" s="228"/>
    </row>
    <row r="15" spans="1:26" ht="246" customHeight="1" x14ac:dyDescent="0.2">
      <c r="A15" s="295" t="s">
        <v>277</v>
      </c>
      <c r="B15" s="295" t="s">
        <v>277</v>
      </c>
      <c r="C15" s="295" t="s">
        <v>50</v>
      </c>
      <c r="D15" s="295" t="s">
        <v>725</v>
      </c>
      <c r="E15" s="295" t="s">
        <v>74</v>
      </c>
      <c r="F15" s="295" t="s">
        <v>1052</v>
      </c>
      <c r="G15" s="373" t="s">
        <v>1337</v>
      </c>
      <c r="H15" s="295" t="s">
        <v>6</v>
      </c>
      <c r="I15" s="373" t="s">
        <v>1338</v>
      </c>
      <c r="J15" s="373" t="s">
        <v>1339</v>
      </c>
      <c r="K15" s="295" t="s">
        <v>6</v>
      </c>
      <c r="L15" s="373" t="s">
        <v>1340</v>
      </c>
      <c r="M15" s="373" t="s">
        <v>1341</v>
      </c>
      <c r="N15" s="373" t="s">
        <v>1316</v>
      </c>
      <c r="O15" s="295" t="s">
        <v>6</v>
      </c>
      <c r="P15" s="295" t="s">
        <v>1317</v>
      </c>
      <c r="Q15" s="295" t="s">
        <v>1313</v>
      </c>
      <c r="R15" s="373" t="s">
        <v>1342</v>
      </c>
      <c r="S15" s="373" t="s">
        <v>1319</v>
      </c>
      <c r="T15" s="469" t="s">
        <v>1842</v>
      </c>
      <c r="U15" s="228"/>
      <c r="V15" s="228"/>
      <c r="W15" s="228"/>
      <c r="X15" s="228"/>
      <c r="Y15" s="228"/>
      <c r="Z15" s="228"/>
    </row>
    <row r="16" spans="1:26" ht="216.75" x14ac:dyDescent="0.2">
      <c r="A16" s="295" t="s">
        <v>277</v>
      </c>
      <c r="B16" s="295" t="s">
        <v>277</v>
      </c>
      <c r="C16" s="295" t="s">
        <v>50</v>
      </c>
      <c r="D16" s="295" t="s">
        <v>725</v>
      </c>
      <c r="E16" s="295" t="s">
        <v>74</v>
      </c>
      <c r="F16" s="295" t="s">
        <v>1343</v>
      </c>
      <c r="G16" s="373" t="s">
        <v>1344</v>
      </c>
      <c r="H16" s="373" t="s">
        <v>6</v>
      </c>
      <c r="I16" s="373" t="s">
        <v>1345</v>
      </c>
      <c r="J16" s="373" t="s">
        <v>6</v>
      </c>
      <c r="K16" s="373" t="s">
        <v>6</v>
      </c>
      <c r="L16" s="373" t="s">
        <v>1346</v>
      </c>
      <c r="M16" s="373" t="s">
        <v>1347</v>
      </c>
      <c r="N16" s="373" t="s">
        <v>322</v>
      </c>
      <c r="O16" s="295" t="s">
        <v>6</v>
      </c>
      <c r="P16" s="295" t="s">
        <v>1348</v>
      </c>
      <c r="Q16" s="295" t="s">
        <v>6</v>
      </c>
      <c r="R16" s="373" t="s">
        <v>1349</v>
      </c>
      <c r="S16" s="373" t="s">
        <v>1350</v>
      </c>
      <c r="T16" s="553" t="s">
        <v>1934</v>
      </c>
      <c r="U16" s="551"/>
      <c r="V16" s="228"/>
      <c r="W16" s="228"/>
      <c r="X16" s="228"/>
      <c r="Y16" s="228"/>
      <c r="Z16" s="228"/>
    </row>
    <row r="17" spans="1:26" ht="216.75" x14ac:dyDescent="0.2">
      <c r="A17" s="295" t="s">
        <v>277</v>
      </c>
      <c r="B17" s="295" t="s">
        <v>277</v>
      </c>
      <c r="C17" s="295" t="s">
        <v>50</v>
      </c>
      <c r="D17" s="295" t="s">
        <v>725</v>
      </c>
      <c r="E17" s="295" t="s">
        <v>74</v>
      </c>
      <c r="F17" s="295" t="s">
        <v>1351</v>
      </c>
      <c r="G17" s="373" t="s">
        <v>1352</v>
      </c>
      <c r="H17" s="295" t="s">
        <v>6</v>
      </c>
      <c r="I17" s="373" t="s">
        <v>1353</v>
      </c>
      <c r="J17" s="373" t="s">
        <v>1339</v>
      </c>
      <c r="K17" s="295" t="s">
        <v>6</v>
      </c>
      <c r="L17" s="373" t="s">
        <v>1354</v>
      </c>
      <c r="M17" s="295" t="s">
        <v>1355</v>
      </c>
      <c r="N17" s="373" t="s">
        <v>322</v>
      </c>
      <c r="O17" s="295" t="s">
        <v>6</v>
      </c>
      <c r="P17" s="295" t="s">
        <v>1348</v>
      </c>
      <c r="Q17" s="295" t="s">
        <v>6</v>
      </c>
      <c r="R17" s="373" t="s">
        <v>1349</v>
      </c>
      <c r="S17" s="373" t="s">
        <v>1350</v>
      </c>
      <c r="T17" s="553" t="s">
        <v>1922</v>
      </c>
      <c r="U17" s="551"/>
      <c r="V17" s="228"/>
      <c r="W17" s="228"/>
      <c r="X17" s="228"/>
      <c r="Y17" s="228"/>
      <c r="Z17" s="228"/>
    </row>
    <row r="18" spans="1:26" ht="216.75" x14ac:dyDescent="0.2">
      <c r="A18" s="295" t="s">
        <v>277</v>
      </c>
      <c r="B18" s="295" t="s">
        <v>277</v>
      </c>
      <c r="C18" s="295" t="s">
        <v>50</v>
      </c>
      <c r="D18" s="295" t="s">
        <v>725</v>
      </c>
      <c r="E18" s="295" t="s">
        <v>74</v>
      </c>
      <c r="F18" s="295" t="s">
        <v>1356</v>
      </c>
      <c r="G18" s="295" t="s">
        <v>1357</v>
      </c>
      <c r="H18" s="295" t="s">
        <v>6</v>
      </c>
      <c r="I18" s="373" t="s">
        <v>1358</v>
      </c>
      <c r="J18" s="295" t="s">
        <v>77</v>
      </c>
      <c r="K18" s="295" t="s">
        <v>6</v>
      </c>
      <c r="L18" s="373" t="s">
        <v>1354</v>
      </c>
      <c r="M18" s="373" t="s">
        <v>1359</v>
      </c>
      <c r="N18" s="295" t="s">
        <v>1360</v>
      </c>
      <c r="O18" s="295" t="s">
        <v>6</v>
      </c>
      <c r="P18" s="295" t="s">
        <v>1348</v>
      </c>
      <c r="Q18" s="295" t="s">
        <v>6</v>
      </c>
      <c r="R18" s="373" t="s">
        <v>1361</v>
      </c>
      <c r="S18" s="373" t="s">
        <v>1350</v>
      </c>
      <c r="T18" s="553" t="s">
        <v>1936</v>
      </c>
      <c r="U18" s="228"/>
      <c r="V18" s="228"/>
      <c r="W18" s="228"/>
      <c r="X18" s="228"/>
      <c r="Y18" s="228"/>
      <c r="Z18" s="228"/>
    </row>
    <row r="19" spans="1:26" ht="216.75" x14ac:dyDescent="0.2">
      <c r="A19" s="295" t="s">
        <v>277</v>
      </c>
      <c r="B19" s="295" t="s">
        <v>277</v>
      </c>
      <c r="C19" s="295" t="s">
        <v>50</v>
      </c>
      <c r="D19" s="295" t="s">
        <v>725</v>
      </c>
      <c r="E19" s="295" t="s">
        <v>74</v>
      </c>
      <c r="F19" s="295" t="s">
        <v>1362</v>
      </c>
      <c r="G19" s="295" t="s">
        <v>1363</v>
      </c>
      <c r="H19" s="295" t="s">
        <v>6</v>
      </c>
      <c r="I19" s="373" t="s">
        <v>1364</v>
      </c>
      <c r="J19" s="295" t="s">
        <v>1339</v>
      </c>
      <c r="K19" s="295" t="s">
        <v>6</v>
      </c>
      <c r="L19" s="373" t="s">
        <v>1364</v>
      </c>
      <c r="M19" s="373" t="s">
        <v>1365</v>
      </c>
      <c r="N19" s="295" t="s">
        <v>322</v>
      </c>
      <c r="O19" s="295" t="s">
        <v>6</v>
      </c>
      <c r="P19" s="295" t="s">
        <v>1348</v>
      </c>
      <c r="Q19" s="295" t="s">
        <v>6</v>
      </c>
      <c r="R19" s="373" t="s">
        <v>1366</v>
      </c>
      <c r="S19" s="373" t="s">
        <v>1350</v>
      </c>
      <c r="T19" s="553" t="s">
        <v>1908</v>
      </c>
      <c r="U19" s="228"/>
      <c r="V19" s="228"/>
      <c r="W19" s="228"/>
      <c r="X19" s="228"/>
      <c r="Y19" s="228"/>
      <c r="Z19" s="228"/>
    </row>
    <row r="20" spans="1:26" ht="216.75" x14ac:dyDescent="0.2">
      <c r="A20" s="295" t="s">
        <v>277</v>
      </c>
      <c r="B20" s="295" t="s">
        <v>277</v>
      </c>
      <c r="C20" s="295" t="s">
        <v>50</v>
      </c>
      <c r="D20" s="295" t="s">
        <v>725</v>
      </c>
      <c r="E20" s="295" t="s">
        <v>74</v>
      </c>
      <c r="F20" s="295" t="s">
        <v>1367</v>
      </c>
      <c r="G20" s="295" t="s">
        <v>1368</v>
      </c>
      <c r="H20" s="295" t="s">
        <v>6</v>
      </c>
      <c r="I20" s="373" t="s">
        <v>1369</v>
      </c>
      <c r="J20" s="295" t="s">
        <v>1339</v>
      </c>
      <c r="K20" s="295" t="s">
        <v>6</v>
      </c>
      <c r="L20" s="373" t="s">
        <v>1370</v>
      </c>
      <c r="M20" s="373" t="s">
        <v>1371</v>
      </c>
      <c r="N20" s="295" t="s">
        <v>322</v>
      </c>
      <c r="O20" s="295" t="s">
        <v>6</v>
      </c>
      <c r="P20" s="295" t="s">
        <v>1348</v>
      </c>
      <c r="Q20" s="295" t="s">
        <v>6</v>
      </c>
      <c r="R20" s="373" t="s">
        <v>1349</v>
      </c>
      <c r="S20" s="373" t="s">
        <v>1350</v>
      </c>
      <c r="T20" s="553" t="s">
        <v>1879</v>
      </c>
      <c r="U20" s="228"/>
      <c r="V20" s="228"/>
      <c r="W20" s="228"/>
      <c r="X20" s="228"/>
      <c r="Y20" s="228"/>
      <c r="Z20" s="228"/>
    </row>
    <row r="21" spans="1:26" ht="216.75" x14ac:dyDescent="0.2">
      <c r="A21" s="295" t="s">
        <v>277</v>
      </c>
      <c r="B21" s="295" t="s">
        <v>277</v>
      </c>
      <c r="C21" s="295" t="s">
        <v>50</v>
      </c>
      <c r="D21" s="295" t="s">
        <v>725</v>
      </c>
      <c r="E21" s="295" t="s">
        <v>74</v>
      </c>
      <c r="F21" s="295" t="s">
        <v>1367</v>
      </c>
      <c r="G21" s="295" t="s">
        <v>1372</v>
      </c>
      <c r="H21" s="295" t="s">
        <v>6</v>
      </c>
      <c r="I21" s="373" t="s">
        <v>1369</v>
      </c>
      <c r="J21" s="295" t="s">
        <v>1339</v>
      </c>
      <c r="K21" s="295" t="s">
        <v>6</v>
      </c>
      <c r="L21" s="373" t="s">
        <v>1346</v>
      </c>
      <c r="M21" s="373" t="s">
        <v>1371</v>
      </c>
      <c r="N21" s="295" t="s">
        <v>322</v>
      </c>
      <c r="O21" s="295" t="s">
        <v>6</v>
      </c>
      <c r="P21" s="295" t="s">
        <v>1348</v>
      </c>
      <c r="Q21" s="295" t="s">
        <v>6</v>
      </c>
      <c r="R21" s="373" t="s">
        <v>1366</v>
      </c>
      <c r="S21" s="373" t="s">
        <v>1350</v>
      </c>
      <c r="T21" s="553" t="s">
        <v>1907</v>
      </c>
      <c r="U21" s="228"/>
      <c r="V21" s="228"/>
      <c r="W21" s="228"/>
      <c r="X21" s="228"/>
      <c r="Y21" s="228"/>
      <c r="Z21" s="228"/>
    </row>
    <row r="22" spans="1:26" ht="153" x14ac:dyDescent="0.2">
      <c r="A22" s="295" t="s">
        <v>277</v>
      </c>
      <c r="B22" s="295" t="s">
        <v>277</v>
      </c>
      <c r="C22" s="295" t="s">
        <v>50</v>
      </c>
      <c r="D22" s="295" t="s">
        <v>725</v>
      </c>
      <c r="E22" s="295" t="s">
        <v>74</v>
      </c>
      <c r="F22" s="295" t="s">
        <v>1351</v>
      </c>
      <c r="G22" s="295" t="s">
        <v>1373</v>
      </c>
      <c r="H22" s="295" t="s">
        <v>6</v>
      </c>
      <c r="I22" s="295" t="s">
        <v>1374</v>
      </c>
      <c r="J22" s="295" t="s">
        <v>1339</v>
      </c>
      <c r="K22" s="295" t="s">
        <v>6</v>
      </c>
      <c r="L22" s="373" t="s">
        <v>1375</v>
      </c>
      <c r="M22" s="295" t="s">
        <v>1376</v>
      </c>
      <c r="N22" s="295" t="s">
        <v>322</v>
      </c>
      <c r="O22" s="295" t="s">
        <v>6</v>
      </c>
      <c r="P22" s="295" t="s">
        <v>1377</v>
      </c>
      <c r="Q22" s="295" t="s">
        <v>6</v>
      </c>
      <c r="R22" s="373" t="s">
        <v>1378</v>
      </c>
      <c r="S22" s="295"/>
      <c r="T22" s="553" t="s">
        <v>1937</v>
      </c>
      <c r="U22" s="228"/>
      <c r="V22" s="228"/>
      <c r="W22" s="228"/>
      <c r="X22" s="228"/>
      <c r="Y22" s="228"/>
      <c r="Z22" s="228"/>
    </row>
    <row r="23" spans="1:26" ht="255" x14ac:dyDescent="0.2">
      <c r="A23" s="295" t="s">
        <v>277</v>
      </c>
      <c r="B23" s="295" t="s">
        <v>277</v>
      </c>
      <c r="C23" s="295" t="s">
        <v>50</v>
      </c>
      <c r="D23" s="295" t="s">
        <v>725</v>
      </c>
      <c r="E23" s="295" t="s">
        <v>74</v>
      </c>
      <c r="F23" s="295" t="s">
        <v>1379</v>
      </c>
      <c r="G23" s="295" t="s">
        <v>1380</v>
      </c>
      <c r="H23" s="295" t="s">
        <v>6</v>
      </c>
      <c r="I23" s="373" t="s">
        <v>1381</v>
      </c>
      <c r="J23" s="295" t="s">
        <v>1339</v>
      </c>
      <c r="K23" s="295" t="s">
        <v>6</v>
      </c>
      <c r="L23" s="373" t="s">
        <v>1381</v>
      </c>
      <c r="M23" s="295" t="s">
        <v>1382</v>
      </c>
      <c r="N23" s="295" t="s">
        <v>322</v>
      </c>
      <c r="O23" s="295" t="s">
        <v>6</v>
      </c>
      <c r="P23" s="295" t="s">
        <v>1383</v>
      </c>
      <c r="Q23" s="295" t="s">
        <v>77</v>
      </c>
      <c r="R23" s="373" t="s">
        <v>1384</v>
      </c>
      <c r="S23" s="295">
        <v>2017</v>
      </c>
      <c r="T23" s="553" t="s">
        <v>1937</v>
      </c>
      <c r="U23" s="228"/>
      <c r="V23" s="228"/>
      <c r="W23" s="228"/>
      <c r="X23" s="228"/>
      <c r="Y23" s="228"/>
      <c r="Z23" s="228"/>
    </row>
    <row r="24" spans="1:26" x14ac:dyDescent="0.2">
      <c r="A24"/>
      <c r="B24"/>
      <c r="C24"/>
      <c r="D24"/>
      <c r="E24"/>
      <c r="F24"/>
      <c r="G24"/>
      <c r="H24"/>
      <c r="I24"/>
      <c r="J24"/>
      <c r="K24"/>
      <c r="L24"/>
      <c r="M24"/>
      <c r="N24"/>
      <c r="O24"/>
      <c r="P24" s="272"/>
      <c r="Q24"/>
      <c r="R24"/>
      <c r="S24" s="272"/>
      <c r="T24" s="272"/>
      <c r="U24" s="228"/>
      <c r="V24" s="228"/>
      <c r="W24" s="228"/>
      <c r="X24" s="228"/>
      <c r="Y24" s="228"/>
      <c r="Z24" s="228"/>
    </row>
    <row r="25" spans="1:26" x14ac:dyDescent="0.2">
      <c r="A25" s="358"/>
      <c r="B25" s="356"/>
      <c r="C25" s="358"/>
      <c r="D25" s="356"/>
      <c r="E25" s="393"/>
      <c r="F25" s="364"/>
      <c r="G25" s="364"/>
      <c r="H25" s="367"/>
      <c r="I25" s="358"/>
      <c r="J25" s="356"/>
      <c r="K25" s="358"/>
      <c r="L25" s="356"/>
      <c r="M25" s="358"/>
      <c r="N25" s="356"/>
      <c r="O25" s="366"/>
      <c r="P25" s="228"/>
      <c r="Q25" s="228"/>
      <c r="R25" s="228"/>
      <c r="S25" s="228"/>
      <c r="T25" s="228"/>
      <c r="U25" s="228"/>
      <c r="V25" s="228"/>
      <c r="W25" s="228"/>
      <c r="X25" s="228"/>
      <c r="Y25" s="228"/>
      <c r="Z25" s="228"/>
    </row>
    <row r="26" spans="1:26" x14ac:dyDescent="0.2">
      <c r="A26" s="358"/>
      <c r="B26" s="356"/>
      <c r="C26" s="358"/>
      <c r="D26" s="356"/>
      <c r="E26" s="393"/>
      <c r="F26" s="364"/>
      <c r="G26" s="364"/>
      <c r="H26" s="367"/>
      <c r="I26" s="358"/>
      <c r="J26" s="356"/>
      <c r="K26" s="358"/>
      <c r="L26" s="356"/>
      <c r="M26" s="358"/>
      <c r="N26" s="356"/>
      <c r="O26" s="366"/>
      <c r="P26" s="228"/>
      <c r="Q26" s="228"/>
      <c r="R26" s="228"/>
      <c r="S26" s="228"/>
      <c r="T26" s="228"/>
      <c r="U26" s="228"/>
      <c r="V26" s="228"/>
      <c r="W26" s="228"/>
      <c r="X26" s="228"/>
      <c r="Y26" s="228"/>
      <c r="Z26" s="228"/>
    </row>
    <row r="27" spans="1:26" x14ac:dyDescent="0.2">
      <c r="A27" s="358"/>
      <c r="B27" s="356"/>
      <c r="C27" s="358"/>
      <c r="D27" s="356"/>
      <c r="E27" s="393"/>
      <c r="F27" s="364"/>
      <c r="G27" s="364"/>
      <c r="H27" s="367"/>
      <c r="I27" s="358"/>
      <c r="J27" s="356"/>
      <c r="K27" s="358"/>
      <c r="L27" s="356"/>
      <c r="M27" s="358"/>
      <c r="N27" s="356"/>
      <c r="O27" s="366"/>
      <c r="P27" s="228"/>
      <c r="Q27" s="228"/>
      <c r="R27" s="228"/>
      <c r="S27" s="228"/>
      <c r="T27" s="665"/>
      <c r="U27" s="228"/>
      <c r="V27" s="228"/>
      <c r="W27" s="228"/>
      <c r="X27" s="228"/>
      <c r="Y27" s="228"/>
      <c r="Z27" s="228"/>
    </row>
    <row r="28" spans="1:26" x14ac:dyDescent="0.2">
      <c r="A28" s="390"/>
      <c r="B28" s="391"/>
      <c r="C28" s="392"/>
      <c r="D28" s="392"/>
      <c r="E28" s="393"/>
      <c r="F28" s="364"/>
      <c r="G28" s="359"/>
      <c r="H28" s="359"/>
      <c r="I28" s="360"/>
      <c r="J28" s="360"/>
      <c r="K28" s="361"/>
      <c r="L28" s="361"/>
      <c r="M28" s="362"/>
      <c r="N28" s="363"/>
      <c r="O28" s="366"/>
      <c r="P28" s="228"/>
      <c r="Q28" s="228"/>
      <c r="R28" s="228"/>
      <c r="S28" s="228"/>
      <c r="T28" s="228"/>
      <c r="U28" s="228"/>
      <c r="V28" s="228"/>
      <c r="W28" s="228"/>
      <c r="X28" s="228"/>
      <c r="Y28" s="228"/>
      <c r="Z28" s="228"/>
    </row>
    <row r="29" spans="1:26" x14ac:dyDescent="0.2">
      <c r="A29" s="358"/>
      <c r="B29" s="358"/>
      <c r="C29" s="358"/>
      <c r="D29" s="358"/>
      <c r="E29" s="393"/>
      <c r="F29" s="364"/>
      <c r="G29" s="358"/>
      <c r="H29" s="358"/>
      <c r="I29" s="358"/>
      <c r="J29" s="358"/>
      <c r="K29" s="358"/>
      <c r="L29" s="358"/>
      <c r="M29" s="358"/>
      <c r="N29" s="358"/>
      <c r="O29" s="366"/>
      <c r="P29" s="228"/>
      <c r="Q29" s="228"/>
      <c r="R29" s="228"/>
      <c r="S29" s="228"/>
      <c r="T29" s="228"/>
      <c r="U29" s="228"/>
      <c r="V29" s="228"/>
      <c r="W29" s="228"/>
      <c r="X29" s="228"/>
      <c r="Y29" s="228"/>
      <c r="Z29" s="228"/>
    </row>
    <row r="30" spans="1:26" x14ac:dyDescent="0.2">
      <c r="A30" s="358"/>
      <c r="B30" s="358"/>
      <c r="C30" s="358"/>
      <c r="D30" s="358"/>
      <c r="E30" s="393"/>
      <c r="F30" s="364"/>
      <c r="G30" s="358"/>
      <c r="H30" s="358"/>
      <c r="I30" s="358"/>
      <c r="J30" s="358"/>
      <c r="K30" s="358"/>
      <c r="L30" s="358"/>
      <c r="M30" s="358"/>
      <c r="N30" s="358"/>
      <c r="O30" s="366"/>
      <c r="P30" s="228"/>
      <c r="Q30" s="228"/>
      <c r="R30" s="228"/>
      <c r="S30" s="228"/>
      <c r="T30" s="228"/>
      <c r="U30" s="228"/>
      <c r="V30" s="228"/>
      <c r="W30" s="228"/>
      <c r="X30" s="228"/>
      <c r="Y30" s="228"/>
      <c r="Z30" s="228"/>
    </row>
    <row r="31" spans="1:26" x14ac:dyDescent="0.2">
      <c r="A31" s="358"/>
      <c r="B31" s="358"/>
      <c r="C31" s="358"/>
      <c r="D31" s="358"/>
      <c r="E31" s="393"/>
      <c r="F31" s="364"/>
      <c r="G31" s="358"/>
      <c r="H31" s="358"/>
      <c r="I31" s="358"/>
      <c r="J31" s="358"/>
      <c r="K31" s="358"/>
      <c r="L31" s="358"/>
      <c r="M31" s="358"/>
      <c r="N31" s="358"/>
      <c r="O31" s="366"/>
      <c r="P31" s="228"/>
      <c r="Q31" s="228"/>
      <c r="R31" s="228"/>
      <c r="S31" s="228"/>
      <c r="T31" s="228"/>
      <c r="U31" s="228"/>
      <c r="V31" s="228"/>
      <c r="W31" s="228"/>
      <c r="X31" s="228"/>
      <c r="Y31" s="228"/>
      <c r="Z31" s="228"/>
    </row>
    <row r="32" spans="1:26" x14ac:dyDescent="0.2">
      <c r="A32" s="358"/>
      <c r="B32" s="358"/>
      <c r="C32" s="394"/>
      <c r="D32" s="358"/>
      <c r="E32" s="395"/>
      <c r="F32" s="364"/>
      <c r="G32" s="358"/>
      <c r="H32" s="358"/>
      <c r="I32" s="358"/>
      <c r="J32" s="358"/>
      <c r="K32" s="358"/>
      <c r="L32" s="358"/>
      <c r="M32" s="358"/>
      <c r="N32" s="358"/>
      <c r="O32" s="366"/>
      <c r="P32" s="228"/>
      <c r="Q32" s="228"/>
      <c r="R32" s="228"/>
      <c r="S32" s="228"/>
      <c r="T32" s="228"/>
      <c r="U32" s="228"/>
    </row>
    <row r="33" spans="1:21" x14ac:dyDescent="0.2">
      <c r="A33" s="228"/>
      <c r="B33" s="228"/>
      <c r="C33" s="228"/>
      <c r="D33" s="228"/>
      <c r="E33" s="228"/>
      <c r="F33" s="228"/>
      <c r="G33" s="228"/>
      <c r="H33" s="228"/>
      <c r="I33" s="228"/>
      <c r="J33" s="228"/>
      <c r="K33" s="228"/>
      <c r="L33" s="228"/>
      <c r="M33" s="228"/>
      <c r="N33" s="228"/>
      <c r="O33" s="228"/>
      <c r="P33" s="228"/>
      <c r="Q33" s="228"/>
      <c r="R33" s="228"/>
      <c r="S33" s="228"/>
      <c r="T33" s="228"/>
      <c r="U33" s="228"/>
    </row>
    <row r="34" spans="1:21" x14ac:dyDescent="0.2">
      <c r="M34" s="228"/>
      <c r="N34" s="228"/>
      <c r="O34" s="228"/>
      <c r="P34" s="228"/>
      <c r="Q34" s="228"/>
      <c r="T34" s="62"/>
    </row>
    <row r="35" spans="1:21" x14ac:dyDescent="0.2">
      <c r="M35" s="228"/>
      <c r="N35" s="228"/>
      <c r="O35" s="228"/>
      <c r="P35" s="228"/>
      <c r="Q35" s="228"/>
    </row>
    <row r="36" spans="1:21" x14ac:dyDescent="0.2">
      <c r="M36" s="228"/>
      <c r="N36" s="228"/>
      <c r="O36" s="228"/>
      <c r="P36" s="228"/>
      <c r="Q36" s="228"/>
    </row>
    <row r="37" spans="1:21" x14ac:dyDescent="0.2">
      <c r="M37" s="228"/>
      <c r="N37" s="228"/>
      <c r="O37" s="228"/>
      <c r="P37" s="228"/>
      <c r="Q37" s="228"/>
    </row>
    <row r="38" spans="1:21" x14ac:dyDescent="0.2">
      <c r="M38" s="228"/>
      <c r="N38" s="228"/>
      <c r="O38" s="228"/>
      <c r="P38" s="228"/>
      <c r="Q38" s="228"/>
    </row>
    <row r="39" spans="1:21" x14ac:dyDescent="0.2">
      <c r="M39" s="228"/>
      <c r="N39" s="228"/>
      <c r="O39" s="228"/>
      <c r="P39" s="228"/>
      <c r="Q39" s="228"/>
    </row>
    <row r="40" spans="1:21" x14ac:dyDescent="0.2">
      <c r="M40" s="228"/>
      <c r="N40" s="228"/>
      <c r="O40" s="228"/>
      <c r="P40" s="228"/>
      <c r="Q40" s="228"/>
    </row>
    <row r="41" spans="1:21" x14ac:dyDescent="0.2">
      <c r="M41" s="228"/>
      <c r="N41" s="228"/>
      <c r="O41" s="228"/>
      <c r="P41" s="228"/>
      <c r="Q41" s="228"/>
    </row>
    <row r="42" spans="1:21" x14ac:dyDescent="0.2">
      <c r="M42" s="228"/>
      <c r="N42" s="228"/>
      <c r="O42" s="228"/>
      <c r="P42" s="228"/>
      <c r="Q42" s="228"/>
    </row>
    <row r="43" spans="1:21" x14ac:dyDescent="0.2">
      <c r="M43" s="228"/>
      <c r="N43" s="228"/>
      <c r="O43" s="228"/>
      <c r="P43" s="228"/>
      <c r="Q43" s="228"/>
    </row>
    <row r="44" spans="1:21" x14ac:dyDescent="0.2">
      <c r="M44" s="228"/>
      <c r="N44" s="228"/>
      <c r="O44" s="228"/>
      <c r="P44" s="228"/>
      <c r="Q44" s="228"/>
    </row>
    <row r="45" spans="1:21" x14ac:dyDescent="0.2">
      <c r="M45" s="228"/>
      <c r="N45" s="228"/>
      <c r="O45" s="228"/>
      <c r="P45" s="228"/>
      <c r="Q45" s="228"/>
    </row>
    <row r="46" spans="1:21" x14ac:dyDescent="0.2">
      <c r="M46" s="228"/>
      <c r="N46" s="228"/>
      <c r="O46" s="228"/>
      <c r="P46" s="228"/>
      <c r="Q46" s="228"/>
    </row>
    <row r="47" spans="1:21" x14ac:dyDescent="0.2">
      <c r="M47" s="228"/>
      <c r="N47" s="228"/>
      <c r="O47" s="228"/>
      <c r="P47" s="228"/>
      <c r="Q47" s="228"/>
    </row>
    <row r="48" spans="1:21" x14ac:dyDescent="0.2">
      <c r="M48" s="228"/>
      <c r="N48" s="228"/>
      <c r="O48" s="228"/>
      <c r="P48" s="228"/>
      <c r="Q48" s="228"/>
    </row>
    <row r="49" spans="13:17" x14ac:dyDescent="0.2">
      <c r="M49" s="228"/>
      <c r="N49" s="228"/>
      <c r="O49" s="228"/>
      <c r="P49" s="228"/>
      <c r="Q49" s="228"/>
    </row>
    <row r="50" spans="13:17" x14ac:dyDescent="0.2">
      <c r="M50" s="228"/>
      <c r="N50" s="228"/>
      <c r="O50" s="228"/>
      <c r="P50" s="228"/>
      <c r="Q50" s="228"/>
    </row>
    <row r="51" spans="13:17" x14ac:dyDescent="0.2">
      <c r="M51" s="228"/>
      <c r="N51" s="228"/>
      <c r="O51" s="228"/>
      <c r="P51" s="228"/>
      <c r="Q51" s="228"/>
    </row>
    <row r="52" spans="13:17" x14ac:dyDescent="0.2">
      <c r="M52" s="228"/>
      <c r="N52" s="228"/>
      <c r="O52" s="228"/>
      <c r="P52" s="228"/>
      <c r="Q52" s="228"/>
    </row>
    <row r="53" spans="13:17" x14ac:dyDescent="0.2">
      <c r="M53" s="228"/>
      <c r="N53" s="228"/>
      <c r="O53" s="228"/>
      <c r="P53" s="228"/>
      <c r="Q53" s="228"/>
    </row>
    <row r="54" spans="13:17" x14ac:dyDescent="0.2">
      <c r="M54" s="228"/>
      <c r="N54" s="228"/>
      <c r="O54" s="228"/>
      <c r="P54" s="228"/>
      <c r="Q54" s="228"/>
    </row>
    <row r="55" spans="13:17" x14ac:dyDescent="0.2">
      <c r="M55" s="228"/>
      <c r="N55" s="228"/>
      <c r="O55" s="228"/>
      <c r="P55" s="228"/>
      <c r="Q55" s="228"/>
    </row>
    <row r="56" spans="13:17" x14ac:dyDescent="0.2">
      <c r="M56" s="228"/>
      <c r="N56" s="228"/>
      <c r="O56" s="228"/>
      <c r="P56" s="228"/>
      <c r="Q56" s="228"/>
    </row>
    <row r="57" spans="13:17" x14ac:dyDescent="0.2">
      <c r="M57" s="228"/>
      <c r="N57" s="228"/>
      <c r="O57" s="228"/>
      <c r="P57" s="228"/>
      <c r="Q57" s="228"/>
    </row>
    <row r="58" spans="13:17" x14ac:dyDescent="0.2">
      <c r="M58" s="228"/>
      <c r="N58" s="228"/>
      <c r="O58" s="228"/>
      <c r="P58" s="228"/>
      <c r="Q58" s="228"/>
    </row>
    <row r="59" spans="13:17" x14ac:dyDescent="0.2">
      <c r="M59" s="228"/>
      <c r="N59" s="228"/>
      <c r="O59" s="228"/>
      <c r="P59" s="228"/>
      <c r="Q59" s="228"/>
    </row>
    <row r="60" spans="13:17" x14ac:dyDescent="0.2">
      <c r="M60" s="228"/>
      <c r="N60" s="228"/>
      <c r="O60" s="228"/>
      <c r="P60" s="228"/>
      <c r="Q60" s="228"/>
    </row>
    <row r="61" spans="13:17" x14ac:dyDescent="0.2">
      <c r="M61" s="228"/>
      <c r="N61" s="228"/>
      <c r="O61" s="228"/>
      <c r="P61" s="228"/>
      <c r="Q61" s="228"/>
    </row>
    <row r="62" spans="13:17" x14ac:dyDescent="0.2">
      <c r="M62" s="228"/>
      <c r="N62" s="228"/>
      <c r="O62" s="228"/>
      <c r="P62" s="228"/>
      <c r="Q62" s="228"/>
    </row>
    <row r="63" spans="13:17" x14ac:dyDescent="0.2">
      <c r="M63" s="228"/>
      <c r="N63" s="228"/>
      <c r="O63" s="228"/>
      <c r="P63" s="228"/>
      <c r="Q63" s="228"/>
    </row>
    <row r="64" spans="13:17" x14ac:dyDescent="0.2">
      <c r="M64" s="228"/>
      <c r="N64" s="228"/>
      <c r="O64" s="228"/>
      <c r="P64" s="228"/>
      <c r="Q64" s="228"/>
    </row>
    <row r="65" spans="13:17" x14ac:dyDescent="0.2">
      <c r="M65" s="228"/>
      <c r="N65" s="228"/>
      <c r="O65" s="228"/>
      <c r="P65" s="228"/>
      <c r="Q65" s="228"/>
    </row>
    <row r="66" spans="13:17" x14ac:dyDescent="0.2">
      <c r="M66" s="228"/>
      <c r="N66" s="228"/>
      <c r="O66" s="228"/>
      <c r="P66" s="228"/>
      <c r="Q66" s="228"/>
    </row>
    <row r="67" spans="13:17" x14ac:dyDescent="0.2">
      <c r="M67" s="228"/>
      <c r="N67" s="228"/>
      <c r="O67" s="228"/>
      <c r="P67" s="228"/>
      <c r="Q67" s="228"/>
    </row>
    <row r="68" spans="13:17" x14ac:dyDescent="0.2">
      <c r="M68" s="228"/>
      <c r="N68" s="228"/>
      <c r="O68" s="228"/>
      <c r="P68" s="228"/>
      <c r="Q68" s="228"/>
    </row>
    <row r="69" spans="13:17" x14ac:dyDescent="0.2">
      <c r="M69" s="228"/>
      <c r="N69" s="228"/>
      <c r="O69" s="228"/>
      <c r="P69" s="228"/>
      <c r="Q69" s="228"/>
    </row>
    <row r="70" spans="13:17" x14ac:dyDescent="0.2">
      <c r="M70" s="228"/>
      <c r="N70" s="228"/>
      <c r="O70" s="228"/>
      <c r="P70" s="228"/>
      <c r="Q70" s="228"/>
    </row>
    <row r="71" spans="13:17" x14ac:dyDescent="0.2">
      <c r="M71" s="228"/>
      <c r="N71" s="228"/>
      <c r="O71" s="228"/>
      <c r="P71" s="228"/>
      <c r="Q71" s="228"/>
    </row>
    <row r="72" spans="13:17" x14ac:dyDescent="0.2">
      <c r="M72" s="228"/>
      <c r="N72" s="228"/>
      <c r="O72" s="228"/>
      <c r="P72" s="228"/>
      <c r="Q72" s="228"/>
    </row>
    <row r="73" spans="13:17" x14ac:dyDescent="0.2">
      <c r="M73" s="228"/>
      <c r="N73" s="228"/>
      <c r="O73" s="228"/>
      <c r="P73" s="228"/>
      <c r="Q73" s="228"/>
    </row>
    <row r="74" spans="13:17" x14ac:dyDescent="0.2">
      <c r="M74" s="228"/>
      <c r="N74" s="228"/>
      <c r="O74" s="228"/>
      <c r="P74" s="228"/>
      <c r="Q74" s="228"/>
    </row>
    <row r="75" spans="13:17" x14ac:dyDescent="0.2">
      <c r="M75" s="228"/>
      <c r="N75" s="228"/>
      <c r="O75" s="228"/>
      <c r="P75" s="228"/>
      <c r="Q75" s="228"/>
    </row>
    <row r="76" spans="13:17" x14ac:dyDescent="0.2">
      <c r="M76" s="228"/>
      <c r="N76" s="228"/>
      <c r="O76" s="228"/>
      <c r="P76" s="228"/>
      <c r="Q76" s="228"/>
    </row>
    <row r="77" spans="13:17" x14ac:dyDescent="0.2">
      <c r="M77" s="228"/>
      <c r="N77" s="228"/>
      <c r="O77" s="228"/>
      <c r="P77" s="228"/>
      <c r="Q77" s="228"/>
    </row>
    <row r="78" spans="13:17" x14ac:dyDescent="0.2">
      <c r="M78" s="228"/>
      <c r="N78" s="228"/>
      <c r="O78" s="228"/>
      <c r="P78" s="228"/>
      <c r="Q78" s="228"/>
    </row>
    <row r="79" spans="13:17" x14ac:dyDescent="0.2">
      <c r="M79" s="228"/>
      <c r="N79" s="228"/>
      <c r="O79" s="228"/>
      <c r="P79" s="228"/>
      <c r="Q79" s="228"/>
    </row>
    <row r="80" spans="13:17" x14ac:dyDescent="0.2">
      <c r="M80" s="228"/>
      <c r="N80" s="228"/>
      <c r="O80" s="228"/>
      <c r="P80" s="228"/>
      <c r="Q80" s="228"/>
    </row>
    <row r="81" spans="13:17" x14ac:dyDescent="0.2">
      <c r="M81" s="228"/>
      <c r="N81" s="228"/>
      <c r="O81" s="228"/>
      <c r="P81" s="228"/>
      <c r="Q81" s="228"/>
    </row>
    <row r="82" spans="13:17" x14ac:dyDescent="0.2">
      <c r="M82" s="228"/>
      <c r="N82" s="228"/>
      <c r="O82" s="228"/>
      <c r="P82" s="228"/>
      <c r="Q82" s="228"/>
    </row>
    <row r="83" spans="13:17" x14ac:dyDescent="0.2">
      <c r="M83" s="228"/>
      <c r="N83" s="228"/>
      <c r="O83" s="228"/>
      <c r="P83" s="228"/>
      <c r="Q83" s="228"/>
    </row>
    <row r="84" spans="13:17" x14ac:dyDescent="0.2">
      <c r="M84" s="228"/>
      <c r="N84" s="228"/>
      <c r="O84" s="228"/>
      <c r="P84" s="228"/>
      <c r="Q84" s="228"/>
    </row>
    <row r="85" spans="13:17" x14ac:dyDescent="0.2">
      <c r="M85" s="228"/>
      <c r="N85" s="228"/>
      <c r="O85" s="228"/>
      <c r="P85" s="228"/>
      <c r="Q85" s="228"/>
    </row>
    <row r="86" spans="13:17" x14ac:dyDescent="0.2">
      <c r="M86" s="228"/>
      <c r="N86" s="228"/>
      <c r="O86" s="228"/>
      <c r="P86" s="228"/>
      <c r="Q86" s="228"/>
    </row>
    <row r="87" spans="13:17" x14ac:dyDescent="0.2">
      <c r="M87" s="228"/>
      <c r="N87" s="228"/>
      <c r="O87" s="228"/>
      <c r="P87" s="228"/>
      <c r="Q87" s="228"/>
    </row>
    <row r="88" spans="13:17" x14ac:dyDescent="0.2">
      <c r="M88" s="228"/>
      <c r="N88" s="228"/>
      <c r="O88" s="228"/>
      <c r="P88" s="228"/>
      <c r="Q88" s="228"/>
    </row>
    <row r="89" spans="13:17" x14ac:dyDescent="0.2">
      <c r="M89" s="228"/>
      <c r="N89" s="228"/>
      <c r="O89" s="228"/>
      <c r="P89" s="228"/>
      <c r="Q89" s="228"/>
    </row>
    <row r="90" spans="13:17" x14ac:dyDescent="0.2">
      <c r="M90" s="228"/>
      <c r="N90" s="228"/>
      <c r="O90" s="228"/>
      <c r="P90" s="228"/>
      <c r="Q90" s="228"/>
    </row>
    <row r="91" spans="13:17" x14ac:dyDescent="0.2">
      <c r="M91" s="228"/>
      <c r="N91" s="228"/>
      <c r="O91" s="228"/>
      <c r="P91" s="228"/>
      <c r="Q91" s="228"/>
    </row>
    <row r="92" spans="13:17" x14ac:dyDescent="0.2">
      <c r="M92" s="228"/>
      <c r="N92" s="228"/>
      <c r="O92" s="228"/>
      <c r="P92" s="228"/>
      <c r="Q92" s="228"/>
    </row>
    <row r="93" spans="13:17" x14ac:dyDescent="0.2">
      <c r="M93" s="228"/>
      <c r="N93" s="228"/>
      <c r="O93" s="228"/>
      <c r="P93" s="228"/>
      <c r="Q93" s="228"/>
    </row>
    <row r="94" spans="13:17" x14ac:dyDescent="0.2">
      <c r="M94" s="228"/>
      <c r="N94" s="228"/>
      <c r="O94" s="228"/>
      <c r="P94" s="228"/>
      <c r="Q94" s="228"/>
    </row>
    <row r="95" spans="13:17" x14ac:dyDescent="0.2">
      <c r="M95" s="228"/>
      <c r="N95" s="228"/>
      <c r="O95" s="228"/>
      <c r="P95" s="228"/>
      <c r="Q95" s="228"/>
    </row>
    <row r="96" spans="13:17" x14ac:dyDescent="0.2">
      <c r="M96" s="228"/>
      <c r="N96" s="228"/>
      <c r="O96" s="228"/>
      <c r="P96" s="228"/>
      <c r="Q96" s="228"/>
    </row>
    <row r="97" spans="13:17" x14ac:dyDescent="0.2">
      <c r="M97" s="228"/>
      <c r="N97" s="228"/>
      <c r="O97" s="228"/>
      <c r="P97" s="228"/>
      <c r="Q97" s="228"/>
    </row>
    <row r="98" spans="13:17" x14ac:dyDescent="0.2">
      <c r="M98" s="228"/>
      <c r="N98" s="228"/>
      <c r="O98" s="228"/>
      <c r="P98" s="228"/>
      <c r="Q98" s="228"/>
    </row>
    <row r="99" spans="13:17" x14ac:dyDescent="0.2">
      <c r="M99" s="228"/>
      <c r="N99" s="228"/>
      <c r="O99" s="228"/>
      <c r="P99" s="228"/>
      <c r="Q99" s="228"/>
    </row>
    <row r="100" spans="13:17" x14ac:dyDescent="0.2">
      <c r="M100" s="228"/>
      <c r="N100" s="228"/>
      <c r="O100" s="228"/>
      <c r="P100" s="228"/>
      <c r="Q100" s="228"/>
    </row>
    <row r="101" spans="13:17" x14ac:dyDescent="0.2">
      <c r="M101" s="228"/>
      <c r="N101" s="228"/>
      <c r="O101" s="228"/>
      <c r="P101" s="228"/>
      <c r="Q101" s="228"/>
    </row>
    <row r="102" spans="13:17" x14ac:dyDescent="0.2">
      <c r="M102" s="228"/>
      <c r="N102" s="228"/>
      <c r="O102" s="228"/>
      <c r="P102" s="228"/>
      <c r="Q102" s="228"/>
    </row>
    <row r="103" spans="13:17" x14ac:dyDescent="0.2">
      <c r="M103" s="228"/>
      <c r="N103" s="228"/>
      <c r="O103" s="228"/>
      <c r="P103" s="228"/>
      <c r="Q103" s="228"/>
    </row>
    <row r="104" spans="13:17" x14ac:dyDescent="0.2">
      <c r="M104" s="228"/>
      <c r="N104" s="228"/>
      <c r="O104" s="228"/>
      <c r="P104" s="228"/>
      <c r="Q104" s="228"/>
    </row>
    <row r="105" spans="13:17" x14ac:dyDescent="0.2">
      <c r="M105" s="228"/>
      <c r="N105" s="228"/>
      <c r="O105" s="228"/>
      <c r="P105" s="228"/>
      <c r="Q105" s="228"/>
    </row>
    <row r="106" spans="13:17" x14ac:dyDescent="0.2">
      <c r="M106" s="228"/>
      <c r="N106" s="228"/>
      <c r="O106" s="228"/>
      <c r="P106" s="228"/>
      <c r="Q106" s="228"/>
    </row>
    <row r="107" spans="13:17" x14ac:dyDescent="0.2">
      <c r="M107" s="228"/>
      <c r="N107" s="228"/>
      <c r="O107" s="228"/>
      <c r="P107" s="228"/>
      <c r="Q107" s="228"/>
    </row>
    <row r="108" spans="13:17" x14ac:dyDescent="0.2">
      <c r="M108" s="228"/>
      <c r="N108" s="228"/>
      <c r="O108" s="228"/>
      <c r="P108" s="228"/>
      <c r="Q108" s="228"/>
    </row>
    <row r="109" spans="13:17" x14ac:dyDescent="0.2">
      <c r="M109" s="228"/>
      <c r="N109" s="228"/>
      <c r="O109" s="228"/>
      <c r="P109" s="228"/>
      <c r="Q109" s="228"/>
    </row>
    <row r="110" spans="13:17" x14ac:dyDescent="0.2">
      <c r="M110" s="228"/>
      <c r="N110" s="228"/>
      <c r="O110" s="228"/>
      <c r="P110" s="228"/>
      <c r="Q110" s="228"/>
    </row>
    <row r="111" spans="13:17" x14ac:dyDescent="0.2">
      <c r="M111" s="228"/>
      <c r="N111" s="228"/>
      <c r="O111" s="228"/>
      <c r="P111" s="228"/>
      <c r="Q111" s="228"/>
    </row>
    <row r="112" spans="13:17" x14ac:dyDescent="0.2">
      <c r="M112" s="228"/>
      <c r="N112" s="228"/>
      <c r="O112" s="228"/>
      <c r="P112" s="228"/>
      <c r="Q112" s="228"/>
    </row>
    <row r="113" spans="13:17" x14ac:dyDescent="0.2">
      <c r="M113" s="228"/>
      <c r="N113" s="228"/>
      <c r="O113" s="228"/>
      <c r="P113" s="228"/>
      <c r="Q113" s="228"/>
    </row>
    <row r="114" spans="13:17" x14ac:dyDescent="0.2">
      <c r="M114" s="228"/>
      <c r="N114" s="228"/>
      <c r="O114" s="228"/>
      <c r="P114" s="228"/>
      <c r="Q114" s="228"/>
    </row>
    <row r="115" spans="13:17" x14ac:dyDescent="0.2">
      <c r="M115" s="228"/>
      <c r="N115" s="228"/>
      <c r="O115" s="228"/>
      <c r="P115" s="228"/>
      <c r="Q115" s="228"/>
    </row>
    <row r="116" spans="13:17" x14ac:dyDescent="0.2">
      <c r="M116" s="228"/>
      <c r="N116" s="228"/>
      <c r="O116" s="228"/>
      <c r="P116" s="228"/>
      <c r="Q116" s="228"/>
    </row>
    <row r="117" spans="13:17" x14ac:dyDescent="0.2">
      <c r="M117" s="228"/>
      <c r="N117" s="228"/>
      <c r="O117" s="228"/>
      <c r="P117" s="228"/>
      <c r="Q117" s="228"/>
    </row>
    <row r="118" spans="13:17" x14ac:dyDescent="0.2">
      <c r="M118" s="228"/>
      <c r="N118" s="228"/>
      <c r="O118" s="228"/>
      <c r="P118" s="228"/>
      <c r="Q118" s="228"/>
    </row>
    <row r="119" spans="13:17" x14ac:dyDescent="0.2">
      <c r="M119" s="228"/>
      <c r="N119" s="228"/>
      <c r="O119" s="228"/>
      <c r="P119" s="228"/>
      <c r="Q119" s="228"/>
    </row>
    <row r="120" spans="13:17" x14ac:dyDescent="0.2">
      <c r="M120" s="228"/>
      <c r="N120" s="228"/>
      <c r="O120" s="228"/>
      <c r="P120" s="228"/>
      <c r="Q120" s="228"/>
    </row>
    <row r="121" spans="13:17" x14ac:dyDescent="0.2">
      <c r="M121" s="228"/>
      <c r="N121" s="228"/>
      <c r="O121" s="228"/>
      <c r="P121" s="228"/>
      <c r="Q121" s="228"/>
    </row>
    <row r="122" spans="13:17" x14ac:dyDescent="0.2">
      <c r="M122" s="228"/>
      <c r="N122" s="228"/>
      <c r="O122" s="228"/>
      <c r="P122" s="228"/>
      <c r="Q122" s="228"/>
    </row>
    <row r="123" spans="13:17" x14ac:dyDescent="0.2">
      <c r="M123" s="228"/>
      <c r="N123" s="228"/>
      <c r="O123" s="228"/>
      <c r="P123" s="228"/>
      <c r="Q123" s="228"/>
    </row>
    <row r="124" spans="13:17" x14ac:dyDescent="0.2">
      <c r="M124" s="228"/>
      <c r="N124" s="228"/>
      <c r="O124" s="228"/>
      <c r="P124" s="228"/>
      <c r="Q124" s="228"/>
    </row>
    <row r="125" spans="13:17" x14ac:dyDescent="0.2">
      <c r="M125" s="228"/>
      <c r="N125" s="228"/>
      <c r="O125" s="228"/>
      <c r="P125" s="228"/>
      <c r="Q125" s="228"/>
    </row>
    <row r="126" spans="13:17" x14ac:dyDescent="0.2">
      <c r="M126" s="228"/>
      <c r="N126" s="228"/>
      <c r="O126" s="228"/>
      <c r="P126" s="228"/>
      <c r="Q126" s="228"/>
    </row>
    <row r="127" spans="13:17" x14ac:dyDescent="0.2">
      <c r="M127" s="228"/>
      <c r="N127" s="228"/>
      <c r="O127" s="228"/>
      <c r="P127" s="228"/>
      <c r="Q127" s="228"/>
    </row>
    <row r="128" spans="13:17" x14ac:dyDescent="0.2">
      <c r="M128" s="228"/>
      <c r="N128" s="228"/>
      <c r="O128" s="228"/>
      <c r="P128" s="228"/>
      <c r="Q128" s="228"/>
    </row>
    <row r="129" spans="13:17" x14ac:dyDescent="0.2">
      <c r="M129" s="228"/>
      <c r="N129" s="228"/>
      <c r="O129" s="228"/>
      <c r="P129" s="228"/>
      <c r="Q129" s="228"/>
    </row>
    <row r="130" spans="13:17" x14ac:dyDescent="0.2">
      <c r="M130" s="228"/>
      <c r="N130" s="228"/>
      <c r="O130" s="228"/>
      <c r="P130" s="228"/>
      <c r="Q130" s="228"/>
    </row>
    <row r="131" spans="13:17" x14ac:dyDescent="0.2">
      <c r="M131" s="228"/>
      <c r="N131" s="228"/>
      <c r="O131" s="228"/>
      <c r="P131" s="228"/>
      <c r="Q131" s="228"/>
    </row>
    <row r="132" spans="13:17" x14ac:dyDescent="0.2">
      <c r="M132" s="228"/>
      <c r="N132" s="228"/>
      <c r="O132" s="228"/>
      <c r="P132" s="228"/>
      <c r="Q132" s="228"/>
    </row>
    <row r="133" spans="13:17" x14ac:dyDescent="0.2">
      <c r="M133" s="228"/>
      <c r="N133" s="228"/>
      <c r="O133" s="228"/>
      <c r="P133" s="228"/>
      <c r="Q133" s="228"/>
    </row>
    <row r="134" spans="13:17" x14ac:dyDescent="0.2">
      <c r="M134" s="228"/>
      <c r="N134" s="228"/>
      <c r="O134" s="228"/>
      <c r="P134" s="228"/>
      <c r="Q134" s="228"/>
    </row>
    <row r="135" spans="13:17" x14ac:dyDescent="0.2">
      <c r="M135" s="228"/>
      <c r="N135" s="228"/>
      <c r="O135" s="228"/>
      <c r="P135" s="228"/>
      <c r="Q135" s="228"/>
    </row>
    <row r="136" spans="13:17" x14ac:dyDescent="0.2">
      <c r="M136" s="228"/>
      <c r="N136" s="228"/>
      <c r="O136" s="228"/>
      <c r="P136" s="228"/>
      <c r="Q136" s="228"/>
    </row>
    <row r="137" spans="13:17" x14ac:dyDescent="0.2">
      <c r="M137" s="228"/>
      <c r="N137" s="228"/>
      <c r="O137" s="228"/>
      <c r="P137" s="228"/>
      <c r="Q137" s="228"/>
    </row>
    <row r="138" spans="13:17" x14ac:dyDescent="0.2">
      <c r="M138" s="228"/>
      <c r="N138" s="228"/>
      <c r="O138" s="228"/>
      <c r="P138" s="228"/>
      <c r="Q138" s="228"/>
    </row>
    <row r="139" spans="13:17" x14ac:dyDescent="0.2">
      <c r="M139" s="228"/>
      <c r="N139" s="228"/>
      <c r="O139" s="228"/>
      <c r="P139" s="228"/>
      <c r="Q139" s="228"/>
    </row>
    <row r="140" spans="13:17" x14ac:dyDescent="0.2">
      <c r="M140" s="228"/>
      <c r="N140" s="228"/>
      <c r="O140" s="228"/>
      <c r="P140" s="228"/>
      <c r="Q140" s="228"/>
    </row>
    <row r="141" spans="13:17" x14ac:dyDescent="0.2">
      <c r="M141" s="228"/>
      <c r="N141" s="228"/>
      <c r="O141" s="228"/>
      <c r="P141" s="228"/>
      <c r="Q141" s="228"/>
    </row>
    <row r="142" spans="13:17" x14ac:dyDescent="0.2">
      <c r="M142" s="228"/>
      <c r="N142" s="228"/>
      <c r="O142" s="228"/>
      <c r="P142" s="228"/>
      <c r="Q142" s="228"/>
    </row>
    <row r="143" spans="13:17" x14ac:dyDescent="0.2">
      <c r="M143" s="228"/>
      <c r="N143" s="228"/>
      <c r="O143" s="228"/>
      <c r="P143" s="228"/>
      <c r="Q143" s="228"/>
    </row>
    <row r="144" spans="13:17" x14ac:dyDescent="0.2">
      <c r="M144" s="228"/>
      <c r="N144" s="228"/>
      <c r="O144" s="228"/>
      <c r="P144" s="228"/>
      <c r="Q144" s="228"/>
    </row>
    <row r="145" spans="13:17" x14ac:dyDescent="0.2">
      <c r="M145" s="228"/>
      <c r="N145" s="228"/>
      <c r="O145" s="228"/>
      <c r="P145" s="228"/>
      <c r="Q145" s="228"/>
    </row>
    <row r="146" spans="13:17" x14ac:dyDescent="0.2">
      <c r="M146" s="228"/>
      <c r="N146" s="228"/>
      <c r="O146" s="228"/>
      <c r="P146" s="228"/>
      <c r="Q146" s="228"/>
    </row>
    <row r="147" spans="13:17" x14ac:dyDescent="0.2">
      <c r="M147" s="228"/>
      <c r="N147" s="228"/>
      <c r="O147" s="228"/>
      <c r="P147" s="228"/>
      <c r="Q147" s="228"/>
    </row>
    <row r="148" spans="13:17" x14ac:dyDescent="0.2">
      <c r="M148" s="228"/>
      <c r="N148" s="228"/>
      <c r="O148" s="228"/>
      <c r="P148" s="228"/>
      <c r="Q148" s="228"/>
    </row>
    <row r="149" spans="13:17" x14ac:dyDescent="0.2">
      <c r="M149" s="228"/>
      <c r="N149" s="228"/>
      <c r="O149" s="228"/>
      <c r="P149" s="228"/>
      <c r="Q149" s="228"/>
    </row>
    <row r="150" spans="13:17" x14ac:dyDescent="0.2">
      <c r="M150" s="228"/>
      <c r="N150" s="228"/>
      <c r="O150" s="228"/>
      <c r="P150" s="228"/>
      <c r="Q150" s="228"/>
    </row>
    <row r="151" spans="13:17" x14ac:dyDescent="0.2">
      <c r="M151" s="228"/>
      <c r="N151" s="228"/>
      <c r="O151" s="228"/>
      <c r="P151" s="228"/>
      <c r="Q151" s="228"/>
    </row>
    <row r="152" spans="13:17" x14ac:dyDescent="0.2">
      <c r="M152" s="228"/>
      <c r="N152" s="228"/>
      <c r="O152" s="228"/>
      <c r="P152" s="228"/>
      <c r="Q152" s="228"/>
    </row>
    <row r="153" spans="13:17" x14ac:dyDescent="0.2">
      <c r="M153" s="228"/>
      <c r="N153" s="228"/>
      <c r="O153" s="228"/>
      <c r="P153" s="228"/>
      <c r="Q153" s="228"/>
    </row>
    <row r="154" spans="13:17" x14ac:dyDescent="0.2">
      <c r="M154" s="228"/>
      <c r="N154" s="228"/>
      <c r="O154" s="228"/>
      <c r="P154" s="228"/>
      <c r="Q154" s="228"/>
    </row>
    <row r="155" spans="13:17" x14ac:dyDescent="0.2">
      <c r="M155" s="228"/>
      <c r="N155" s="228"/>
      <c r="O155" s="228"/>
      <c r="P155" s="228"/>
      <c r="Q155" s="228"/>
    </row>
    <row r="156" spans="13:17" x14ac:dyDescent="0.2">
      <c r="M156" s="228"/>
      <c r="N156" s="228"/>
      <c r="O156" s="228"/>
      <c r="P156" s="228"/>
      <c r="Q156" s="228"/>
    </row>
    <row r="157" spans="13:17" x14ac:dyDescent="0.2">
      <c r="M157" s="228"/>
      <c r="N157" s="228"/>
      <c r="O157" s="228"/>
      <c r="P157" s="228"/>
      <c r="Q157" s="228"/>
    </row>
    <row r="158" spans="13:17" x14ac:dyDescent="0.2">
      <c r="M158" s="228"/>
      <c r="N158" s="228"/>
      <c r="O158" s="228"/>
      <c r="P158" s="228"/>
      <c r="Q158" s="228"/>
    </row>
    <row r="159" spans="13:17" x14ac:dyDescent="0.2">
      <c r="M159" s="228"/>
      <c r="N159" s="228"/>
      <c r="O159" s="228"/>
      <c r="P159" s="228"/>
      <c r="Q159" s="228"/>
    </row>
    <row r="160" spans="13:17" x14ac:dyDescent="0.2">
      <c r="M160" s="228"/>
      <c r="N160" s="228"/>
      <c r="O160" s="228"/>
      <c r="P160" s="228"/>
      <c r="Q160" s="228"/>
    </row>
    <row r="161" spans="13:17" x14ac:dyDescent="0.2">
      <c r="M161" s="228"/>
      <c r="N161" s="228"/>
      <c r="O161" s="228"/>
      <c r="P161" s="228"/>
      <c r="Q161" s="228"/>
    </row>
    <row r="162" spans="13:17" x14ac:dyDescent="0.2">
      <c r="M162" s="228"/>
      <c r="N162" s="228"/>
      <c r="O162" s="228"/>
      <c r="P162" s="228"/>
      <c r="Q162" s="228"/>
    </row>
    <row r="163" spans="13:17" x14ac:dyDescent="0.2">
      <c r="M163" s="228"/>
      <c r="N163" s="228"/>
      <c r="O163" s="228"/>
      <c r="P163" s="228"/>
      <c r="Q163" s="228"/>
    </row>
    <row r="164" spans="13:17" x14ac:dyDescent="0.2">
      <c r="M164" s="228"/>
      <c r="N164" s="228"/>
      <c r="O164" s="228"/>
      <c r="P164" s="228"/>
      <c r="Q164" s="228"/>
    </row>
    <row r="165" spans="13:17" x14ac:dyDescent="0.2">
      <c r="M165" s="228"/>
      <c r="N165" s="228"/>
      <c r="O165" s="228"/>
      <c r="P165" s="228"/>
      <c r="Q165" s="228"/>
    </row>
    <row r="166" spans="13:17" x14ac:dyDescent="0.2">
      <c r="M166" s="228"/>
      <c r="N166" s="228"/>
      <c r="O166" s="228"/>
      <c r="P166" s="228"/>
      <c r="Q166" s="228"/>
    </row>
    <row r="167" spans="13:17" x14ac:dyDescent="0.2">
      <c r="M167" s="228"/>
      <c r="N167" s="228"/>
      <c r="O167" s="228"/>
      <c r="P167" s="228"/>
      <c r="Q167" s="228"/>
    </row>
    <row r="168" spans="13:17" x14ac:dyDescent="0.2">
      <c r="M168" s="228"/>
      <c r="N168" s="228"/>
      <c r="O168" s="228"/>
      <c r="P168" s="228"/>
      <c r="Q168" s="228"/>
    </row>
    <row r="169" spans="13:17" x14ac:dyDescent="0.2">
      <c r="M169" s="228"/>
      <c r="N169" s="228"/>
      <c r="O169" s="228"/>
      <c r="P169" s="228"/>
      <c r="Q169" s="228"/>
    </row>
    <row r="170" spans="13:17" x14ac:dyDescent="0.2">
      <c r="M170" s="228"/>
      <c r="N170" s="228"/>
      <c r="O170" s="228"/>
      <c r="P170" s="228"/>
      <c r="Q170" s="228"/>
    </row>
    <row r="171" spans="13:17" x14ac:dyDescent="0.2">
      <c r="M171" s="228"/>
      <c r="N171" s="228"/>
      <c r="O171" s="228"/>
      <c r="P171" s="228"/>
      <c r="Q171" s="228"/>
    </row>
    <row r="172" spans="13:17" x14ac:dyDescent="0.2">
      <c r="M172" s="228"/>
      <c r="N172" s="228"/>
      <c r="O172" s="228"/>
      <c r="P172" s="228"/>
      <c r="Q172" s="228"/>
    </row>
    <row r="173" spans="13:17" x14ac:dyDescent="0.2">
      <c r="M173" s="228"/>
      <c r="N173" s="228"/>
      <c r="O173" s="228"/>
      <c r="P173" s="228"/>
      <c r="Q173" s="228"/>
    </row>
    <row r="174" spans="13:17" x14ac:dyDescent="0.2">
      <c r="M174" s="228"/>
      <c r="N174" s="228"/>
      <c r="O174" s="228"/>
      <c r="P174" s="228"/>
      <c r="Q174" s="228"/>
    </row>
    <row r="175" spans="13:17" x14ac:dyDescent="0.2">
      <c r="M175" s="228"/>
      <c r="N175" s="228"/>
      <c r="O175" s="228"/>
      <c r="P175" s="228"/>
      <c r="Q175" s="228"/>
    </row>
    <row r="176" spans="13:17" x14ac:dyDescent="0.2">
      <c r="M176" s="228"/>
      <c r="N176" s="228"/>
      <c r="O176" s="228"/>
      <c r="P176" s="228"/>
      <c r="Q176" s="228"/>
    </row>
    <row r="177" spans="13:17" x14ac:dyDescent="0.2">
      <c r="M177" s="228"/>
      <c r="N177" s="228"/>
      <c r="O177" s="228"/>
      <c r="P177" s="228"/>
      <c r="Q177" s="228"/>
    </row>
    <row r="178" spans="13:17" x14ac:dyDescent="0.2">
      <c r="M178" s="228"/>
      <c r="N178" s="228"/>
      <c r="O178" s="228"/>
      <c r="P178" s="228"/>
      <c r="Q178" s="228"/>
    </row>
    <row r="179" spans="13:17" x14ac:dyDescent="0.2">
      <c r="M179" s="228"/>
      <c r="N179" s="228"/>
      <c r="O179" s="228"/>
      <c r="P179" s="228"/>
      <c r="Q179" s="228"/>
    </row>
    <row r="180" spans="13:17" x14ac:dyDescent="0.2">
      <c r="M180" s="228"/>
      <c r="N180" s="228"/>
      <c r="O180" s="228"/>
      <c r="P180" s="228"/>
      <c r="Q180" s="228"/>
    </row>
    <row r="181" spans="13:17" x14ac:dyDescent="0.2">
      <c r="M181" s="228"/>
      <c r="N181" s="228"/>
      <c r="O181" s="228"/>
      <c r="P181" s="228"/>
      <c r="Q181" s="228"/>
    </row>
    <row r="182" spans="13:17" x14ac:dyDescent="0.2">
      <c r="M182" s="228"/>
      <c r="N182" s="228"/>
      <c r="O182" s="228"/>
      <c r="P182" s="228"/>
      <c r="Q182" s="228"/>
    </row>
    <row r="183" spans="13:17" x14ac:dyDescent="0.2">
      <c r="M183" s="228"/>
      <c r="N183" s="228"/>
      <c r="O183" s="228"/>
      <c r="P183" s="228"/>
      <c r="Q183" s="228"/>
    </row>
    <row r="184" spans="13:17" x14ac:dyDescent="0.2">
      <c r="M184" s="228"/>
      <c r="N184" s="228"/>
      <c r="O184" s="228"/>
      <c r="P184" s="228"/>
      <c r="Q184" s="228"/>
    </row>
    <row r="185" spans="13:17" x14ac:dyDescent="0.2">
      <c r="M185" s="228"/>
      <c r="N185" s="228"/>
      <c r="O185" s="228"/>
      <c r="P185" s="228"/>
      <c r="Q185" s="228"/>
    </row>
    <row r="186" spans="13:17" x14ac:dyDescent="0.2">
      <c r="M186" s="228"/>
      <c r="N186" s="228"/>
      <c r="O186" s="228"/>
      <c r="P186" s="228"/>
      <c r="Q186" s="228"/>
    </row>
    <row r="187" spans="13:17" x14ac:dyDescent="0.2">
      <c r="M187" s="228"/>
      <c r="N187" s="228"/>
      <c r="O187" s="228"/>
      <c r="P187" s="228"/>
      <c r="Q187" s="228"/>
    </row>
    <row r="188" spans="13:17" x14ac:dyDescent="0.2">
      <c r="M188" s="228"/>
      <c r="N188" s="228"/>
      <c r="O188" s="228"/>
      <c r="P188" s="228"/>
      <c r="Q188" s="228"/>
    </row>
    <row r="189" spans="13:17" x14ac:dyDescent="0.2">
      <c r="M189" s="228"/>
      <c r="N189" s="228"/>
      <c r="O189" s="228"/>
      <c r="P189" s="228"/>
      <c r="Q189" s="228"/>
    </row>
    <row r="190" spans="13:17" x14ac:dyDescent="0.2">
      <c r="M190" s="228"/>
      <c r="N190" s="228"/>
      <c r="O190" s="228"/>
      <c r="P190" s="228"/>
      <c r="Q190" s="228"/>
    </row>
    <row r="191" spans="13:17" x14ac:dyDescent="0.2">
      <c r="M191" s="228"/>
      <c r="N191" s="228"/>
      <c r="O191" s="228"/>
      <c r="P191" s="228"/>
      <c r="Q191" s="228"/>
    </row>
    <row r="192" spans="13:17" x14ac:dyDescent="0.2">
      <c r="M192" s="228"/>
      <c r="N192" s="228"/>
      <c r="O192" s="228"/>
      <c r="P192" s="228"/>
      <c r="Q192" s="228"/>
    </row>
    <row r="193" spans="13:17" x14ac:dyDescent="0.2">
      <c r="M193" s="228"/>
      <c r="N193" s="228"/>
      <c r="O193" s="228"/>
      <c r="P193" s="228"/>
      <c r="Q193" s="228"/>
    </row>
    <row r="194" spans="13:17" x14ac:dyDescent="0.2">
      <c r="M194" s="228"/>
      <c r="N194" s="228"/>
      <c r="O194" s="228"/>
      <c r="P194" s="228"/>
      <c r="Q194" s="228"/>
    </row>
    <row r="195" spans="13:17" x14ac:dyDescent="0.2">
      <c r="M195" s="228"/>
      <c r="N195" s="228"/>
      <c r="O195" s="228"/>
      <c r="P195" s="228"/>
      <c r="Q195" s="228"/>
    </row>
    <row r="196" spans="13:17" x14ac:dyDescent="0.2">
      <c r="M196" s="228"/>
      <c r="N196" s="228"/>
      <c r="O196" s="228"/>
      <c r="P196" s="228"/>
      <c r="Q196" s="228"/>
    </row>
    <row r="197" spans="13:17" x14ac:dyDescent="0.2">
      <c r="M197" s="228"/>
      <c r="N197" s="228"/>
      <c r="O197" s="228"/>
      <c r="P197" s="228"/>
      <c r="Q197" s="228"/>
    </row>
    <row r="198" spans="13:17" x14ac:dyDescent="0.2">
      <c r="M198" s="228"/>
      <c r="N198" s="228"/>
      <c r="O198" s="228"/>
      <c r="P198" s="228"/>
      <c r="Q198" s="228"/>
    </row>
    <row r="199" spans="13:17" x14ac:dyDescent="0.2">
      <c r="M199" s="228"/>
      <c r="N199" s="228"/>
      <c r="O199" s="228"/>
      <c r="P199" s="228"/>
      <c r="Q199" s="228"/>
    </row>
    <row r="200" spans="13:17" x14ac:dyDescent="0.2">
      <c r="M200" s="228"/>
      <c r="N200" s="228"/>
      <c r="O200" s="228"/>
      <c r="P200" s="228"/>
      <c r="Q200" s="228"/>
    </row>
    <row r="201" spans="13:17" x14ac:dyDescent="0.2">
      <c r="M201" s="228"/>
      <c r="N201" s="228"/>
      <c r="O201" s="228"/>
      <c r="P201" s="228"/>
      <c r="Q201" s="228"/>
    </row>
    <row r="202" spans="13:17" x14ac:dyDescent="0.2">
      <c r="M202" s="228"/>
      <c r="N202" s="228"/>
      <c r="O202" s="228"/>
      <c r="P202" s="228"/>
      <c r="Q202" s="228"/>
    </row>
    <row r="203" spans="13:17" x14ac:dyDescent="0.2">
      <c r="M203" s="228"/>
      <c r="N203" s="228"/>
      <c r="O203" s="228"/>
      <c r="P203" s="228"/>
      <c r="Q203" s="228"/>
    </row>
    <row r="204" spans="13:17" x14ac:dyDescent="0.2">
      <c r="M204" s="228"/>
      <c r="N204" s="228"/>
      <c r="O204" s="228"/>
      <c r="P204" s="228"/>
      <c r="Q204" s="228"/>
    </row>
    <row r="205" spans="13:17" x14ac:dyDescent="0.2">
      <c r="M205" s="228"/>
      <c r="N205" s="228"/>
      <c r="O205" s="228"/>
      <c r="P205" s="228"/>
      <c r="Q205" s="228"/>
    </row>
    <row r="206" spans="13:17" x14ac:dyDescent="0.2">
      <c r="M206" s="228"/>
      <c r="N206" s="228"/>
      <c r="O206" s="228"/>
      <c r="P206" s="228"/>
      <c r="Q206" s="228"/>
    </row>
    <row r="207" spans="13:17" x14ac:dyDescent="0.2">
      <c r="M207" s="228"/>
      <c r="N207" s="228"/>
      <c r="O207" s="228"/>
      <c r="P207" s="228"/>
      <c r="Q207" s="228"/>
    </row>
    <row r="208" spans="13:17" x14ac:dyDescent="0.2">
      <c r="M208" s="228"/>
      <c r="N208" s="228"/>
      <c r="O208" s="228"/>
      <c r="P208" s="228"/>
      <c r="Q208" s="228"/>
    </row>
    <row r="209" spans="13:17" x14ac:dyDescent="0.2">
      <c r="M209" s="228"/>
      <c r="N209" s="228"/>
      <c r="O209" s="228"/>
      <c r="P209" s="228"/>
      <c r="Q209" s="228"/>
    </row>
    <row r="210" spans="13:17" x14ac:dyDescent="0.2">
      <c r="M210" s="228"/>
      <c r="N210" s="228"/>
      <c r="O210" s="228"/>
      <c r="P210" s="228"/>
      <c r="Q210" s="228"/>
    </row>
    <row r="211" spans="13:17" x14ac:dyDescent="0.2">
      <c r="M211" s="228"/>
      <c r="N211" s="228"/>
      <c r="O211" s="228"/>
      <c r="P211" s="228"/>
      <c r="Q211" s="228"/>
    </row>
    <row r="212" spans="13:17" x14ac:dyDescent="0.2">
      <c r="M212" s="228"/>
      <c r="N212" s="228"/>
      <c r="O212" s="228"/>
      <c r="P212" s="228"/>
      <c r="Q212" s="228"/>
    </row>
    <row r="213" spans="13:17" x14ac:dyDescent="0.2">
      <c r="M213" s="228"/>
      <c r="N213" s="228"/>
      <c r="O213" s="228"/>
      <c r="P213" s="228"/>
      <c r="Q213" s="228"/>
    </row>
    <row r="214" spans="13:17" x14ac:dyDescent="0.2">
      <c r="M214" s="228"/>
      <c r="N214" s="228"/>
      <c r="O214" s="228"/>
      <c r="P214" s="228"/>
      <c r="Q214" s="228"/>
    </row>
    <row r="215" spans="13:17" x14ac:dyDescent="0.2">
      <c r="M215" s="228"/>
      <c r="N215" s="228"/>
      <c r="O215" s="228"/>
      <c r="P215" s="228"/>
      <c r="Q215" s="228"/>
    </row>
    <row r="216" spans="13:17" x14ac:dyDescent="0.2">
      <c r="M216" s="228"/>
      <c r="N216" s="228"/>
      <c r="O216" s="228"/>
      <c r="P216" s="228"/>
      <c r="Q216" s="228"/>
    </row>
    <row r="217" spans="13:17" x14ac:dyDescent="0.2">
      <c r="M217" s="228"/>
      <c r="N217" s="228"/>
      <c r="O217" s="228"/>
      <c r="P217" s="228"/>
      <c r="Q217" s="228"/>
    </row>
    <row r="218" spans="13:17" x14ac:dyDescent="0.2">
      <c r="M218" s="228"/>
      <c r="N218" s="228"/>
      <c r="O218" s="228"/>
      <c r="P218" s="228"/>
      <c r="Q218" s="228"/>
    </row>
    <row r="219" spans="13:17" x14ac:dyDescent="0.2">
      <c r="M219" s="228"/>
      <c r="N219" s="228"/>
      <c r="O219" s="228"/>
      <c r="P219" s="228"/>
      <c r="Q219" s="228"/>
    </row>
    <row r="220" spans="13:17" x14ac:dyDescent="0.2">
      <c r="M220" s="228"/>
      <c r="N220" s="228"/>
      <c r="O220" s="228"/>
      <c r="P220" s="228"/>
      <c r="Q220" s="228"/>
    </row>
    <row r="221" spans="13:17" x14ac:dyDescent="0.2">
      <c r="M221" s="228"/>
      <c r="N221" s="228"/>
      <c r="O221" s="228"/>
      <c r="P221" s="228"/>
      <c r="Q221" s="228"/>
    </row>
    <row r="222" spans="13:17" x14ac:dyDescent="0.2">
      <c r="M222" s="228"/>
      <c r="N222" s="228"/>
      <c r="O222" s="228"/>
      <c r="P222" s="228"/>
      <c r="Q222" s="228"/>
    </row>
    <row r="223" spans="13:17" x14ac:dyDescent="0.2">
      <c r="M223" s="228"/>
      <c r="N223" s="228"/>
      <c r="O223" s="228"/>
      <c r="P223" s="228"/>
      <c r="Q223" s="228"/>
    </row>
    <row r="224" spans="13:17" x14ac:dyDescent="0.2">
      <c r="M224" s="228"/>
      <c r="N224" s="228"/>
      <c r="O224" s="228"/>
      <c r="P224" s="228"/>
      <c r="Q224" s="228"/>
    </row>
    <row r="225" spans="13:17" x14ac:dyDescent="0.2">
      <c r="M225" s="228"/>
      <c r="N225" s="228"/>
      <c r="O225" s="228"/>
      <c r="P225" s="228"/>
      <c r="Q225" s="228"/>
    </row>
    <row r="226" spans="13:17" x14ac:dyDescent="0.2">
      <c r="M226" s="228"/>
      <c r="N226" s="228"/>
      <c r="O226" s="228"/>
      <c r="P226" s="228"/>
      <c r="Q226" s="228"/>
    </row>
    <row r="227" spans="13:17" x14ac:dyDescent="0.2">
      <c r="M227" s="228"/>
      <c r="N227" s="228"/>
      <c r="O227" s="228"/>
      <c r="P227" s="228"/>
      <c r="Q227" s="228"/>
    </row>
    <row r="228" spans="13:17" x14ac:dyDescent="0.2">
      <c r="M228" s="228"/>
      <c r="N228" s="228"/>
      <c r="O228" s="228"/>
      <c r="P228" s="228"/>
      <c r="Q228" s="228"/>
    </row>
    <row r="229" spans="13:17" x14ac:dyDescent="0.2">
      <c r="M229" s="228"/>
      <c r="N229" s="228"/>
      <c r="O229" s="228"/>
      <c r="P229" s="228"/>
      <c r="Q229" s="228"/>
    </row>
    <row r="230" spans="13:17" x14ac:dyDescent="0.2">
      <c r="M230" s="228"/>
      <c r="N230" s="228"/>
      <c r="O230" s="228"/>
      <c r="P230" s="228"/>
      <c r="Q230" s="228"/>
    </row>
    <row r="231" spans="13:17" x14ac:dyDescent="0.2">
      <c r="M231" s="228"/>
      <c r="N231" s="228"/>
      <c r="O231" s="228"/>
      <c r="P231" s="228"/>
      <c r="Q231" s="228"/>
    </row>
    <row r="232" spans="13:17" x14ac:dyDescent="0.2">
      <c r="M232" s="228"/>
      <c r="N232" s="228"/>
      <c r="O232" s="228"/>
      <c r="P232" s="228"/>
      <c r="Q232" s="228"/>
    </row>
    <row r="233" spans="13:17" x14ac:dyDescent="0.2">
      <c r="M233" s="228"/>
      <c r="N233" s="228"/>
      <c r="O233" s="228"/>
      <c r="P233" s="228"/>
      <c r="Q233" s="228"/>
    </row>
    <row r="234" spans="13:17" x14ac:dyDescent="0.2">
      <c r="M234" s="228"/>
      <c r="N234" s="228"/>
      <c r="O234" s="228"/>
      <c r="P234" s="228"/>
      <c r="Q234" s="228"/>
    </row>
    <row r="235" spans="13:17" x14ac:dyDescent="0.2">
      <c r="M235" s="228"/>
      <c r="N235" s="228"/>
      <c r="O235" s="228"/>
      <c r="P235" s="228"/>
      <c r="Q235" s="228"/>
    </row>
    <row r="236" spans="13:17" x14ac:dyDescent="0.2">
      <c r="M236" s="228"/>
      <c r="N236" s="228"/>
      <c r="O236" s="228"/>
      <c r="P236" s="228"/>
      <c r="Q236" s="228"/>
    </row>
    <row r="237" spans="13:17" x14ac:dyDescent="0.2">
      <c r="M237" s="228"/>
      <c r="N237" s="228"/>
      <c r="O237" s="228"/>
      <c r="P237" s="228"/>
      <c r="Q237" s="228"/>
    </row>
    <row r="238" spans="13:17" x14ac:dyDescent="0.2">
      <c r="M238" s="228"/>
      <c r="N238" s="228"/>
      <c r="O238" s="228"/>
      <c r="P238" s="228"/>
      <c r="Q238" s="228"/>
    </row>
    <row r="239" spans="13:17" x14ac:dyDescent="0.2">
      <c r="M239" s="228"/>
      <c r="N239" s="228"/>
      <c r="O239" s="228"/>
      <c r="P239" s="228"/>
      <c r="Q239" s="228"/>
    </row>
    <row r="240" spans="13:17" x14ac:dyDescent="0.2">
      <c r="M240" s="228"/>
      <c r="N240" s="228"/>
      <c r="O240" s="228"/>
      <c r="P240" s="228"/>
      <c r="Q240" s="228"/>
    </row>
    <row r="241" spans="13:17" x14ac:dyDescent="0.2">
      <c r="M241" s="228"/>
      <c r="N241" s="228"/>
      <c r="O241" s="228"/>
      <c r="P241" s="228"/>
      <c r="Q241" s="228"/>
    </row>
    <row r="242" spans="13:17" x14ac:dyDescent="0.2">
      <c r="M242" s="228"/>
      <c r="N242" s="228"/>
      <c r="O242" s="228"/>
      <c r="P242" s="228"/>
      <c r="Q242" s="228"/>
    </row>
    <row r="243" spans="13:17" x14ac:dyDescent="0.2">
      <c r="M243" s="228"/>
      <c r="N243" s="228"/>
      <c r="O243" s="228"/>
      <c r="P243" s="228"/>
      <c r="Q243" s="228"/>
    </row>
    <row r="244" spans="13:17" x14ac:dyDescent="0.2">
      <c r="M244" s="228"/>
      <c r="N244" s="228"/>
      <c r="O244" s="228"/>
      <c r="P244" s="228"/>
      <c r="Q244" s="228"/>
    </row>
    <row r="245" spans="13:17" x14ac:dyDescent="0.2">
      <c r="M245" s="228"/>
      <c r="N245" s="228"/>
      <c r="O245" s="228"/>
      <c r="P245" s="228"/>
      <c r="Q245" s="228"/>
    </row>
    <row r="246" spans="13:17" x14ac:dyDescent="0.2">
      <c r="M246" s="228"/>
      <c r="N246" s="228"/>
      <c r="O246" s="228"/>
      <c r="P246" s="228"/>
      <c r="Q246" s="228"/>
    </row>
    <row r="247" spans="13:17" x14ac:dyDescent="0.2">
      <c r="M247" s="228"/>
      <c r="N247" s="228"/>
      <c r="O247" s="228"/>
      <c r="P247" s="228"/>
      <c r="Q247" s="228"/>
    </row>
    <row r="248" spans="13:17" x14ac:dyDescent="0.2">
      <c r="M248" s="228"/>
      <c r="N248" s="228"/>
      <c r="O248" s="228"/>
      <c r="P248" s="228"/>
      <c r="Q248" s="228"/>
    </row>
    <row r="249" spans="13:17" x14ac:dyDescent="0.2">
      <c r="M249" s="228"/>
      <c r="N249" s="228"/>
      <c r="O249" s="228"/>
      <c r="P249" s="228"/>
      <c r="Q249" s="228"/>
    </row>
    <row r="250" spans="13:17" x14ac:dyDescent="0.2">
      <c r="M250" s="228"/>
      <c r="N250" s="228"/>
      <c r="O250" s="228"/>
      <c r="P250" s="228"/>
      <c r="Q250" s="228"/>
    </row>
    <row r="251" spans="13:17" x14ac:dyDescent="0.2">
      <c r="M251" s="228"/>
      <c r="N251" s="228"/>
      <c r="O251" s="228"/>
      <c r="P251" s="228"/>
      <c r="Q251" s="228"/>
    </row>
    <row r="252" spans="13:17" x14ac:dyDescent="0.2">
      <c r="M252" s="228"/>
      <c r="N252" s="228"/>
      <c r="O252" s="228"/>
      <c r="P252" s="228"/>
      <c r="Q252" s="228"/>
    </row>
    <row r="253" spans="13:17" x14ac:dyDescent="0.2">
      <c r="M253" s="228"/>
      <c r="N253" s="228"/>
      <c r="O253" s="228"/>
      <c r="P253" s="228"/>
      <c r="Q253" s="228"/>
    </row>
    <row r="254" spans="13:17" x14ac:dyDescent="0.2">
      <c r="M254" s="228"/>
      <c r="N254" s="228"/>
      <c r="O254" s="228"/>
      <c r="P254" s="228"/>
      <c r="Q254" s="228"/>
    </row>
    <row r="255" spans="13:17" x14ac:dyDescent="0.2">
      <c r="M255" s="228"/>
      <c r="N255" s="228"/>
      <c r="O255" s="228"/>
      <c r="P255" s="228"/>
      <c r="Q255" s="228"/>
    </row>
    <row r="256" spans="13:17" x14ac:dyDescent="0.2">
      <c r="M256" s="228"/>
      <c r="N256" s="228"/>
      <c r="O256" s="228"/>
      <c r="P256" s="228"/>
      <c r="Q256" s="228"/>
    </row>
    <row r="257" spans="13:17" x14ac:dyDescent="0.2">
      <c r="M257" s="228"/>
      <c r="N257" s="228"/>
      <c r="O257" s="228"/>
      <c r="P257" s="228"/>
      <c r="Q257" s="228"/>
    </row>
    <row r="258" spans="13:17" x14ac:dyDescent="0.2">
      <c r="M258" s="228"/>
      <c r="N258" s="228"/>
      <c r="O258" s="228"/>
      <c r="P258" s="228"/>
      <c r="Q258" s="228"/>
    </row>
    <row r="259" spans="13:17" x14ac:dyDescent="0.2">
      <c r="M259" s="228"/>
      <c r="N259" s="228"/>
      <c r="O259" s="228"/>
      <c r="P259" s="228"/>
      <c r="Q259" s="228"/>
    </row>
    <row r="260" spans="13:17" x14ac:dyDescent="0.2">
      <c r="M260" s="228"/>
      <c r="N260" s="228"/>
      <c r="O260" s="228"/>
      <c r="P260" s="228"/>
      <c r="Q260" s="228"/>
    </row>
    <row r="261" spans="13:17" x14ac:dyDescent="0.2">
      <c r="M261" s="228"/>
      <c r="N261" s="228"/>
      <c r="O261" s="228"/>
      <c r="P261" s="228"/>
      <c r="Q261" s="228"/>
    </row>
    <row r="262" spans="13:17" x14ac:dyDescent="0.2">
      <c r="M262" s="228"/>
      <c r="N262" s="228"/>
      <c r="O262" s="228"/>
      <c r="P262" s="228"/>
      <c r="Q262" s="228"/>
    </row>
    <row r="263" spans="13:17" x14ac:dyDescent="0.2">
      <c r="M263" s="228"/>
      <c r="N263" s="228"/>
      <c r="O263" s="228"/>
      <c r="P263" s="228"/>
      <c r="Q263" s="228"/>
    </row>
    <row r="264" spans="13:17" x14ac:dyDescent="0.2">
      <c r="M264" s="228"/>
      <c r="N264" s="228"/>
      <c r="O264" s="228"/>
      <c r="P264" s="228"/>
      <c r="Q264" s="228"/>
    </row>
    <row r="265" spans="13:17" x14ac:dyDescent="0.2">
      <c r="M265" s="228"/>
      <c r="N265" s="228"/>
      <c r="O265" s="228"/>
      <c r="P265" s="228"/>
      <c r="Q265" s="228"/>
    </row>
    <row r="266" spans="13:17" x14ac:dyDescent="0.2">
      <c r="M266" s="228"/>
      <c r="N266" s="228"/>
      <c r="O266" s="228"/>
      <c r="P266" s="228"/>
      <c r="Q266" s="228"/>
    </row>
    <row r="267" spans="13:17" x14ac:dyDescent="0.2">
      <c r="M267" s="228"/>
      <c r="N267" s="228"/>
      <c r="O267" s="228"/>
      <c r="P267" s="228"/>
      <c r="Q267" s="228"/>
    </row>
    <row r="268" spans="13:17" x14ac:dyDescent="0.2">
      <c r="M268" s="228"/>
      <c r="N268" s="228"/>
      <c r="O268" s="228"/>
      <c r="P268" s="228"/>
      <c r="Q268" s="228"/>
    </row>
    <row r="269" spans="13:17" x14ac:dyDescent="0.2">
      <c r="M269" s="228"/>
      <c r="N269" s="228"/>
      <c r="O269" s="228"/>
      <c r="P269" s="228"/>
      <c r="Q269" s="228"/>
    </row>
    <row r="270" spans="13:17" x14ac:dyDescent="0.2">
      <c r="M270" s="228"/>
      <c r="N270" s="228"/>
      <c r="O270" s="228"/>
      <c r="P270" s="228"/>
      <c r="Q270" s="228"/>
    </row>
    <row r="271" spans="13:17" x14ac:dyDescent="0.2">
      <c r="M271" s="228"/>
      <c r="N271" s="228"/>
      <c r="O271" s="228"/>
      <c r="P271" s="228"/>
      <c r="Q271" s="228"/>
    </row>
    <row r="272" spans="13:17" x14ac:dyDescent="0.2">
      <c r="M272" s="228"/>
      <c r="N272" s="228"/>
      <c r="O272" s="228"/>
      <c r="P272" s="228"/>
      <c r="Q272" s="228"/>
    </row>
    <row r="273" spans="13:17" x14ac:dyDescent="0.2">
      <c r="M273" s="228"/>
      <c r="N273" s="228"/>
      <c r="O273" s="228"/>
      <c r="P273" s="228"/>
      <c r="Q273" s="228"/>
    </row>
    <row r="274" spans="13:17" x14ac:dyDescent="0.2">
      <c r="M274" s="228"/>
      <c r="N274" s="228"/>
      <c r="O274" s="228"/>
      <c r="P274" s="228"/>
      <c r="Q274" s="228"/>
    </row>
    <row r="275" spans="13:17" x14ac:dyDescent="0.2">
      <c r="M275" s="228"/>
      <c r="N275" s="228"/>
      <c r="O275" s="228"/>
      <c r="P275" s="228"/>
      <c r="Q275" s="228"/>
    </row>
    <row r="276" spans="13:17" x14ac:dyDescent="0.2">
      <c r="M276" s="228"/>
      <c r="N276" s="228"/>
      <c r="O276" s="228"/>
      <c r="P276" s="228"/>
      <c r="Q276" s="228"/>
    </row>
    <row r="277" spans="13:17" x14ac:dyDescent="0.2">
      <c r="M277" s="228"/>
      <c r="N277" s="228"/>
      <c r="O277" s="228"/>
      <c r="P277" s="228"/>
      <c r="Q277" s="228"/>
    </row>
    <row r="278" spans="13:17" x14ac:dyDescent="0.2">
      <c r="M278" s="228"/>
      <c r="N278" s="228"/>
      <c r="O278" s="228"/>
      <c r="P278" s="228"/>
      <c r="Q278" s="228"/>
    </row>
    <row r="279" spans="13:17" x14ac:dyDescent="0.2">
      <c r="M279" s="228"/>
      <c r="N279" s="228"/>
      <c r="O279" s="228"/>
      <c r="P279" s="228"/>
      <c r="Q279" s="228"/>
    </row>
    <row r="280" spans="13:17" x14ac:dyDescent="0.2">
      <c r="M280" s="228"/>
      <c r="N280" s="228"/>
      <c r="O280" s="228"/>
      <c r="P280" s="228"/>
      <c r="Q280" s="228"/>
    </row>
    <row r="281" spans="13:17" x14ac:dyDescent="0.2">
      <c r="M281" s="228"/>
      <c r="N281" s="228"/>
      <c r="O281" s="228"/>
      <c r="P281" s="228"/>
      <c r="Q281" s="228"/>
    </row>
    <row r="282" spans="13:17" x14ac:dyDescent="0.2">
      <c r="M282" s="228"/>
      <c r="N282" s="228"/>
      <c r="O282" s="228"/>
      <c r="P282" s="228"/>
      <c r="Q282" s="228"/>
    </row>
    <row r="283" spans="13:17" x14ac:dyDescent="0.2">
      <c r="M283" s="228"/>
      <c r="N283" s="228"/>
      <c r="O283" s="228"/>
      <c r="P283" s="228"/>
      <c r="Q283" s="228"/>
    </row>
    <row r="284" spans="13:17" x14ac:dyDescent="0.2">
      <c r="M284" s="228"/>
      <c r="N284" s="228"/>
      <c r="O284" s="228"/>
      <c r="P284" s="228"/>
      <c r="Q284" s="228"/>
    </row>
    <row r="285" spans="13:17" x14ac:dyDescent="0.2">
      <c r="M285" s="228"/>
      <c r="N285" s="228"/>
      <c r="O285" s="228"/>
      <c r="P285" s="228"/>
      <c r="Q285" s="228"/>
    </row>
    <row r="286" spans="13:17" x14ac:dyDescent="0.2">
      <c r="M286" s="228"/>
      <c r="N286" s="228"/>
      <c r="O286" s="228"/>
      <c r="P286" s="228"/>
      <c r="Q286" s="228"/>
    </row>
    <row r="287" spans="13:17" x14ac:dyDescent="0.2">
      <c r="M287" s="228"/>
      <c r="N287" s="228"/>
      <c r="O287" s="228"/>
      <c r="P287" s="228"/>
      <c r="Q287" s="228"/>
    </row>
    <row r="288" spans="13:17" x14ac:dyDescent="0.2">
      <c r="M288" s="228"/>
      <c r="N288" s="228"/>
      <c r="O288" s="228"/>
      <c r="P288" s="228"/>
      <c r="Q288" s="228"/>
    </row>
    <row r="289" spans="13:17" x14ac:dyDescent="0.2">
      <c r="M289" s="228"/>
      <c r="N289" s="228"/>
      <c r="O289" s="228"/>
      <c r="P289" s="228"/>
      <c r="Q289" s="228"/>
    </row>
    <row r="290" spans="13:17" x14ac:dyDescent="0.2">
      <c r="M290" s="228"/>
      <c r="N290" s="228"/>
      <c r="O290" s="228"/>
      <c r="P290" s="228"/>
      <c r="Q290" s="228"/>
    </row>
    <row r="291" spans="13:17" x14ac:dyDescent="0.2">
      <c r="M291" s="228"/>
      <c r="N291" s="228"/>
      <c r="O291" s="228"/>
      <c r="P291" s="228"/>
      <c r="Q291" s="228"/>
    </row>
    <row r="292" spans="13:17" x14ac:dyDescent="0.2">
      <c r="M292" s="228"/>
      <c r="N292" s="228"/>
      <c r="O292" s="228"/>
      <c r="P292" s="228"/>
      <c r="Q292" s="228"/>
    </row>
    <row r="293" spans="13:17" x14ac:dyDescent="0.2">
      <c r="M293" s="228"/>
      <c r="N293" s="228"/>
      <c r="O293" s="228"/>
      <c r="P293" s="228"/>
      <c r="Q293" s="228"/>
    </row>
    <row r="294" spans="13:17" x14ac:dyDescent="0.2">
      <c r="M294" s="228"/>
      <c r="N294" s="228"/>
      <c r="O294" s="228"/>
      <c r="P294" s="228"/>
      <c r="Q294" s="228"/>
    </row>
    <row r="295" spans="13:17" x14ac:dyDescent="0.2">
      <c r="M295" s="228"/>
      <c r="N295" s="228"/>
      <c r="O295" s="228"/>
      <c r="P295" s="228"/>
      <c r="Q295" s="228"/>
    </row>
    <row r="296" spans="13:17" x14ac:dyDescent="0.2">
      <c r="M296" s="228"/>
      <c r="N296" s="228"/>
      <c r="O296" s="228"/>
      <c r="P296" s="228"/>
      <c r="Q296" s="228"/>
    </row>
    <row r="297" spans="13:17" x14ac:dyDescent="0.2">
      <c r="M297" s="228"/>
      <c r="N297" s="228"/>
      <c r="O297" s="228"/>
      <c r="P297" s="228"/>
      <c r="Q297" s="228"/>
    </row>
    <row r="298" spans="13:17" x14ac:dyDescent="0.2">
      <c r="M298" s="228"/>
      <c r="N298" s="228"/>
      <c r="O298" s="228"/>
      <c r="P298" s="228"/>
      <c r="Q298" s="228"/>
    </row>
    <row r="299" spans="13:17" x14ac:dyDescent="0.2">
      <c r="M299" s="228"/>
      <c r="N299" s="228"/>
      <c r="O299" s="228"/>
      <c r="P299" s="228"/>
      <c r="Q299" s="228"/>
    </row>
    <row r="300" spans="13:17" x14ac:dyDescent="0.2">
      <c r="M300" s="228"/>
      <c r="N300" s="228"/>
      <c r="O300" s="228"/>
      <c r="P300" s="228"/>
      <c r="Q300" s="228"/>
    </row>
    <row r="301" spans="13:17" x14ac:dyDescent="0.2">
      <c r="M301" s="228"/>
      <c r="N301" s="228"/>
      <c r="O301" s="228"/>
      <c r="P301" s="228"/>
      <c r="Q301" s="228"/>
    </row>
    <row r="302" spans="13:17" x14ac:dyDescent="0.2">
      <c r="M302" s="228"/>
      <c r="N302" s="228"/>
      <c r="O302" s="228"/>
      <c r="P302" s="228"/>
      <c r="Q302" s="228"/>
    </row>
    <row r="303" spans="13:17" x14ac:dyDescent="0.2">
      <c r="M303" s="228"/>
      <c r="N303" s="228"/>
      <c r="O303" s="228"/>
      <c r="P303" s="228"/>
      <c r="Q303" s="228"/>
    </row>
    <row r="304" spans="13:17" x14ac:dyDescent="0.2">
      <c r="M304" s="228"/>
      <c r="N304" s="228"/>
      <c r="O304" s="228"/>
      <c r="P304" s="228"/>
      <c r="Q304" s="228"/>
    </row>
    <row r="305" spans="13:17" x14ac:dyDescent="0.2">
      <c r="M305" s="228"/>
      <c r="N305" s="228"/>
      <c r="O305" s="228"/>
      <c r="P305" s="228"/>
      <c r="Q305" s="228"/>
    </row>
    <row r="306" spans="13:17" x14ac:dyDescent="0.2">
      <c r="M306" s="228"/>
      <c r="N306" s="228"/>
      <c r="O306" s="228"/>
      <c r="P306" s="228"/>
      <c r="Q306" s="228"/>
    </row>
    <row r="307" spans="13:17" x14ac:dyDescent="0.2">
      <c r="M307" s="228"/>
      <c r="N307" s="228"/>
      <c r="O307" s="228"/>
      <c r="P307" s="228"/>
      <c r="Q307" s="228"/>
    </row>
    <row r="308" spans="13:17" x14ac:dyDescent="0.2">
      <c r="M308" s="228"/>
      <c r="N308" s="228"/>
      <c r="O308" s="228"/>
      <c r="P308" s="228"/>
      <c r="Q308" s="228"/>
    </row>
    <row r="309" spans="13:17" x14ac:dyDescent="0.2">
      <c r="M309" s="228"/>
      <c r="N309" s="228"/>
      <c r="O309" s="228"/>
      <c r="P309" s="228"/>
      <c r="Q309" s="228"/>
    </row>
    <row r="310" spans="13:17" x14ac:dyDescent="0.2">
      <c r="M310" s="228"/>
      <c r="N310" s="228"/>
      <c r="O310" s="228"/>
      <c r="P310" s="228"/>
      <c r="Q310" s="228"/>
    </row>
    <row r="311" spans="13:17" x14ac:dyDescent="0.2">
      <c r="M311" s="228"/>
      <c r="N311" s="228"/>
      <c r="O311" s="228"/>
      <c r="P311" s="228"/>
      <c r="Q311" s="228"/>
    </row>
    <row r="312" spans="13:17" x14ac:dyDescent="0.2">
      <c r="M312" s="228"/>
      <c r="N312" s="228"/>
      <c r="O312" s="228"/>
      <c r="P312" s="228"/>
      <c r="Q312" s="228"/>
    </row>
    <row r="313" spans="13:17" x14ac:dyDescent="0.2">
      <c r="M313" s="228"/>
      <c r="N313" s="228"/>
      <c r="O313" s="228"/>
      <c r="P313" s="228"/>
      <c r="Q313" s="228"/>
    </row>
    <row r="314" spans="13:17" x14ac:dyDescent="0.2">
      <c r="M314" s="228"/>
      <c r="N314" s="228"/>
      <c r="O314" s="228"/>
      <c r="P314" s="228"/>
      <c r="Q314" s="228"/>
    </row>
    <row r="315" spans="13:17" x14ac:dyDescent="0.2">
      <c r="M315" s="228"/>
      <c r="N315" s="228"/>
      <c r="O315" s="228"/>
      <c r="P315" s="228"/>
      <c r="Q315" s="228"/>
    </row>
    <row r="316" spans="13:17" x14ac:dyDescent="0.2">
      <c r="M316" s="228"/>
      <c r="N316" s="228"/>
      <c r="O316" s="228"/>
      <c r="P316" s="228"/>
      <c r="Q316" s="228"/>
    </row>
    <row r="317" spans="13:17" x14ac:dyDescent="0.2">
      <c r="M317" s="228"/>
      <c r="N317" s="228"/>
      <c r="O317" s="228"/>
      <c r="P317" s="228"/>
      <c r="Q317" s="228"/>
    </row>
    <row r="318" spans="13:17" x14ac:dyDescent="0.2">
      <c r="M318" s="228"/>
      <c r="N318" s="228"/>
      <c r="O318" s="228"/>
      <c r="P318" s="228"/>
      <c r="Q318" s="228"/>
    </row>
    <row r="319" spans="13:17" x14ac:dyDescent="0.2">
      <c r="M319" s="228"/>
      <c r="N319" s="228"/>
      <c r="O319" s="228"/>
      <c r="P319" s="228"/>
      <c r="Q319" s="228"/>
    </row>
    <row r="320" spans="13:17" x14ac:dyDescent="0.2">
      <c r="M320" s="228"/>
      <c r="N320" s="228"/>
      <c r="O320" s="228"/>
      <c r="P320" s="228"/>
      <c r="Q320" s="228"/>
    </row>
    <row r="321" spans="13:17" x14ac:dyDescent="0.2">
      <c r="M321" s="228"/>
      <c r="N321" s="228"/>
      <c r="O321" s="228"/>
      <c r="P321" s="228"/>
      <c r="Q321" s="228"/>
    </row>
    <row r="322" spans="13:17" x14ac:dyDescent="0.2">
      <c r="M322" s="228"/>
      <c r="N322" s="228"/>
      <c r="O322" s="228"/>
      <c r="P322" s="228"/>
      <c r="Q322" s="228"/>
    </row>
    <row r="323" spans="13:17" x14ac:dyDescent="0.2">
      <c r="M323" s="228"/>
      <c r="N323" s="228"/>
      <c r="O323" s="228"/>
      <c r="P323" s="228"/>
      <c r="Q323" s="228"/>
    </row>
    <row r="324" spans="13:17" x14ac:dyDescent="0.2">
      <c r="M324" s="228"/>
      <c r="N324" s="228"/>
      <c r="O324" s="228"/>
      <c r="P324" s="228"/>
      <c r="Q324" s="228"/>
    </row>
    <row r="325" spans="13:17" x14ac:dyDescent="0.2">
      <c r="M325" s="228"/>
      <c r="N325" s="228"/>
      <c r="O325" s="228"/>
      <c r="P325" s="228"/>
      <c r="Q325" s="228"/>
    </row>
    <row r="326" spans="13:17" x14ac:dyDescent="0.2">
      <c r="M326" s="228"/>
      <c r="N326" s="228"/>
      <c r="O326" s="228"/>
      <c r="P326" s="228"/>
      <c r="Q326" s="228"/>
    </row>
    <row r="327" spans="13:17" x14ac:dyDescent="0.2">
      <c r="M327" s="228"/>
      <c r="N327" s="228"/>
      <c r="O327" s="228"/>
      <c r="P327" s="228"/>
      <c r="Q327" s="228"/>
    </row>
    <row r="328" spans="13:17" x14ac:dyDescent="0.2">
      <c r="M328" s="228"/>
      <c r="N328" s="228"/>
      <c r="O328" s="228"/>
      <c r="P328" s="228"/>
      <c r="Q328" s="228"/>
    </row>
    <row r="329" spans="13:17" x14ac:dyDescent="0.2">
      <c r="M329" s="228"/>
      <c r="N329" s="228"/>
      <c r="O329" s="228"/>
      <c r="P329" s="228"/>
      <c r="Q329" s="228"/>
    </row>
    <row r="330" spans="13:17" x14ac:dyDescent="0.2">
      <c r="M330" s="228"/>
      <c r="N330" s="228"/>
      <c r="O330" s="228"/>
      <c r="P330" s="228"/>
      <c r="Q330" s="228"/>
    </row>
    <row r="331" spans="13:17" x14ac:dyDescent="0.2">
      <c r="M331" s="228"/>
      <c r="N331" s="228"/>
      <c r="O331" s="228"/>
      <c r="P331" s="228"/>
      <c r="Q331" s="228"/>
    </row>
    <row r="332" spans="13:17" x14ac:dyDescent="0.2">
      <c r="M332" s="228"/>
      <c r="N332" s="228"/>
      <c r="O332" s="228"/>
      <c r="P332" s="228"/>
      <c r="Q332" s="228"/>
    </row>
    <row r="333" spans="13:17" x14ac:dyDescent="0.2">
      <c r="M333" s="228"/>
      <c r="N333" s="228"/>
      <c r="O333" s="228"/>
      <c r="P333" s="228"/>
      <c r="Q333" s="228"/>
    </row>
    <row r="334" spans="13:17" x14ac:dyDescent="0.2">
      <c r="M334" s="228"/>
      <c r="N334" s="228"/>
      <c r="O334" s="228"/>
      <c r="P334" s="228"/>
      <c r="Q334" s="228"/>
    </row>
    <row r="335" spans="13:17" x14ac:dyDescent="0.2">
      <c r="M335" s="228"/>
      <c r="N335" s="228"/>
      <c r="O335" s="228"/>
      <c r="P335" s="228"/>
      <c r="Q335" s="228"/>
    </row>
    <row r="336" spans="13:17" x14ac:dyDescent="0.2">
      <c r="M336" s="228"/>
      <c r="N336" s="228"/>
      <c r="O336" s="228"/>
      <c r="P336" s="228"/>
      <c r="Q336" s="228"/>
    </row>
    <row r="337" spans="13:17" x14ac:dyDescent="0.2">
      <c r="M337" s="228"/>
      <c r="N337" s="228"/>
      <c r="O337" s="228"/>
      <c r="P337" s="228"/>
      <c r="Q337" s="228"/>
    </row>
    <row r="338" spans="13:17" x14ac:dyDescent="0.2">
      <c r="M338" s="228"/>
      <c r="N338" s="228"/>
      <c r="O338" s="228"/>
      <c r="P338" s="228"/>
      <c r="Q338" s="228"/>
    </row>
    <row r="339" spans="13:17" x14ac:dyDescent="0.2">
      <c r="M339" s="228"/>
      <c r="N339" s="228"/>
      <c r="O339" s="228"/>
      <c r="P339" s="228"/>
      <c r="Q339" s="228"/>
    </row>
    <row r="340" spans="13:17" x14ac:dyDescent="0.2">
      <c r="M340" s="228"/>
      <c r="N340" s="228"/>
      <c r="O340" s="228"/>
      <c r="P340" s="228"/>
      <c r="Q340" s="228"/>
    </row>
    <row r="341" spans="13:17" x14ac:dyDescent="0.2">
      <c r="M341" s="228"/>
      <c r="N341" s="228"/>
      <c r="O341" s="228"/>
      <c r="P341" s="228"/>
      <c r="Q341" s="228"/>
    </row>
    <row r="342" spans="13:17" x14ac:dyDescent="0.2">
      <c r="M342" s="228"/>
      <c r="N342" s="228"/>
      <c r="O342" s="228"/>
      <c r="P342" s="228"/>
      <c r="Q342" s="228"/>
    </row>
    <row r="343" spans="13:17" x14ac:dyDescent="0.2">
      <c r="M343" s="228"/>
      <c r="N343" s="228"/>
      <c r="O343" s="228"/>
      <c r="P343" s="228"/>
      <c r="Q343" s="228"/>
    </row>
    <row r="344" spans="13:17" x14ac:dyDescent="0.2">
      <c r="M344" s="228"/>
      <c r="N344" s="228"/>
      <c r="O344" s="228"/>
      <c r="P344" s="228"/>
      <c r="Q344" s="228"/>
    </row>
    <row r="345" spans="13:17" x14ac:dyDescent="0.2">
      <c r="M345" s="228"/>
      <c r="N345" s="228"/>
      <c r="O345" s="228"/>
      <c r="P345" s="228"/>
      <c r="Q345" s="228"/>
    </row>
    <row r="346" spans="13:17" x14ac:dyDescent="0.2">
      <c r="M346" s="228"/>
      <c r="N346" s="228"/>
      <c r="O346" s="228"/>
      <c r="P346" s="228"/>
      <c r="Q346" s="228"/>
    </row>
    <row r="347" spans="13:17" x14ac:dyDescent="0.2">
      <c r="M347" s="228"/>
      <c r="N347" s="228"/>
      <c r="O347" s="228"/>
      <c r="P347" s="228"/>
      <c r="Q347" s="228"/>
    </row>
    <row r="348" spans="13:17" x14ac:dyDescent="0.2">
      <c r="M348" s="228"/>
      <c r="N348" s="228"/>
      <c r="O348" s="228"/>
      <c r="P348" s="228"/>
      <c r="Q348" s="228"/>
    </row>
    <row r="349" spans="13:17" x14ac:dyDescent="0.2">
      <c r="M349" s="228"/>
      <c r="N349" s="228"/>
      <c r="O349" s="228"/>
      <c r="P349" s="228"/>
      <c r="Q349" s="228"/>
    </row>
    <row r="350" spans="13:17" x14ac:dyDescent="0.2">
      <c r="M350" s="228"/>
      <c r="N350" s="228"/>
      <c r="O350" s="228"/>
      <c r="P350" s="228"/>
      <c r="Q350" s="228"/>
    </row>
    <row r="351" spans="13:17" x14ac:dyDescent="0.2">
      <c r="M351" s="228"/>
      <c r="N351" s="228"/>
      <c r="O351" s="228"/>
      <c r="P351" s="228"/>
      <c r="Q351" s="228"/>
    </row>
    <row r="352" spans="13:17" x14ac:dyDescent="0.2">
      <c r="M352" s="228"/>
      <c r="N352" s="228"/>
      <c r="O352" s="228"/>
      <c r="P352" s="228"/>
      <c r="Q352" s="228"/>
    </row>
    <row r="353" spans="13:17" x14ac:dyDescent="0.2">
      <c r="M353" s="228"/>
      <c r="N353" s="228"/>
      <c r="O353" s="228"/>
      <c r="P353" s="228"/>
      <c r="Q353" s="228"/>
    </row>
    <row r="354" spans="13:17" x14ac:dyDescent="0.2">
      <c r="M354" s="228"/>
      <c r="N354" s="228"/>
      <c r="O354" s="228"/>
      <c r="P354" s="228"/>
      <c r="Q354" s="228"/>
    </row>
    <row r="355" spans="13:17" x14ac:dyDescent="0.2">
      <c r="M355" s="228"/>
      <c r="N355" s="228"/>
      <c r="O355" s="228"/>
      <c r="P355" s="228"/>
      <c r="Q355" s="228"/>
    </row>
    <row r="356" spans="13:17" x14ac:dyDescent="0.2">
      <c r="M356" s="228"/>
      <c r="N356" s="228"/>
      <c r="O356" s="228"/>
      <c r="P356" s="228"/>
      <c r="Q356" s="228"/>
    </row>
    <row r="357" spans="13:17" x14ac:dyDescent="0.2">
      <c r="M357" s="228"/>
      <c r="N357" s="228"/>
      <c r="O357" s="228"/>
      <c r="P357" s="228"/>
      <c r="Q357" s="228"/>
    </row>
    <row r="358" spans="13:17" x14ac:dyDescent="0.2">
      <c r="M358" s="228"/>
      <c r="N358" s="228"/>
      <c r="O358" s="228"/>
      <c r="P358" s="228"/>
      <c r="Q358" s="228"/>
    </row>
    <row r="359" spans="13:17" x14ac:dyDescent="0.2">
      <c r="M359" s="228"/>
      <c r="N359" s="228"/>
      <c r="O359" s="228"/>
      <c r="P359" s="228"/>
      <c r="Q359" s="228"/>
    </row>
    <row r="360" spans="13:17" x14ac:dyDescent="0.2">
      <c r="M360" s="228"/>
      <c r="N360" s="228"/>
      <c r="O360" s="228"/>
      <c r="P360" s="228"/>
      <c r="Q360" s="228"/>
    </row>
    <row r="361" spans="13:17" x14ac:dyDescent="0.2">
      <c r="M361" s="228"/>
      <c r="N361" s="228"/>
      <c r="O361" s="228"/>
      <c r="P361" s="228"/>
      <c r="Q361" s="228"/>
    </row>
    <row r="362" spans="13:17" x14ac:dyDescent="0.2">
      <c r="M362" s="228"/>
      <c r="N362" s="228"/>
      <c r="O362" s="228"/>
      <c r="P362" s="228"/>
      <c r="Q362" s="228"/>
    </row>
    <row r="363" spans="13:17" x14ac:dyDescent="0.2">
      <c r="M363" s="228"/>
      <c r="N363" s="228"/>
      <c r="O363" s="228"/>
      <c r="P363" s="228"/>
      <c r="Q363" s="228"/>
    </row>
    <row r="364" spans="13:17" x14ac:dyDescent="0.2">
      <c r="M364" s="228"/>
      <c r="N364" s="228"/>
      <c r="O364" s="228"/>
      <c r="P364" s="228"/>
      <c r="Q364" s="228"/>
    </row>
    <row r="365" spans="13:17" x14ac:dyDescent="0.2">
      <c r="M365" s="228"/>
      <c r="N365" s="228"/>
      <c r="O365" s="228"/>
      <c r="P365" s="228"/>
      <c r="Q365" s="228"/>
    </row>
    <row r="366" spans="13:17" x14ac:dyDescent="0.2">
      <c r="M366" s="228"/>
      <c r="N366" s="228"/>
      <c r="O366" s="228"/>
      <c r="P366" s="228"/>
      <c r="Q366" s="228"/>
    </row>
    <row r="367" spans="13:17" x14ac:dyDescent="0.2">
      <c r="M367" s="228"/>
      <c r="N367" s="228"/>
      <c r="O367" s="228"/>
      <c r="P367" s="228"/>
      <c r="Q367" s="228"/>
    </row>
    <row r="368" spans="13:17" x14ac:dyDescent="0.2">
      <c r="M368" s="228"/>
      <c r="N368" s="228"/>
      <c r="O368" s="228"/>
      <c r="P368" s="228"/>
      <c r="Q368" s="228"/>
    </row>
    <row r="369" spans="13:17" x14ac:dyDescent="0.2">
      <c r="M369" s="228"/>
      <c r="N369" s="228"/>
      <c r="O369" s="228"/>
      <c r="P369" s="228"/>
      <c r="Q369" s="228"/>
    </row>
    <row r="370" spans="13:17" x14ac:dyDescent="0.2">
      <c r="M370" s="228"/>
      <c r="N370" s="228"/>
      <c r="O370" s="228"/>
      <c r="P370" s="228"/>
      <c r="Q370" s="228"/>
    </row>
    <row r="371" spans="13:17" x14ac:dyDescent="0.2">
      <c r="M371" s="228"/>
      <c r="N371" s="228"/>
      <c r="O371" s="228"/>
      <c r="P371" s="228"/>
      <c r="Q371" s="228"/>
    </row>
    <row r="372" spans="13:17" x14ac:dyDescent="0.2">
      <c r="M372" s="228"/>
      <c r="N372" s="228"/>
      <c r="O372" s="228"/>
      <c r="P372" s="228"/>
      <c r="Q372" s="228"/>
    </row>
    <row r="373" spans="13:17" x14ac:dyDescent="0.2">
      <c r="M373" s="228"/>
      <c r="N373" s="228"/>
      <c r="O373" s="228"/>
      <c r="P373" s="228"/>
      <c r="Q373" s="228"/>
    </row>
    <row r="374" spans="13:17" x14ac:dyDescent="0.2">
      <c r="M374" s="228"/>
      <c r="N374" s="228"/>
      <c r="O374" s="228"/>
      <c r="P374" s="228"/>
      <c r="Q374" s="228"/>
    </row>
    <row r="375" spans="13:17" x14ac:dyDescent="0.2">
      <c r="M375" s="228"/>
      <c r="N375" s="228"/>
      <c r="O375" s="228"/>
      <c r="P375" s="228"/>
      <c r="Q375" s="228"/>
    </row>
    <row r="376" spans="13:17" x14ac:dyDescent="0.2">
      <c r="M376" s="228"/>
      <c r="N376" s="228"/>
      <c r="O376" s="228"/>
      <c r="P376" s="228"/>
      <c r="Q376" s="228"/>
    </row>
    <row r="377" spans="13:17" x14ac:dyDescent="0.2">
      <c r="M377" s="228"/>
      <c r="N377" s="228"/>
      <c r="O377" s="228"/>
      <c r="P377" s="228"/>
      <c r="Q377" s="228"/>
    </row>
    <row r="378" spans="13:17" x14ac:dyDescent="0.2">
      <c r="M378" s="228"/>
      <c r="N378" s="228"/>
      <c r="O378" s="228"/>
      <c r="P378" s="228"/>
      <c r="Q378" s="228"/>
    </row>
    <row r="379" spans="13:17" x14ac:dyDescent="0.2">
      <c r="M379" s="228"/>
      <c r="N379" s="228"/>
      <c r="O379" s="228"/>
      <c r="P379" s="228"/>
      <c r="Q379" s="228"/>
    </row>
    <row r="380" spans="13:17" x14ac:dyDescent="0.2">
      <c r="M380" s="228"/>
      <c r="N380" s="228"/>
      <c r="O380" s="228"/>
      <c r="P380" s="228"/>
      <c r="Q380" s="228"/>
    </row>
    <row r="381" spans="13:17" x14ac:dyDescent="0.2">
      <c r="M381" s="228"/>
      <c r="N381" s="228"/>
      <c r="O381" s="228"/>
      <c r="P381" s="228"/>
      <c r="Q381" s="228"/>
    </row>
    <row r="382" spans="13:17" x14ac:dyDescent="0.2">
      <c r="M382" s="228"/>
      <c r="N382" s="228"/>
      <c r="O382" s="228"/>
      <c r="P382" s="228"/>
      <c r="Q382" s="228"/>
    </row>
    <row r="383" spans="13:17" x14ac:dyDescent="0.2">
      <c r="M383" s="228"/>
      <c r="N383" s="228"/>
      <c r="O383" s="228"/>
      <c r="P383" s="228"/>
      <c r="Q383" s="228"/>
    </row>
    <row r="384" spans="13:17" x14ac:dyDescent="0.2">
      <c r="M384" s="228"/>
      <c r="N384" s="228"/>
      <c r="O384" s="228"/>
      <c r="P384" s="228"/>
      <c r="Q384" s="228"/>
    </row>
    <row r="385" spans="13:17" x14ac:dyDescent="0.2">
      <c r="M385" s="228"/>
      <c r="N385" s="228"/>
      <c r="O385" s="228"/>
      <c r="P385" s="228"/>
      <c r="Q385" s="228"/>
    </row>
    <row r="386" spans="13:17" x14ac:dyDescent="0.2">
      <c r="M386" s="228"/>
      <c r="N386" s="228"/>
      <c r="O386" s="228"/>
      <c r="P386" s="228"/>
      <c r="Q386" s="228"/>
    </row>
    <row r="387" spans="13:17" x14ac:dyDescent="0.2">
      <c r="M387" s="228"/>
      <c r="N387" s="228"/>
      <c r="O387" s="228"/>
      <c r="P387" s="228"/>
      <c r="Q387" s="228"/>
    </row>
    <row r="388" spans="13:17" x14ac:dyDescent="0.2">
      <c r="M388" s="228"/>
      <c r="N388" s="228"/>
      <c r="O388" s="228"/>
      <c r="P388" s="228"/>
      <c r="Q388" s="228"/>
    </row>
    <row r="389" spans="13:17" x14ac:dyDescent="0.2">
      <c r="M389" s="228"/>
      <c r="N389" s="228"/>
      <c r="O389" s="228"/>
      <c r="P389" s="228"/>
      <c r="Q389" s="228"/>
    </row>
    <row r="390" spans="13:17" x14ac:dyDescent="0.2">
      <c r="M390" s="228"/>
      <c r="N390" s="228"/>
      <c r="O390" s="228"/>
      <c r="P390" s="228"/>
      <c r="Q390" s="228"/>
    </row>
    <row r="391" spans="13:17" x14ac:dyDescent="0.2">
      <c r="M391" s="228"/>
      <c r="N391" s="228"/>
      <c r="O391" s="228"/>
      <c r="P391" s="228"/>
      <c r="Q391" s="228"/>
    </row>
    <row r="392" spans="13:17" x14ac:dyDescent="0.2">
      <c r="M392" s="228"/>
      <c r="N392" s="228"/>
      <c r="O392" s="228"/>
      <c r="P392" s="228"/>
      <c r="Q392" s="228"/>
    </row>
    <row r="393" spans="13:17" x14ac:dyDescent="0.2">
      <c r="M393" s="228"/>
      <c r="N393" s="228"/>
      <c r="O393" s="228"/>
      <c r="P393" s="228"/>
      <c r="Q393" s="228"/>
    </row>
    <row r="394" spans="13:17" x14ac:dyDescent="0.2">
      <c r="M394" s="228"/>
      <c r="N394" s="228"/>
      <c r="O394" s="228"/>
      <c r="P394" s="228"/>
      <c r="Q394" s="228"/>
    </row>
    <row r="395" spans="13:17" x14ac:dyDescent="0.2">
      <c r="M395" s="228"/>
      <c r="N395" s="228"/>
      <c r="O395" s="228"/>
      <c r="P395" s="228"/>
      <c r="Q395" s="228"/>
    </row>
    <row r="396" spans="13:17" x14ac:dyDescent="0.2">
      <c r="M396" s="228"/>
      <c r="N396" s="228"/>
      <c r="O396" s="228"/>
      <c r="P396" s="228"/>
      <c r="Q396" s="228"/>
    </row>
    <row r="397" spans="13:17" x14ac:dyDescent="0.2">
      <c r="M397" s="228"/>
      <c r="N397" s="228"/>
      <c r="O397" s="228"/>
      <c r="P397" s="228"/>
      <c r="Q397" s="228"/>
    </row>
    <row r="398" spans="13:17" x14ac:dyDescent="0.2">
      <c r="M398" s="228"/>
      <c r="N398" s="228"/>
      <c r="O398" s="228"/>
      <c r="P398" s="228"/>
      <c r="Q398" s="228"/>
    </row>
    <row r="399" spans="13:17" x14ac:dyDescent="0.2">
      <c r="M399" s="228"/>
      <c r="N399" s="228"/>
      <c r="O399" s="228"/>
      <c r="P399" s="228"/>
      <c r="Q399" s="228"/>
    </row>
    <row r="400" spans="13:17" x14ac:dyDescent="0.2">
      <c r="M400" s="228"/>
      <c r="N400" s="228"/>
      <c r="O400" s="228"/>
      <c r="P400" s="228"/>
      <c r="Q400" s="228"/>
    </row>
    <row r="401" spans="13:17" x14ac:dyDescent="0.2">
      <c r="M401" s="228"/>
      <c r="N401" s="228"/>
      <c r="O401" s="228"/>
      <c r="P401" s="228"/>
      <c r="Q401" s="228"/>
    </row>
    <row r="402" spans="13:17" x14ac:dyDescent="0.2">
      <c r="M402" s="228"/>
      <c r="N402" s="228"/>
      <c r="O402" s="228"/>
      <c r="P402" s="228"/>
      <c r="Q402" s="228"/>
    </row>
    <row r="403" spans="13:17" x14ac:dyDescent="0.2">
      <c r="M403" s="228"/>
      <c r="N403" s="228"/>
      <c r="O403" s="228"/>
      <c r="P403" s="228"/>
      <c r="Q403" s="228"/>
    </row>
    <row r="404" spans="13:17" x14ac:dyDescent="0.2">
      <c r="M404" s="228"/>
      <c r="N404" s="228"/>
      <c r="O404" s="228"/>
      <c r="P404" s="228"/>
      <c r="Q404" s="228"/>
    </row>
    <row r="405" spans="13:17" x14ac:dyDescent="0.2">
      <c r="M405" s="228"/>
      <c r="N405" s="228"/>
      <c r="O405" s="228"/>
      <c r="P405" s="228"/>
      <c r="Q405" s="228"/>
    </row>
    <row r="406" spans="13:17" x14ac:dyDescent="0.2">
      <c r="M406" s="228"/>
      <c r="N406" s="228"/>
      <c r="O406" s="228"/>
      <c r="P406" s="228"/>
      <c r="Q406" s="228"/>
    </row>
    <row r="407" spans="13:17" x14ac:dyDescent="0.2">
      <c r="M407" s="228"/>
      <c r="N407" s="228"/>
      <c r="O407" s="228"/>
      <c r="P407" s="228"/>
      <c r="Q407" s="228"/>
    </row>
    <row r="408" spans="13:17" x14ac:dyDescent="0.2">
      <c r="M408" s="228"/>
      <c r="N408" s="228"/>
      <c r="O408" s="228"/>
      <c r="P408" s="228"/>
      <c r="Q408" s="228"/>
    </row>
    <row r="409" spans="13:17" x14ac:dyDescent="0.2">
      <c r="M409" s="228"/>
      <c r="N409" s="228"/>
      <c r="O409" s="228"/>
      <c r="P409" s="228"/>
      <c r="Q409" s="228"/>
    </row>
    <row r="410" spans="13:17" x14ac:dyDescent="0.2">
      <c r="M410" s="228"/>
      <c r="N410" s="228"/>
      <c r="O410" s="228"/>
      <c r="P410" s="228"/>
      <c r="Q410" s="228"/>
    </row>
    <row r="411" spans="13:17" x14ac:dyDescent="0.2">
      <c r="M411" s="228"/>
      <c r="N411" s="228"/>
      <c r="O411" s="228"/>
      <c r="P411" s="228"/>
      <c r="Q411" s="228"/>
    </row>
    <row r="412" spans="13:17" x14ac:dyDescent="0.2">
      <c r="M412" s="228"/>
      <c r="N412" s="228"/>
      <c r="O412" s="228"/>
      <c r="P412" s="228"/>
      <c r="Q412" s="228"/>
    </row>
    <row r="413" spans="13:17" x14ac:dyDescent="0.2">
      <c r="M413" s="228"/>
      <c r="N413" s="228"/>
      <c r="O413" s="228"/>
      <c r="P413" s="228"/>
      <c r="Q413" s="228"/>
    </row>
    <row r="414" spans="13:17" x14ac:dyDescent="0.2">
      <c r="M414" s="228"/>
      <c r="N414" s="228"/>
      <c r="O414" s="228"/>
      <c r="P414" s="228"/>
      <c r="Q414" s="228"/>
    </row>
    <row r="415" spans="13:17" x14ac:dyDescent="0.2">
      <c r="M415" s="228"/>
      <c r="N415" s="228"/>
      <c r="O415" s="228"/>
      <c r="P415" s="228"/>
      <c r="Q415" s="228"/>
    </row>
    <row r="416" spans="13:17" x14ac:dyDescent="0.2">
      <c r="M416" s="228"/>
      <c r="N416" s="228"/>
      <c r="O416" s="228"/>
      <c r="P416" s="228"/>
      <c r="Q416" s="228"/>
    </row>
    <row r="417" spans="13:17" x14ac:dyDescent="0.2">
      <c r="M417" s="228"/>
      <c r="N417" s="228"/>
      <c r="O417" s="228"/>
      <c r="P417" s="228"/>
      <c r="Q417" s="228"/>
    </row>
    <row r="418" spans="13:17" x14ac:dyDescent="0.2">
      <c r="M418" s="228"/>
      <c r="N418" s="228"/>
      <c r="O418" s="228"/>
      <c r="P418" s="228"/>
      <c r="Q418" s="228"/>
    </row>
    <row r="419" spans="13:17" x14ac:dyDescent="0.2">
      <c r="M419" s="228"/>
      <c r="N419" s="228"/>
      <c r="O419" s="228"/>
      <c r="P419" s="228"/>
      <c r="Q419" s="228"/>
    </row>
    <row r="420" spans="13:17" x14ac:dyDescent="0.2">
      <c r="M420" s="228"/>
      <c r="N420" s="228"/>
      <c r="O420" s="228"/>
      <c r="P420" s="228"/>
      <c r="Q420" s="228"/>
    </row>
    <row r="421" spans="13:17" x14ac:dyDescent="0.2">
      <c r="M421" s="228"/>
      <c r="N421" s="228"/>
      <c r="O421" s="228"/>
      <c r="P421" s="228"/>
      <c r="Q421" s="228"/>
    </row>
    <row r="422" spans="13:17" x14ac:dyDescent="0.2">
      <c r="M422" s="228"/>
      <c r="N422" s="228"/>
      <c r="O422" s="228"/>
      <c r="P422" s="228"/>
      <c r="Q422" s="228"/>
    </row>
    <row r="423" spans="13:17" x14ac:dyDescent="0.2">
      <c r="M423" s="228"/>
      <c r="N423" s="228"/>
      <c r="O423" s="228"/>
      <c r="P423" s="228"/>
      <c r="Q423" s="228"/>
    </row>
    <row r="424" spans="13:17" x14ac:dyDescent="0.2">
      <c r="M424" s="228"/>
      <c r="N424" s="228"/>
      <c r="O424" s="228"/>
      <c r="P424" s="228"/>
      <c r="Q424" s="228"/>
    </row>
    <row r="425" spans="13:17" x14ac:dyDescent="0.2">
      <c r="M425" s="228"/>
      <c r="N425" s="228"/>
      <c r="O425" s="228"/>
      <c r="P425" s="228"/>
      <c r="Q425" s="228"/>
    </row>
    <row r="426" spans="13:17" x14ac:dyDescent="0.2">
      <c r="M426" s="228"/>
      <c r="N426" s="228"/>
      <c r="O426" s="228"/>
      <c r="P426" s="228"/>
      <c r="Q426" s="228"/>
    </row>
    <row r="427" spans="13:17" x14ac:dyDescent="0.2">
      <c r="M427" s="228"/>
      <c r="N427" s="228"/>
      <c r="O427" s="228"/>
      <c r="P427" s="228"/>
      <c r="Q427" s="228"/>
    </row>
    <row r="428" spans="13:17" x14ac:dyDescent="0.2">
      <c r="M428" s="228"/>
      <c r="N428" s="228"/>
      <c r="O428" s="228"/>
      <c r="P428" s="228"/>
      <c r="Q428" s="228"/>
    </row>
    <row r="429" spans="13:17" x14ac:dyDescent="0.2">
      <c r="M429" s="228"/>
      <c r="N429" s="228"/>
      <c r="O429" s="228"/>
      <c r="P429" s="228"/>
      <c r="Q429" s="228"/>
    </row>
    <row r="430" spans="13:17" x14ac:dyDescent="0.2">
      <c r="M430" s="228"/>
      <c r="N430" s="228"/>
      <c r="O430" s="228"/>
      <c r="P430" s="228"/>
      <c r="Q430" s="228"/>
    </row>
    <row r="431" spans="13:17" x14ac:dyDescent="0.2">
      <c r="M431" s="228"/>
      <c r="N431" s="228"/>
      <c r="O431" s="228"/>
      <c r="P431" s="228"/>
      <c r="Q431" s="228"/>
    </row>
    <row r="432" spans="13:17" x14ac:dyDescent="0.2">
      <c r="M432" s="228"/>
      <c r="N432" s="228"/>
      <c r="O432" s="228"/>
      <c r="P432" s="228"/>
      <c r="Q432" s="228"/>
    </row>
    <row r="433" spans="13:17" x14ac:dyDescent="0.2">
      <c r="M433" s="228"/>
      <c r="N433" s="228"/>
      <c r="O433" s="228"/>
      <c r="P433" s="228"/>
      <c r="Q433" s="228"/>
    </row>
    <row r="434" spans="13:17" x14ac:dyDescent="0.2">
      <c r="M434" s="228"/>
      <c r="N434" s="228"/>
      <c r="O434" s="228"/>
      <c r="P434" s="228"/>
      <c r="Q434" s="228"/>
    </row>
    <row r="435" spans="13:17" x14ac:dyDescent="0.2">
      <c r="M435" s="228"/>
      <c r="N435" s="228"/>
      <c r="O435" s="228"/>
      <c r="P435" s="228"/>
      <c r="Q435" s="228"/>
    </row>
    <row r="436" spans="13:17" x14ac:dyDescent="0.2">
      <c r="M436" s="228"/>
      <c r="N436" s="228"/>
      <c r="O436" s="228"/>
      <c r="P436" s="228"/>
      <c r="Q436" s="228"/>
    </row>
    <row r="437" spans="13:17" x14ac:dyDescent="0.2">
      <c r="M437" s="228"/>
      <c r="N437" s="228"/>
      <c r="O437" s="228"/>
      <c r="P437" s="228"/>
      <c r="Q437" s="228"/>
    </row>
    <row r="438" spans="13:17" x14ac:dyDescent="0.2">
      <c r="M438" s="228"/>
      <c r="N438" s="228"/>
      <c r="O438" s="228"/>
      <c r="P438" s="228"/>
      <c r="Q438" s="228"/>
    </row>
    <row r="439" spans="13:17" x14ac:dyDescent="0.2">
      <c r="M439" s="228"/>
      <c r="N439" s="228"/>
      <c r="O439" s="228"/>
      <c r="P439" s="228"/>
      <c r="Q439" s="228"/>
    </row>
    <row r="440" spans="13:17" x14ac:dyDescent="0.2">
      <c r="M440" s="228"/>
      <c r="N440" s="228"/>
      <c r="O440" s="228"/>
      <c r="P440" s="228"/>
      <c r="Q440" s="228"/>
    </row>
    <row r="441" spans="13:17" x14ac:dyDescent="0.2">
      <c r="M441" s="228"/>
      <c r="N441" s="228"/>
      <c r="O441" s="228"/>
      <c r="P441" s="228"/>
      <c r="Q441" s="228"/>
    </row>
    <row r="442" spans="13:17" x14ac:dyDescent="0.2">
      <c r="M442" s="228"/>
      <c r="N442" s="228"/>
      <c r="O442" s="228"/>
      <c r="P442" s="228"/>
      <c r="Q442" s="228"/>
    </row>
    <row r="443" spans="13:17" x14ac:dyDescent="0.2">
      <c r="M443" s="228"/>
      <c r="N443" s="228"/>
      <c r="O443" s="228"/>
      <c r="P443" s="228"/>
      <c r="Q443" s="228"/>
    </row>
    <row r="444" spans="13:17" x14ac:dyDescent="0.2">
      <c r="M444" s="228"/>
      <c r="N444" s="228"/>
      <c r="O444" s="228"/>
      <c r="P444" s="228"/>
      <c r="Q444" s="228"/>
    </row>
    <row r="445" spans="13:17" x14ac:dyDescent="0.2">
      <c r="M445" s="228"/>
      <c r="N445" s="228"/>
      <c r="O445" s="228"/>
      <c r="P445" s="228"/>
      <c r="Q445" s="228"/>
    </row>
    <row r="446" spans="13:17" x14ac:dyDescent="0.2">
      <c r="M446" s="228"/>
      <c r="N446" s="228"/>
      <c r="O446" s="228"/>
      <c r="P446" s="228"/>
      <c r="Q446" s="228"/>
    </row>
    <row r="447" spans="13:17" x14ac:dyDescent="0.2">
      <c r="M447" s="228"/>
      <c r="N447" s="228"/>
      <c r="O447" s="228"/>
      <c r="P447" s="228"/>
      <c r="Q447" s="228"/>
    </row>
    <row r="448" spans="13:17" x14ac:dyDescent="0.2">
      <c r="M448" s="228"/>
      <c r="N448" s="228"/>
      <c r="O448" s="228"/>
      <c r="P448" s="228"/>
      <c r="Q448" s="228"/>
    </row>
    <row r="449" spans="13:17" x14ac:dyDescent="0.2">
      <c r="M449" s="228"/>
      <c r="N449" s="228"/>
      <c r="O449" s="228"/>
      <c r="P449" s="228"/>
      <c r="Q449" s="228"/>
    </row>
    <row r="450" spans="13:17" x14ac:dyDescent="0.2">
      <c r="M450" s="228"/>
      <c r="N450" s="228"/>
      <c r="O450" s="228"/>
      <c r="P450" s="228"/>
      <c r="Q450" s="228"/>
    </row>
    <row r="451" spans="13:17" x14ac:dyDescent="0.2">
      <c r="M451" s="228"/>
      <c r="N451" s="228"/>
      <c r="O451" s="228"/>
      <c r="P451" s="228"/>
      <c r="Q451" s="228"/>
    </row>
    <row r="452" spans="13:17" x14ac:dyDescent="0.2">
      <c r="M452" s="228"/>
      <c r="N452" s="228"/>
      <c r="O452" s="228"/>
      <c r="P452" s="228"/>
      <c r="Q452" s="228"/>
    </row>
    <row r="453" spans="13:17" x14ac:dyDescent="0.2">
      <c r="M453" s="228"/>
      <c r="N453" s="228"/>
      <c r="O453" s="228"/>
      <c r="P453" s="228"/>
      <c r="Q453" s="228"/>
    </row>
    <row r="454" spans="13:17" x14ac:dyDescent="0.2">
      <c r="M454" s="228"/>
      <c r="N454" s="228"/>
      <c r="O454" s="228"/>
      <c r="P454" s="228"/>
      <c r="Q454" s="228"/>
    </row>
    <row r="455" spans="13:17" x14ac:dyDescent="0.2">
      <c r="M455" s="228"/>
      <c r="N455" s="228"/>
      <c r="O455" s="228"/>
      <c r="P455" s="228"/>
      <c r="Q455" s="228"/>
    </row>
    <row r="456" spans="13:17" x14ac:dyDescent="0.2">
      <c r="M456" s="228"/>
      <c r="N456" s="228"/>
      <c r="O456" s="228"/>
      <c r="P456" s="228"/>
      <c r="Q456" s="228"/>
    </row>
    <row r="457" spans="13:17" x14ac:dyDescent="0.2">
      <c r="M457" s="228"/>
      <c r="N457" s="228"/>
      <c r="O457" s="228"/>
      <c r="P457" s="228"/>
      <c r="Q457" s="228"/>
    </row>
    <row r="458" spans="13:17" x14ac:dyDescent="0.2">
      <c r="M458" s="228"/>
      <c r="N458" s="228"/>
      <c r="O458" s="228"/>
      <c r="P458" s="228"/>
      <c r="Q458" s="228"/>
    </row>
    <row r="459" spans="13:17" x14ac:dyDescent="0.2">
      <c r="M459" s="228"/>
      <c r="N459" s="228"/>
      <c r="O459" s="228"/>
      <c r="P459" s="228"/>
      <c r="Q459" s="228"/>
    </row>
    <row r="460" spans="13:17" x14ac:dyDescent="0.2">
      <c r="M460" s="228"/>
      <c r="N460" s="228"/>
      <c r="O460" s="228"/>
      <c r="P460" s="228"/>
      <c r="Q460" s="228"/>
    </row>
    <row r="461" spans="13:17" x14ac:dyDescent="0.2">
      <c r="M461" s="228"/>
      <c r="N461" s="228"/>
      <c r="O461" s="228"/>
      <c r="P461" s="228"/>
      <c r="Q461" s="228"/>
    </row>
    <row r="462" spans="13:17" x14ac:dyDescent="0.2">
      <c r="M462" s="228"/>
      <c r="N462" s="228"/>
      <c r="O462" s="228"/>
      <c r="P462" s="228"/>
      <c r="Q462" s="228"/>
    </row>
    <row r="463" spans="13:17" x14ac:dyDescent="0.2">
      <c r="M463" s="228"/>
      <c r="N463" s="228"/>
      <c r="O463" s="228"/>
      <c r="P463" s="228"/>
      <c r="Q463" s="228"/>
    </row>
    <row r="464" spans="13:17" x14ac:dyDescent="0.2">
      <c r="M464" s="228"/>
      <c r="N464" s="228"/>
      <c r="O464" s="228"/>
      <c r="P464" s="228"/>
      <c r="Q464" s="228"/>
    </row>
    <row r="465" spans="13:17" x14ac:dyDescent="0.2">
      <c r="M465" s="228"/>
      <c r="N465" s="228"/>
      <c r="O465" s="228"/>
      <c r="P465" s="228"/>
      <c r="Q465" s="228"/>
    </row>
    <row r="466" spans="13:17" x14ac:dyDescent="0.2">
      <c r="M466" s="228"/>
      <c r="N466" s="228"/>
      <c r="O466" s="228"/>
      <c r="P466" s="228"/>
      <c r="Q466" s="228"/>
    </row>
  </sheetData>
  <mergeCells count="13">
    <mergeCell ref="A4:G4"/>
    <mergeCell ref="H4:I4"/>
    <mergeCell ref="K4:L4"/>
    <mergeCell ref="M4:N4"/>
    <mergeCell ref="O4:R4"/>
    <mergeCell ref="A5:P6"/>
    <mergeCell ref="Q5:R5"/>
    <mergeCell ref="Q6:R6"/>
    <mergeCell ref="A7:G7"/>
    <mergeCell ref="H7:I7"/>
    <mergeCell ref="K7:L7"/>
    <mergeCell ref="M7:N7"/>
    <mergeCell ref="O7:R7"/>
  </mergeCells>
  <dataValidations count="1">
    <dataValidation type="list" allowBlank="1" showInputMessage="1" showErrorMessage="1" sqref="A11">
      <formula1>#REF!</formula1>
    </dataValidation>
  </dataValidations>
  <pageMargins left="0.7" right="0.7" top="0.75" bottom="0.75" header="0.3" footer="0.3"/>
  <pageSetup paperSize="9" scale="42" fitToHeight="0" orientation="landscape"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J463"/>
  <sheetViews>
    <sheetView topLeftCell="P1" zoomScale="90" zoomScaleNormal="90" workbookViewId="0">
      <selection activeCell="M4" sqref="M4:O4"/>
    </sheetView>
  </sheetViews>
  <sheetFormatPr defaultRowHeight="12.75" x14ac:dyDescent="0.2"/>
  <cols>
    <col min="1" max="2" width="7.140625" customWidth="1"/>
    <col min="3" max="3" width="13" customWidth="1"/>
    <col min="4" max="4" width="9.140625" customWidth="1"/>
    <col min="5" max="5" width="10.28515625" customWidth="1"/>
    <col min="6" max="6" width="18.42578125" customWidth="1"/>
    <col min="7" max="7" width="15.28515625" customWidth="1"/>
    <col min="8" max="8" width="7.140625" customWidth="1"/>
    <col min="9" max="9" width="8.5703125" customWidth="1"/>
    <col min="10" max="10" width="9.28515625" customWidth="1"/>
    <col min="11" max="11" width="13.85546875" customWidth="1"/>
    <col min="13" max="13" width="12.7109375" customWidth="1"/>
    <col min="14" max="14" width="12.85546875" customWidth="1"/>
    <col min="15" max="15" width="11.42578125" customWidth="1"/>
    <col min="16" max="16" width="12.42578125" customWidth="1"/>
    <col min="17" max="17" width="11" customWidth="1"/>
    <col min="18" max="18" width="9.5703125" customWidth="1"/>
    <col min="19" max="19" width="10" customWidth="1"/>
    <col min="20" max="20" width="10.140625" customWidth="1"/>
    <col min="23" max="23" width="11.85546875" customWidth="1"/>
    <col min="24" max="24" width="10.85546875" customWidth="1"/>
    <col min="25" max="25" width="11.7109375" customWidth="1"/>
    <col min="26" max="26" width="11.28515625" customWidth="1"/>
    <col min="27" max="27" width="10.42578125" customWidth="1"/>
    <col min="28" max="28" width="10.7109375" customWidth="1"/>
    <col min="29" max="29" width="10.28515625" customWidth="1"/>
    <col min="32" max="32" width="49.28515625" customWidth="1"/>
    <col min="33" max="33" width="97.5703125" customWidth="1"/>
    <col min="34" max="34" width="11.85546875" customWidth="1"/>
    <col min="35" max="35" width="13" customWidth="1"/>
    <col min="36" max="36" width="26.140625" customWidth="1"/>
  </cols>
  <sheetData>
    <row r="1" spans="1:36" x14ac:dyDescent="0.2">
      <c r="A1" s="6" t="s">
        <v>120</v>
      </c>
      <c r="B1" s="6"/>
    </row>
    <row r="2" spans="1:36" ht="13.5" customHeight="1" thickBot="1" x14ac:dyDescent="0.25">
      <c r="C2" s="6"/>
      <c r="D2" s="6"/>
      <c r="E2" s="131"/>
      <c r="F2" s="131"/>
      <c r="G2" s="131"/>
      <c r="H2" s="131"/>
      <c r="I2" s="131"/>
      <c r="J2" s="131"/>
      <c r="K2" s="131"/>
      <c r="L2" s="131"/>
      <c r="M2" s="131"/>
      <c r="N2" s="131"/>
      <c r="O2" s="131"/>
      <c r="P2" s="131"/>
      <c r="Q2" s="131"/>
      <c r="R2" s="131"/>
      <c r="S2" s="131"/>
      <c r="T2" s="131"/>
      <c r="U2" s="131"/>
      <c r="V2" s="131"/>
      <c r="W2" s="131"/>
      <c r="X2" s="131"/>
      <c r="Y2" s="131"/>
      <c r="Z2" s="131"/>
      <c r="AA2" s="131"/>
      <c r="AB2" s="131"/>
      <c r="AC2" s="131"/>
      <c r="AD2" s="131"/>
      <c r="AE2" s="131"/>
      <c r="AF2" s="55" t="s">
        <v>56</v>
      </c>
      <c r="AG2" s="56" t="s">
        <v>50</v>
      </c>
    </row>
    <row r="3" spans="1:36" x14ac:dyDescent="0.2">
      <c r="A3" s="804"/>
      <c r="B3" s="805"/>
      <c r="C3" s="806"/>
      <c r="D3" s="806"/>
      <c r="E3" s="806"/>
      <c r="F3" s="806"/>
      <c r="G3" s="806"/>
      <c r="H3" s="810" t="s">
        <v>121</v>
      </c>
      <c r="I3" s="810"/>
      <c r="J3" s="810"/>
      <c r="K3" s="810"/>
      <c r="L3" s="810"/>
      <c r="M3" s="810" t="s">
        <v>122</v>
      </c>
      <c r="N3" s="810"/>
      <c r="O3" s="810"/>
      <c r="P3" s="810"/>
      <c r="Q3" s="810"/>
      <c r="R3" s="810"/>
      <c r="S3" s="810"/>
      <c r="T3" s="810"/>
      <c r="U3" s="810"/>
      <c r="V3" s="810"/>
      <c r="W3" s="810" t="s">
        <v>123</v>
      </c>
      <c r="X3" s="810"/>
      <c r="Y3" s="810"/>
      <c r="Z3" s="810"/>
      <c r="AA3" s="810"/>
      <c r="AB3" s="810"/>
      <c r="AC3" s="810"/>
      <c r="AD3" s="810"/>
      <c r="AE3" s="811"/>
      <c r="AF3" s="463" t="s">
        <v>55</v>
      </c>
      <c r="AG3" s="656" t="s">
        <v>1877</v>
      </c>
      <c r="AH3" s="464"/>
      <c r="AI3" s="15"/>
      <c r="AJ3" s="465"/>
    </row>
    <row r="4" spans="1:36" ht="51.75" customHeight="1" thickBot="1" x14ac:dyDescent="0.25">
      <c r="A4" s="807"/>
      <c r="B4" s="808"/>
      <c r="C4" s="809"/>
      <c r="D4" s="809"/>
      <c r="E4" s="809"/>
      <c r="F4" s="809"/>
      <c r="G4" s="809"/>
      <c r="H4" s="812" t="s">
        <v>124</v>
      </c>
      <c r="I4" s="812"/>
      <c r="J4" s="812" t="s">
        <v>125</v>
      </c>
      <c r="K4" s="812"/>
      <c r="L4" s="812"/>
      <c r="M4" s="812">
        <v>2019</v>
      </c>
      <c r="N4" s="812"/>
      <c r="O4" s="812"/>
      <c r="P4" s="812" t="s">
        <v>126</v>
      </c>
      <c r="Q4" s="812"/>
      <c r="R4" s="812"/>
      <c r="S4" s="812"/>
      <c r="T4" s="812"/>
      <c r="U4" s="403" t="s">
        <v>127</v>
      </c>
      <c r="V4" s="403" t="s">
        <v>128</v>
      </c>
      <c r="W4" s="403" t="s">
        <v>129</v>
      </c>
      <c r="X4" s="812" t="s">
        <v>130</v>
      </c>
      <c r="Y4" s="812"/>
      <c r="Z4" s="403" t="s">
        <v>131</v>
      </c>
      <c r="AA4" s="812" t="s">
        <v>132</v>
      </c>
      <c r="AB4" s="812"/>
      <c r="AC4" s="812" t="s">
        <v>133</v>
      </c>
      <c r="AD4" s="812"/>
      <c r="AE4" s="813"/>
      <c r="AF4" s="800" t="s">
        <v>4</v>
      </c>
      <c r="AG4" s="802" t="s">
        <v>154</v>
      </c>
      <c r="AH4" s="461"/>
      <c r="AI4" s="461"/>
      <c r="AJ4" s="15"/>
    </row>
    <row r="5" spans="1:36" ht="77.25" customHeight="1" thickBot="1" x14ac:dyDescent="0.25">
      <c r="A5" s="396" t="s">
        <v>0</v>
      </c>
      <c r="B5" s="466" t="s">
        <v>1710</v>
      </c>
      <c r="C5" s="397" t="s">
        <v>1389</v>
      </c>
      <c r="D5" s="397" t="s">
        <v>1</v>
      </c>
      <c r="E5" s="397" t="s">
        <v>1390</v>
      </c>
      <c r="F5" s="397" t="s">
        <v>1391</v>
      </c>
      <c r="G5" s="398" t="s">
        <v>3</v>
      </c>
      <c r="H5" s="399" t="s">
        <v>1392</v>
      </c>
      <c r="I5" s="400" t="s">
        <v>1393</v>
      </c>
      <c r="J5" s="400" t="s">
        <v>1394</v>
      </c>
      <c r="K5" s="400" t="s">
        <v>1395</v>
      </c>
      <c r="L5" s="400" t="s">
        <v>1396</v>
      </c>
      <c r="M5" s="400" t="s">
        <v>1397</v>
      </c>
      <c r="N5" s="400" t="s">
        <v>1398</v>
      </c>
      <c r="O5" s="400" t="s">
        <v>1399</v>
      </c>
      <c r="P5" s="400" t="s">
        <v>134</v>
      </c>
      <c r="Q5" s="400" t="s">
        <v>135</v>
      </c>
      <c r="R5" s="400" t="s">
        <v>136</v>
      </c>
      <c r="S5" s="400" t="s">
        <v>137</v>
      </c>
      <c r="T5" s="400" t="s">
        <v>138</v>
      </c>
      <c r="U5" s="400" t="s">
        <v>139</v>
      </c>
      <c r="V5" s="401" t="s">
        <v>140</v>
      </c>
      <c r="W5" s="401" t="s">
        <v>141</v>
      </c>
      <c r="X5" s="401" t="s">
        <v>142</v>
      </c>
      <c r="Y5" s="401" t="s">
        <v>143</v>
      </c>
      <c r="Z5" s="400" t="s">
        <v>144</v>
      </c>
      <c r="AA5" s="400" t="s">
        <v>145</v>
      </c>
      <c r="AB5" s="401" t="s">
        <v>146</v>
      </c>
      <c r="AC5" s="400" t="s">
        <v>147</v>
      </c>
      <c r="AD5" s="400" t="s">
        <v>148</v>
      </c>
      <c r="AE5" s="402" t="s">
        <v>149</v>
      </c>
      <c r="AF5" s="801"/>
      <c r="AG5" s="803"/>
      <c r="AH5" s="461"/>
      <c r="AI5" s="461"/>
      <c r="AJ5" s="15"/>
    </row>
    <row r="6" spans="1:36" ht="12.75" customHeight="1" x14ac:dyDescent="0.2">
      <c r="A6" s="404" t="s">
        <v>277</v>
      </c>
      <c r="B6" s="450"/>
      <c r="C6" s="405" t="s">
        <v>50</v>
      </c>
      <c r="D6" s="22" t="s">
        <v>914</v>
      </c>
      <c r="E6" s="27" t="s">
        <v>7</v>
      </c>
      <c r="F6" s="27" t="s">
        <v>1400</v>
      </c>
      <c r="G6" s="27" t="s">
        <v>1401</v>
      </c>
      <c r="H6" s="406" t="s">
        <v>6</v>
      </c>
      <c r="I6" s="406" t="s">
        <v>6</v>
      </c>
      <c r="J6" s="406" t="s">
        <v>6</v>
      </c>
      <c r="K6" s="406" t="s">
        <v>6</v>
      </c>
      <c r="L6" s="406" t="s">
        <v>6</v>
      </c>
      <c r="M6" s="406" t="s">
        <v>6</v>
      </c>
      <c r="N6" s="406" t="s">
        <v>6</v>
      </c>
      <c r="O6" s="406" t="s">
        <v>6</v>
      </c>
      <c r="P6" s="406" t="s">
        <v>6</v>
      </c>
      <c r="Q6" s="406" t="s">
        <v>77</v>
      </c>
      <c r="R6" s="406" t="s">
        <v>6</v>
      </c>
      <c r="S6" s="406" t="s">
        <v>6</v>
      </c>
      <c r="T6" s="406" t="s">
        <v>6</v>
      </c>
      <c r="U6" s="406" t="s">
        <v>6</v>
      </c>
      <c r="V6" s="406" t="s">
        <v>77</v>
      </c>
      <c r="W6" s="406" t="s">
        <v>6</v>
      </c>
      <c r="X6" s="406" t="s">
        <v>6</v>
      </c>
      <c r="Y6" s="406" t="s">
        <v>6</v>
      </c>
      <c r="Z6" s="406" t="s">
        <v>6</v>
      </c>
      <c r="AA6" s="406" t="s">
        <v>6</v>
      </c>
      <c r="AB6" s="406" t="s">
        <v>6</v>
      </c>
      <c r="AC6" s="406" t="s">
        <v>77</v>
      </c>
      <c r="AD6" s="406" t="s">
        <v>6</v>
      </c>
      <c r="AE6" s="406" t="s">
        <v>7</v>
      </c>
      <c r="AF6" s="460" t="s">
        <v>1402</v>
      </c>
      <c r="AG6" s="275" t="s">
        <v>1858</v>
      </c>
      <c r="AH6" s="462"/>
      <c r="AI6" s="462"/>
      <c r="AJ6" s="15"/>
    </row>
    <row r="7" spans="1:36" ht="12.75" customHeight="1" x14ac:dyDescent="0.2">
      <c r="A7" s="404" t="s">
        <v>277</v>
      </c>
      <c r="B7" s="450"/>
      <c r="C7" s="405" t="s">
        <v>50</v>
      </c>
      <c r="D7" s="22" t="s">
        <v>914</v>
      </c>
      <c r="E7" s="27" t="s">
        <v>7</v>
      </c>
      <c r="F7" s="27" t="s">
        <v>1400</v>
      </c>
      <c r="G7" s="406" t="s">
        <v>920</v>
      </c>
      <c r="H7" s="406" t="s">
        <v>6</v>
      </c>
      <c r="I7" s="406" t="s">
        <v>6</v>
      </c>
      <c r="J7" s="406" t="s">
        <v>6</v>
      </c>
      <c r="K7" s="406" t="s">
        <v>6</v>
      </c>
      <c r="L7" s="406" t="s">
        <v>6</v>
      </c>
      <c r="M7" s="406" t="s">
        <v>6</v>
      </c>
      <c r="N7" s="406" t="s">
        <v>6</v>
      </c>
      <c r="O7" s="406" t="s">
        <v>6</v>
      </c>
      <c r="P7" s="406" t="s">
        <v>6</v>
      </c>
      <c r="Q7" s="406" t="s">
        <v>77</v>
      </c>
      <c r="R7" s="406" t="s">
        <v>6</v>
      </c>
      <c r="S7" s="406" t="s">
        <v>6</v>
      </c>
      <c r="T7" s="406" t="s">
        <v>6</v>
      </c>
      <c r="U7" s="406" t="s">
        <v>6</v>
      </c>
      <c r="V7" s="406" t="s">
        <v>77</v>
      </c>
      <c r="W7" s="406" t="s">
        <v>6</v>
      </c>
      <c r="X7" s="406" t="s">
        <v>6</v>
      </c>
      <c r="Y7" s="406" t="s">
        <v>6</v>
      </c>
      <c r="Z7" s="406" t="s">
        <v>6</v>
      </c>
      <c r="AA7" s="406" t="s">
        <v>6</v>
      </c>
      <c r="AB7" s="406" t="s">
        <v>6</v>
      </c>
      <c r="AC7" s="406" t="s">
        <v>77</v>
      </c>
      <c r="AD7" s="406" t="s">
        <v>6</v>
      </c>
      <c r="AE7" s="406" t="s">
        <v>7</v>
      </c>
      <c r="AF7" s="460" t="s">
        <v>1402</v>
      </c>
      <c r="AG7" s="275" t="s">
        <v>1858</v>
      </c>
      <c r="AH7" s="462"/>
      <c r="AI7" s="462"/>
      <c r="AJ7" s="15"/>
    </row>
    <row r="8" spans="1:36" ht="12.75" customHeight="1" x14ac:dyDescent="0.2">
      <c r="A8" s="404" t="s">
        <v>277</v>
      </c>
      <c r="B8" s="450"/>
      <c r="C8" s="405" t="s">
        <v>50</v>
      </c>
      <c r="D8" s="22" t="s">
        <v>914</v>
      </c>
      <c r="E8" s="27" t="s">
        <v>7</v>
      </c>
      <c r="F8" s="27" t="s">
        <v>1400</v>
      </c>
      <c r="G8" s="406" t="s">
        <v>945</v>
      </c>
      <c r="H8" s="406" t="s">
        <v>6</v>
      </c>
      <c r="I8" s="406" t="s">
        <v>6</v>
      </c>
      <c r="J8" s="406" t="s">
        <v>6</v>
      </c>
      <c r="K8" s="406" t="s">
        <v>6</v>
      </c>
      <c r="L8" s="406" t="s">
        <v>6</v>
      </c>
      <c r="M8" s="406" t="s">
        <v>6</v>
      </c>
      <c r="N8" s="406" t="s">
        <v>6</v>
      </c>
      <c r="O8" s="406" t="s">
        <v>6</v>
      </c>
      <c r="P8" s="406" t="s">
        <v>6</v>
      </c>
      <c r="Q8" s="406" t="s">
        <v>77</v>
      </c>
      <c r="R8" s="406" t="s">
        <v>6</v>
      </c>
      <c r="S8" s="406" t="s">
        <v>6</v>
      </c>
      <c r="T8" s="406" t="s">
        <v>6</v>
      </c>
      <c r="U8" s="406" t="s">
        <v>6</v>
      </c>
      <c r="V8" s="406" t="s">
        <v>77</v>
      </c>
      <c r="W8" s="406" t="s">
        <v>6</v>
      </c>
      <c r="X8" s="406" t="s">
        <v>6</v>
      </c>
      <c r="Y8" s="406" t="s">
        <v>6</v>
      </c>
      <c r="Z8" s="406" t="s">
        <v>6</v>
      </c>
      <c r="AA8" s="406" t="s">
        <v>6</v>
      </c>
      <c r="AB8" s="406" t="s">
        <v>6</v>
      </c>
      <c r="AC8" s="406" t="s">
        <v>77</v>
      </c>
      <c r="AD8" s="406" t="s">
        <v>6</v>
      </c>
      <c r="AE8" s="406" t="s">
        <v>7</v>
      </c>
      <c r="AF8" s="460" t="s">
        <v>1403</v>
      </c>
      <c r="AG8" s="275" t="s">
        <v>1858</v>
      </c>
      <c r="AH8" s="462"/>
      <c r="AI8" s="462"/>
      <c r="AJ8" s="15"/>
    </row>
    <row r="9" spans="1:36" ht="12.75" customHeight="1" x14ac:dyDescent="0.2">
      <c r="A9" s="404" t="s">
        <v>277</v>
      </c>
      <c r="B9" s="450"/>
      <c r="C9" s="405" t="s">
        <v>50</v>
      </c>
      <c r="D9" s="22" t="s">
        <v>914</v>
      </c>
      <c r="E9" s="27" t="s">
        <v>7</v>
      </c>
      <c r="F9" s="27" t="s">
        <v>1400</v>
      </c>
      <c r="G9" s="406" t="s">
        <v>1404</v>
      </c>
      <c r="H9" s="406" t="s">
        <v>6</v>
      </c>
      <c r="I9" s="406" t="s">
        <v>6</v>
      </c>
      <c r="J9" s="406" t="s">
        <v>6</v>
      </c>
      <c r="K9" s="406" t="s">
        <v>6</v>
      </c>
      <c r="L9" s="406" t="s">
        <v>6</v>
      </c>
      <c r="M9" s="406" t="s">
        <v>6</v>
      </c>
      <c r="N9" s="406" t="s">
        <v>6</v>
      </c>
      <c r="O9" s="406" t="s">
        <v>6</v>
      </c>
      <c r="P9" s="406" t="s">
        <v>6</v>
      </c>
      <c r="Q9" s="406" t="s">
        <v>77</v>
      </c>
      <c r="R9" s="406" t="s">
        <v>6</v>
      </c>
      <c r="S9" s="406" t="s">
        <v>6</v>
      </c>
      <c r="T9" s="406" t="s">
        <v>6</v>
      </c>
      <c r="U9" s="406" t="s">
        <v>6</v>
      </c>
      <c r="V9" s="406" t="s">
        <v>77</v>
      </c>
      <c r="W9" s="406" t="s">
        <v>6</v>
      </c>
      <c r="X9" s="406" t="s">
        <v>6</v>
      </c>
      <c r="Y9" s="406" t="s">
        <v>6</v>
      </c>
      <c r="Z9" s="406" t="s">
        <v>6</v>
      </c>
      <c r="AA9" s="406" t="s">
        <v>6</v>
      </c>
      <c r="AB9" s="406" t="s">
        <v>6</v>
      </c>
      <c r="AC9" s="406" t="s">
        <v>77</v>
      </c>
      <c r="AD9" s="406" t="s">
        <v>6</v>
      </c>
      <c r="AE9" s="406" t="s">
        <v>7</v>
      </c>
      <c r="AF9" s="460" t="s">
        <v>1403</v>
      </c>
      <c r="AG9" s="275" t="s">
        <v>1858</v>
      </c>
      <c r="AH9" s="462"/>
      <c r="AI9" s="462"/>
      <c r="AJ9" s="15"/>
    </row>
    <row r="10" spans="1:36" ht="12.75" customHeight="1" x14ac:dyDescent="0.2">
      <c r="A10" s="404" t="s">
        <v>277</v>
      </c>
      <c r="B10" s="450"/>
      <c r="C10" s="405" t="s">
        <v>50</v>
      </c>
      <c r="D10" s="22" t="s">
        <v>914</v>
      </c>
      <c r="E10" s="27" t="s">
        <v>7</v>
      </c>
      <c r="F10" s="27" t="s">
        <v>1400</v>
      </c>
      <c r="G10" s="406" t="s">
        <v>1405</v>
      </c>
      <c r="H10" s="406" t="s">
        <v>6</v>
      </c>
      <c r="I10" s="406" t="s">
        <v>6</v>
      </c>
      <c r="J10" s="406" t="s">
        <v>6</v>
      </c>
      <c r="K10" s="406" t="s">
        <v>6</v>
      </c>
      <c r="L10" s="406" t="s">
        <v>6</v>
      </c>
      <c r="M10" s="406" t="s">
        <v>6</v>
      </c>
      <c r="N10" s="406" t="s">
        <v>6</v>
      </c>
      <c r="O10" s="406" t="s">
        <v>6</v>
      </c>
      <c r="P10" s="406" t="s">
        <v>6</v>
      </c>
      <c r="Q10" s="406" t="s">
        <v>77</v>
      </c>
      <c r="R10" s="406" t="s">
        <v>6</v>
      </c>
      <c r="S10" s="406" t="s">
        <v>6</v>
      </c>
      <c r="T10" s="406" t="s">
        <v>6</v>
      </c>
      <c r="U10" s="406" t="s">
        <v>6</v>
      </c>
      <c r="V10" s="406" t="s">
        <v>77</v>
      </c>
      <c r="W10" s="406" t="s">
        <v>6</v>
      </c>
      <c r="X10" s="406" t="s">
        <v>6</v>
      </c>
      <c r="Y10" s="406" t="s">
        <v>6</v>
      </c>
      <c r="Z10" s="406" t="s">
        <v>6</v>
      </c>
      <c r="AA10" s="406" t="s">
        <v>6</v>
      </c>
      <c r="AB10" s="406" t="s">
        <v>6</v>
      </c>
      <c r="AC10" s="406" t="s">
        <v>77</v>
      </c>
      <c r="AD10" s="406" t="s">
        <v>6</v>
      </c>
      <c r="AE10" s="406" t="s">
        <v>7</v>
      </c>
      <c r="AF10" s="460" t="s">
        <v>1403</v>
      </c>
      <c r="AG10" s="275" t="s">
        <v>1858</v>
      </c>
      <c r="AH10" s="462"/>
      <c r="AI10" s="462"/>
      <c r="AJ10" s="15"/>
    </row>
    <row r="11" spans="1:36" ht="12.75" customHeight="1" x14ac:dyDescent="0.2">
      <c r="A11" s="404" t="s">
        <v>277</v>
      </c>
      <c r="B11" s="450"/>
      <c r="C11" s="405" t="s">
        <v>50</v>
      </c>
      <c r="D11" s="22" t="s">
        <v>914</v>
      </c>
      <c r="E11" s="27" t="s">
        <v>7</v>
      </c>
      <c r="F11" s="27" t="s">
        <v>1406</v>
      </c>
      <c r="G11" s="407" t="s">
        <v>983</v>
      </c>
      <c r="H11" s="406" t="s">
        <v>6</v>
      </c>
      <c r="I11" s="406" t="s">
        <v>6</v>
      </c>
      <c r="J11" s="406" t="s">
        <v>6</v>
      </c>
      <c r="K11" s="406" t="s">
        <v>6</v>
      </c>
      <c r="L11" s="406" t="s">
        <v>6</v>
      </c>
      <c r="M11" s="406" t="s">
        <v>6</v>
      </c>
      <c r="N11" s="406" t="s">
        <v>6</v>
      </c>
      <c r="O11" s="406" t="s">
        <v>6</v>
      </c>
      <c r="P11" s="406" t="s">
        <v>6</v>
      </c>
      <c r="Q11" s="406" t="s">
        <v>77</v>
      </c>
      <c r="R11" s="406" t="s">
        <v>6</v>
      </c>
      <c r="S11" s="406" t="s">
        <v>6</v>
      </c>
      <c r="T11" s="406" t="s">
        <v>6</v>
      </c>
      <c r="U11" s="406" t="s">
        <v>6</v>
      </c>
      <c r="V11" s="406" t="s">
        <v>77</v>
      </c>
      <c r="W11" s="406" t="s">
        <v>6</v>
      </c>
      <c r="X11" s="406" t="s">
        <v>6</v>
      </c>
      <c r="Y11" s="406" t="s">
        <v>6</v>
      </c>
      <c r="Z11" s="406" t="s">
        <v>6</v>
      </c>
      <c r="AA11" s="406" t="s">
        <v>6</v>
      </c>
      <c r="AB11" s="406" t="s">
        <v>6</v>
      </c>
      <c r="AC11" s="406" t="s">
        <v>77</v>
      </c>
      <c r="AD11" s="406" t="s">
        <v>6</v>
      </c>
      <c r="AE11" s="406" t="s">
        <v>7</v>
      </c>
      <c r="AF11" s="460" t="s">
        <v>1403</v>
      </c>
      <c r="AG11" s="275" t="s">
        <v>1878</v>
      </c>
      <c r="AH11" s="462"/>
      <c r="AI11" s="462"/>
      <c r="AJ11" s="15"/>
    </row>
    <row r="12" spans="1:36" ht="12.75" customHeight="1" x14ac:dyDescent="0.2">
      <c r="A12" s="404" t="s">
        <v>277</v>
      </c>
      <c r="B12" s="450"/>
      <c r="C12" s="405" t="s">
        <v>50</v>
      </c>
      <c r="D12" s="22" t="s">
        <v>914</v>
      </c>
      <c r="E12" s="27" t="s">
        <v>7</v>
      </c>
      <c r="F12" s="27" t="s">
        <v>1406</v>
      </c>
      <c r="G12" s="407" t="s">
        <v>970</v>
      </c>
      <c r="H12" s="406" t="s">
        <v>6</v>
      </c>
      <c r="I12" s="406" t="s">
        <v>6</v>
      </c>
      <c r="J12" s="406" t="s">
        <v>6</v>
      </c>
      <c r="K12" s="406" t="s">
        <v>6</v>
      </c>
      <c r="L12" s="406" t="s">
        <v>6</v>
      </c>
      <c r="M12" s="406" t="s">
        <v>6</v>
      </c>
      <c r="N12" s="406" t="s">
        <v>6</v>
      </c>
      <c r="O12" s="406" t="s">
        <v>6</v>
      </c>
      <c r="P12" s="406" t="s">
        <v>6</v>
      </c>
      <c r="Q12" s="406" t="s">
        <v>77</v>
      </c>
      <c r="R12" s="406" t="s">
        <v>6</v>
      </c>
      <c r="S12" s="406" t="s">
        <v>6</v>
      </c>
      <c r="T12" s="406" t="s">
        <v>6</v>
      </c>
      <c r="U12" s="406" t="s">
        <v>6</v>
      </c>
      <c r="V12" s="406" t="s">
        <v>77</v>
      </c>
      <c r="W12" s="406" t="s">
        <v>6</v>
      </c>
      <c r="X12" s="406" t="s">
        <v>6</v>
      </c>
      <c r="Y12" s="406" t="s">
        <v>6</v>
      </c>
      <c r="Z12" s="406" t="s">
        <v>6</v>
      </c>
      <c r="AA12" s="406" t="s">
        <v>6</v>
      </c>
      <c r="AB12" s="406" t="s">
        <v>6</v>
      </c>
      <c r="AC12" s="406" t="s">
        <v>77</v>
      </c>
      <c r="AD12" s="406" t="s">
        <v>6</v>
      </c>
      <c r="AE12" s="406" t="s">
        <v>7</v>
      </c>
      <c r="AF12" s="460" t="s">
        <v>1403</v>
      </c>
      <c r="AG12" s="275" t="s">
        <v>1878</v>
      </c>
      <c r="AH12" s="462"/>
      <c r="AI12" s="462"/>
      <c r="AJ12" s="15"/>
    </row>
    <row r="13" spans="1:36" ht="12.75" customHeight="1" x14ac:dyDescent="0.2">
      <c r="A13" s="404" t="s">
        <v>277</v>
      </c>
      <c r="B13" s="450"/>
      <c r="C13" s="405" t="s">
        <v>50</v>
      </c>
      <c r="D13" s="22" t="s">
        <v>914</v>
      </c>
      <c r="E13" s="27" t="s">
        <v>7</v>
      </c>
      <c r="F13" s="27" t="s">
        <v>1406</v>
      </c>
      <c r="G13" s="407" t="s">
        <v>974</v>
      </c>
      <c r="H13" s="406" t="s">
        <v>6</v>
      </c>
      <c r="I13" s="406" t="s">
        <v>6</v>
      </c>
      <c r="J13" s="406" t="s">
        <v>6</v>
      </c>
      <c r="K13" s="406" t="s">
        <v>6</v>
      </c>
      <c r="L13" s="406" t="s">
        <v>6</v>
      </c>
      <c r="M13" s="406" t="s">
        <v>6</v>
      </c>
      <c r="N13" s="406" t="s">
        <v>6</v>
      </c>
      <c r="O13" s="406" t="s">
        <v>6</v>
      </c>
      <c r="P13" s="406" t="s">
        <v>6</v>
      </c>
      <c r="Q13" s="406" t="s">
        <v>77</v>
      </c>
      <c r="R13" s="406" t="s">
        <v>6</v>
      </c>
      <c r="S13" s="406" t="s">
        <v>6</v>
      </c>
      <c r="T13" s="406" t="s">
        <v>6</v>
      </c>
      <c r="U13" s="406" t="s">
        <v>6</v>
      </c>
      <c r="V13" s="406" t="s">
        <v>77</v>
      </c>
      <c r="W13" s="406" t="s">
        <v>6</v>
      </c>
      <c r="X13" s="406" t="s">
        <v>6</v>
      </c>
      <c r="Y13" s="406" t="s">
        <v>6</v>
      </c>
      <c r="Z13" s="406" t="s">
        <v>6</v>
      </c>
      <c r="AA13" s="406" t="s">
        <v>6</v>
      </c>
      <c r="AB13" s="406" t="s">
        <v>6</v>
      </c>
      <c r="AC13" s="406" t="s">
        <v>77</v>
      </c>
      <c r="AD13" s="406" t="s">
        <v>6</v>
      </c>
      <c r="AE13" s="406" t="s">
        <v>7</v>
      </c>
      <c r="AF13" s="460" t="s">
        <v>1403</v>
      </c>
      <c r="AG13" s="275" t="s">
        <v>1878</v>
      </c>
      <c r="AH13" s="462"/>
      <c r="AI13" s="462"/>
      <c r="AJ13" s="15"/>
    </row>
    <row r="14" spans="1:36" ht="12.75" customHeight="1" x14ac:dyDescent="0.2">
      <c r="A14" s="404" t="s">
        <v>277</v>
      </c>
      <c r="B14" s="450"/>
      <c r="C14" s="405" t="s">
        <v>50</v>
      </c>
      <c r="D14" s="22" t="s">
        <v>914</v>
      </c>
      <c r="E14" s="27" t="s">
        <v>7</v>
      </c>
      <c r="F14" s="27" t="s">
        <v>1406</v>
      </c>
      <c r="G14" s="408" t="s">
        <v>969</v>
      </c>
      <c r="H14" s="406" t="s">
        <v>6</v>
      </c>
      <c r="I14" s="406" t="s">
        <v>6</v>
      </c>
      <c r="J14" s="406" t="s">
        <v>6</v>
      </c>
      <c r="K14" s="406" t="s">
        <v>6</v>
      </c>
      <c r="L14" s="406" t="s">
        <v>6</v>
      </c>
      <c r="M14" s="406" t="s">
        <v>6</v>
      </c>
      <c r="N14" s="406" t="s">
        <v>6</v>
      </c>
      <c r="O14" s="406" t="s">
        <v>6</v>
      </c>
      <c r="P14" s="406" t="s">
        <v>6</v>
      </c>
      <c r="Q14" s="406" t="s">
        <v>77</v>
      </c>
      <c r="R14" s="406" t="s">
        <v>6</v>
      </c>
      <c r="S14" s="406" t="s">
        <v>6</v>
      </c>
      <c r="T14" s="406" t="s">
        <v>6</v>
      </c>
      <c r="U14" s="406" t="s">
        <v>6</v>
      </c>
      <c r="V14" s="406" t="s">
        <v>77</v>
      </c>
      <c r="W14" s="406" t="s">
        <v>6</v>
      </c>
      <c r="X14" s="406" t="s">
        <v>6</v>
      </c>
      <c r="Y14" s="406" t="s">
        <v>6</v>
      </c>
      <c r="Z14" s="406" t="s">
        <v>6</v>
      </c>
      <c r="AA14" s="406" t="s">
        <v>6</v>
      </c>
      <c r="AB14" s="406" t="s">
        <v>6</v>
      </c>
      <c r="AC14" s="406" t="s">
        <v>77</v>
      </c>
      <c r="AD14" s="406" t="s">
        <v>6</v>
      </c>
      <c r="AE14" s="406" t="s">
        <v>7</v>
      </c>
      <c r="AF14" s="460" t="s">
        <v>1403</v>
      </c>
      <c r="AG14" s="275" t="s">
        <v>1878</v>
      </c>
      <c r="AH14" s="462"/>
      <c r="AI14" s="462"/>
      <c r="AJ14" s="15"/>
    </row>
    <row r="15" spans="1:36" ht="12.75" customHeight="1" x14ac:dyDescent="0.2">
      <c r="A15" s="409" t="s">
        <v>277</v>
      </c>
      <c r="B15" s="467"/>
      <c r="C15" s="196" t="s">
        <v>50</v>
      </c>
      <c r="D15" s="328" t="s">
        <v>914</v>
      </c>
      <c r="E15" s="406" t="s">
        <v>7</v>
      </c>
      <c r="F15" s="406" t="s">
        <v>1407</v>
      </c>
      <c r="G15" s="406" t="s">
        <v>1408</v>
      </c>
      <c r="H15" s="406" t="s">
        <v>6</v>
      </c>
      <c r="I15" s="406" t="s">
        <v>6</v>
      </c>
      <c r="J15" s="406" t="s">
        <v>6</v>
      </c>
      <c r="K15" s="406" t="s">
        <v>6</v>
      </c>
      <c r="L15" s="406" t="s">
        <v>6</v>
      </c>
      <c r="M15" s="406" t="s">
        <v>6</v>
      </c>
      <c r="N15" s="406" t="s">
        <v>6</v>
      </c>
      <c r="O15" s="406" t="s">
        <v>6</v>
      </c>
      <c r="P15" s="406" t="s">
        <v>6</v>
      </c>
      <c r="Q15" s="406" t="s">
        <v>77</v>
      </c>
      <c r="R15" s="406" t="s">
        <v>6</v>
      </c>
      <c r="S15" s="406" t="s">
        <v>6</v>
      </c>
      <c r="T15" s="406" t="s">
        <v>6</v>
      </c>
      <c r="U15" s="406" t="s">
        <v>6</v>
      </c>
      <c r="V15" s="406" t="s">
        <v>77</v>
      </c>
      <c r="W15" s="406" t="s">
        <v>77</v>
      </c>
      <c r="X15" s="406" t="s">
        <v>6</v>
      </c>
      <c r="Y15" s="406" t="s">
        <v>6</v>
      </c>
      <c r="Z15" s="406" t="s">
        <v>6</v>
      </c>
      <c r="AA15" s="406" t="s">
        <v>6</v>
      </c>
      <c r="AB15" s="406" t="s">
        <v>6</v>
      </c>
      <c r="AC15" s="406" t="s">
        <v>77</v>
      </c>
      <c r="AD15" s="406" t="s">
        <v>6</v>
      </c>
      <c r="AE15" s="406" t="s">
        <v>7</v>
      </c>
      <c r="AF15" s="460" t="s">
        <v>1403</v>
      </c>
      <c r="AG15" s="275" t="s">
        <v>1878</v>
      </c>
      <c r="AH15" s="462"/>
      <c r="AI15" s="462"/>
      <c r="AJ15" s="15"/>
    </row>
    <row r="16" spans="1:36" ht="12.75" customHeight="1" x14ac:dyDescent="0.2">
      <c r="A16" s="409" t="s">
        <v>277</v>
      </c>
      <c r="B16" s="467"/>
      <c r="C16" s="196" t="s">
        <v>50</v>
      </c>
      <c r="D16" s="328" t="s">
        <v>914</v>
      </c>
      <c r="E16" s="406" t="s">
        <v>7</v>
      </c>
      <c r="F16" s="406" t="s">
        <v>1407</v>
      </c>
      <c r="G16" s="406" t="s">
        <v>1404</v>
      </c>
      <c r="H16" s="406" t="s">
        <v>6</v>
      </c>
      <c r="I16" s="406" t="s">
        <v>6</v>
      </c>
      <c r="J16" s="406" t="s">
        <v>6</v>
      </c>
      <c r="K16" s="406" t="s">
        <v>6</v>
      </c>
      <c r="L16" s="406" t="s">
        <v>6</v>
      </c>
      <c r="M16" s="406" t="s">
        <v>6</v>
      </c>
      <c r="N16" s="406" t="s">
        <v>6</v>
      </c>
      <c r="O16" s="406" t="s">
        <v>6</v>
      </c>
      <c r="P16" s="406" t="s">
        <v>6</v>
      </c>
      <c r="Q16" s="406" t="s">
        <v>77</v>
      </c>
      <c r="R16" s="406" t="s">
        <v>6</v>
      </c>
      <c r="S16" s="406" t="s">
        <v>6</v>
      </c>
      <c r="T16" s="406" t="s">
        <v>6</v>
      </c>
      <c r="U16" s="406" t="s">
        <v>6</v>
      </c>
      <c r="V16" s="406" t="s">
        <v>77</v>
      </c>
      <c r="W16" s="406" t="s">
        <v>77</v>
      </c>
      <c r="X16" s="406" t="s">
        <v>6</v>
      </c>
      <c r="Y16" s="406" t="s">
        <v>6</v>
      </c>
      <c r="Z16" s="406" t="s">
        <v>6</v>
      </c>
      <c r="AA16" s="406" t="s">
        <v>6</v>
      </c>
      <c r="AB16" s="406" t="s">
        <v>6</v>
      </c>
      <c r="AC16" s="406" t="s">
        <v>77</v>
      </c>
      <c r="AD16" s="406" t="s">
        <v>6</v>
      </c>
      <c r="AE16" s="406" t="s">
        <v>7</v>
      </c>
      <c r="AF16" s="460" t="s">
        <v>1403</v>
      </c>
      <c r="AG16" s="275" t="s">
        <v>1878</v>
      </c>
      <c r="AH16" s="462"/>
      <c r="AI16" s="462"/>
      <c r="AJ16" s="15"/>
    </row>
    <row r="17" spans="1:27" x14ac:dyDescent="0.2">
      <c r="A17" s="227"/>
      <c r="B17" s="227"/>
      <c r="C17" s="227"/>
      <c r="D17" s="227"/>
      <c r="E17" s="227"/>
      <c r="F17" s="227"/>
      <c r="G17" s="227"/>
      <c r="H17" s="227"/>
      <c r="I17" s="227"/>
      <c r="J17" s="227"/>
      <c r="K17" s="227"/>
      <c r="L17" s="227"/>
      <c r="M17" s="227"/>
      <c r="N17" s="227"/>
      <c r="O17" s="227"/>
      <c r="P17" s="227"/>
      <c r="Q17" s="227"/>
      <c r="R17" s="227"/>
      <c r="S17" s="227"/>
      <c r="T17" s="227"/>
      <c r="U17" s="227"/>
      <c r="V17" s="227"/>
      <c r="W17" s="227"/>
      <c r="X17" s="227"/>
      <c r="Y17" s="227"/>
      <c r="Z17" s="227"/>
      <c r="AA17" s="227"/>
    </row>
    <row r="18" spans="1:27" x14ac:dyDescent="0.2">
      <c r="A18" s="227"/>
      <c r="B18" s="227"/>
      <c r="C18" s="277"/>
      <c r="D18" s="277"/>
      <c r="E18" s="277"/>
      <c r="F18" s="277"/>
      <c r="G18" s="277"/>
      <c r="H18" s="277"/>
      <c r="I18" s="277"/>
      <c r="J18" s="277"/>
      <c r="K18" s="278"/>
      <c r="L18" s="358"/>
      <c r="M18" s="356"/>
      <c r="N18" s="358"/>
      <c r="O18" s="356"/>
      <c r="P18" s="366"/>
      <c r="Q18" s="227"/>
      <c r="R18" s="227"/>
      <c r="S18" s="227"/>
      <c r="T18" s="227"/>
      <c r="U18" s="227"/>
      <c r="V18" s="227"/>
      <c r="W18" s="227"/>
      <c r="X18" s="227"/>
      <c r="Y18" s="227"/>
      <c r="Z18" s="227"/>
      <c r="AA18" s="227"/>
    </row>
    <row r="19" spans="1:27" x14ac:dyDescent="0.2">
      <c r="A19" s="277"/>
      <c r="B19" s="277"/>
      <c r="C19" s="277"/>
      <c r="D19" s="277"/>
      <c r="E19" s="277"/>
      <c r="F19" s="277"/>
      <c r="G19" s="277"/>
      <c r="H19" s="277"/>
      <c r="I19" s="277"/>
      <c r="J19" s="277"/>
      <c r="K19" s="278"/>
      <c r="L19" s="358"/>
      <c r="M19" s="356"/>
      <c r="N19" s="358"/>
      <c r="O19" s="356"/>
      <c r="P19" s="366"/>
      <c r="Q19" s="227"/>
      <c r="R19" s="227"/>
      <c r="S19" s="227"/>
      <c r="T19" s="227"/>
      <c r="U19" s="227"/>
      <c r="V19" s="227"/>
      <c r="W19" s="227"/>
      <c r="X19" s="227"/>
      <c r="Y19" s="227"/>
      <c r="Z19" s="227"/>
      <c r="AA19" s="227"/>
    </row>
    <row r="20" spans="1:27" x14ac:dyDescent="0.2">
      <c r="A20" s="277"/>
      <c r="B20" s="277"/>
      <c r="C20" s="277"/>
      <c r="D20" s="277"/>
      <c r="E20" s="277"/>
      <c r="F20" s="277"/>
      <c r="G20" s="277"/>
      <c r="H20" s="277"/>
      <c r="I20" s="277"/>
      <c r="J20" s="277"/>
      <c r="K20" s="278"/>
      <c r="L20" s="358"/>
      <c r="M20" s="356"/>
      <c r="N20" s="358"/>
      <c r="O20" s="356"/>
      <c r="P20" s="366"/>
      <c r="Q20" s="227"/>
      <c r="R20" s="227"/>
      <c r="S20" s="227"/>
      <c r="T20" s="227"/>
      <c r="U20" s="227"/>
      <c r="V20" s="227"/>
      <c r="W20" s="227"/>
      <c r="X20" s="227"/>
      <c r="Y20" s="227"/>
      <c r="Z20" s="227"/>
      <c r="AA20" s="227"/>
    </row>
    <row r="21" spans="1:27" x14ac:dyDescent="0.2">
      <c r="A21" s="358"/>
      <c r="B21" s="358"/>
      <c r="C21" s="356"/>
      <c r="D21" s="358"/>
      <c r="E21" s="356"/>
      <c r="F21" s="393"/>
      <c r="G21" s="364"/>
      <c r="H21" s="364"/>
      <c r="I21" s="367"/>
      <c r="J21" s="358"/>
      <c r="K21" s="356"/>
      <c r="L21" s="358"/>
      <c r="M21" s="356"/>
      <c r="N21" s="358"/>
      <c r="O21" s="356"/>
      <c r="P21" s="366"/>
      <c r="Q21" s="227"/>
      <c r="R21" s="227"/>
      <c r="S21" s="227"/>
      <c r="T21" s="227"/>
      <c r="U21" s="227"/>
      <c r="V21" s="227"/>
      <c r="W21" s="227"/>
      <c r="X21" s="227"/>
      <c r="Y21" s="227"/>
      <c r="Z21" s="227"/>
      <c r="AA21" s="227"/>
    </row>
    <row r="22" spans="1:27" x14ac:dyDescent="0.2">
      <c r="A22" s="358"/>
      <c r="B22" s="358"/>
      <c r="C22" s="356"/>
      <c r="D22" s="358"/>
      <c r="E22" s="356"/>
      <c r="F22" s="393"/>
      <c r="G22" s="364"/>
      <c r="H22" s="364"/>
      <c r="I22" s="367"/>
      <c r="J22" s="358"/>
      <c r="K22" s="356"/>
      <c r="L22" s="358"/>
      <c r="M22" s="356"/>
      <c r="N22" s="358"/>
      <c r="O22" s="356"/>
      <c r="P22" s="366"/>
      <c r="Q22" s="227"/>
      <c r="R22" s="227"/>
      <c r="S22" s="227"/>
      <c r="T22" s="227"/>
      <c r="U22" s="227"/>
      <c r="V22" s="227"/>
      <c r="W22" s="227"/>
      <c r="X22" s="227"/>
      <c r="Y22" s="227"/>
      <c r="Z22" s="227"/>
      <c r="AA22" s="227"/>
    </row>
    <row r="23" spans="1:27" x14ac:dyDescent="0.2">
      <c r="A23" s="358"/>
      <c r="B23" s="358"/>
      <c r="C23" s="356"/>
      <c r="D23" s="358"/>
      <c r="E23" s="356"/>
      <c r="F23" s="393"/>
      <c r="G23" s="364"/>
      <c r="H23" s="364"/>
      <c r="I23" s="367"/>
      <c r="J23" s="358"/>
      <c r="K23" s="356"/>
      <c r="L23" s="358"/>
      <c r="M23" s="356"/>
      <c r="N23" s="358"/>
      <c r="O23" s="356"/>
      <c r="P23" s="366"/>
      <c r="Q23" s="227"/>
      <c r="R23" s="227"/>
      <c r="S23" s="227"/>
      <c r="T23" s="227"/>
      <c r="U23" s="227"/>
      <c r="V23" s="227"/>
      <c r="W23" s="227"/>
      <c r="X23" s="227"/>
      <c r="Y23" s="227"/>
      <c r="Z23" s="227"/>
      <c r="AA23" s="227"/>
    </row>
    <row r="24" spans="1:27" x14ac:dyDescent="0.2">
      <c r="A24" s="358"/>
      <c r="B24" s="358"/>
      <c r="C24" s="356"/>
      <c r="D24" s="358"/>
      <c r="E24" s="356"/>
      <c r="F24" s="393"/>
      <c r="G24" s="364"/>
      <c r="H24" s="364"/>
      <c r="I24" s="367"/>
      <c r="J24" s="358"/>
      <c r="K24" s="356"/>
      <c r="L24" s="358"/>
      <c r="M24" s="356"/>
      <c r="N24" s="358"/>
      <c r="O24" s="356"/>
      <c r="P24" s="366"/>
      <c r="Q24" s="227"/>
      <c r="R24" s="227"/>
      <c r="S24" s="227"/>
      <c r="T24" s="227"/>
      <c r="U24" s="227"/>
      <c r="V24" s="227"/>
      <c r="W24" s="227"/>
      <c r="X24" s="227"/>
      <c r="Y24" s="227"/>
      <c r="Z24" s="227"/>
      <c r="AA24" s="227"/>
    </row>
    <row r="25" spans="1:27" x14ac:dyDescent="0.2">
      <c r="A25" s="390"/>
      <c r="B25" s="390"/>
      <c r="C25" s="391"/>
      <c r="D25" s="392"/>
      <c r="E25" s="392"/>
      <c r="F25" s="393"/>
      <c r="G25" s="364"/>
      <c r="H25" s="359"/>
      <c r="I25" s="359"/>
      <c r="J25" s="360"/>
      <c r="K25" s="360"/>
      <c r="L25" s="361"/>
      <c r="M25" s="361"/>
      <c r="N25" s="362"/>
      <c r="O25" s="363"/>
      <c r="P25" s="366"/>
      <c r="Q25" s="227"/>
      <c r="R25" s="227"/>
      <c r="S25" s="227"/>
      <c r="T25" s="227"/>
      <c r="U25" s="227"/>
      <c r="V25" s="227"/>
      <c r="W25" s="227"/>
      <c r="X25" s="227"/>
      <c r="Y25" s="227"/>
      <c r="Z25" s="227"/>
      <c r="AA25" s="227"/>
    </row>
    <row r="26" spans="1:27" x14ac:dyDescent="0.2">
      <c r="A26" s="358"/>
      <c r="B26" s="358"/>
      <c r="C26" s="358"/>
      <c r="D26" s="358"/>
      <c r="E26" s="358"/>
      <c r="F26" s="393"/>
      <c r="G26" s="364"/>
      <c r="H26" s="358"/>
      <c r="I26" s="358"/>
      <c r="J26" s="358"/>
      <c r="K26" s="358"/>
      <c r="L26" s="358"/>
      <c r="M26" s="358"/>
      <c r="N26" s="358"/>
      <c r="O26" s="358"/>
      <c r="P26" s="366"/>
      <c r="Q26" s="227"/>
      <c r="R26" s="227"/>
      <c r="S26" s="227"/>
      <c r="T26" s="227"/>
      <c r="U26" s="227"/>
      <c r="V26" s="227"/>
      <c r="W26" s="227"/>
      <c r="X26" s="227"/>
      <c r="Y26" s="227"/>
      <c r="Z26" s="227"/>
      <c r="AA26" s="227"/>
    </row>
    <row r="27" spans="1:27" x14ac:dyDescent="0.2">
      <c r="A27" s="358"/>
      <c r="B27" s="358"/>
      <c r="C27" s="358"/>
      <c r="D27" s="358"/>
      <c r="E27" s="358"/>
      <c r="F27" s="393"/>
      <c r="G27" s="364"/>
      <c r="H27" s="358"/>
      <c r="I27" s="358"/>
      <c r="J27" s="358"/>
      <c r="K27" s="358"/>
      <c r="L27" s="358"/>
      <c r="M27" s="358"/>
      <c r="N27" s="358"/>
      <c r="O27" s="358"/>
      <c r="P27" s="366"/>
      <c r="Q27" s="227"/>
      <c r="R27" s="227"/>
      <c r="S27" s="227"/>
      <c r="T27" s="227"/>
      <c r="U27" s="227"/>
      <c r="V27" s="227"/>
      <c r="W27" s="227"/>
      <c r="X27" s="227"/>
      <c r="Y27" s="227"/>
      <c r="Z27" s="227"/>
      <c r="AA27" s="227"/>
    </row>
    <row r="28" spans="1:27" x14ac:dyDescent="0.2">
      <c r="A28" s="358"/>
      <c r="B28" s="358"/>
      <c r="C28" s="358"/>
      <c r="D28" s="358"/>
      <c r="E28" s="358"/>
      <c r="F28" s="393"/>
      <c r="G28" s="364"/>
      <c r="H28" s="358"/>
      <c r="I28" s="358"/>
      <c r="J28" s="358"/>
      <c r="K28" s="358"/>
      <c r="L28" s="358"/>
      <c r="M28" s="358"/>
      <c r="N28" s="358"/>
      <c r="O28" s="358"/>
      <c r="P28" s="366"/>
      <c r="Q28" s="227"/>
      <c r="R28" s="227"/>
      <c r="S28" s="227"/>
      <c r="T28" s="227"/>
      <c r="U28" s="227"/>
      <c r="V28" s="227"/>
      <c r="W28" s="227"/>
      <c r="X28" s="227"/>
      <c r="Y28" s="227"/>
      <c r="Z28" s="227"/>
      <c r="AA28" s="227"/>
    </row>
    <row r="29" spans="1:27" x14ac:dyDescent="0.2">
      <c r="A29" s="358"/>
      <c r="B29" s="358"/>
      <c r="C29" s="277"/>
      <c r="D29" s="394"/>
      <c r="E29" s="358"/>
      <c r="F29" s="395"/>
      <c r="G29" s="364"/>
      <c r="H29" s="358"/>
      <c r="I29" s="358"/>
      <c r="J29" s="358"/>
      <c r="K29" s="358"/>
      <c r="L29" s="358"/>
      <c r="M29" s="358"/>
      <c r="N29" s="358"/>
      <c r="O29" s="358"/>
      <c r="P29" s="366"/>
      <c r="Q29" s="227"/>
      <c r="R29" s="227"/>
      <c r="S29" s="227"/>
      <c r="T29" s="227"/>
      <c r="U29" s="227"/>
      <c r="V29" s="227"/>
      <c r="W29" s="227"/>
      <c r="X29" s="227"/>
      <c r="Y29" s="227"/>
      <c r="Z29" s="227"/>
      <c r="AA29" s="227"/>
    </row>
    <row r="30" spans="1:27" x14ac:dyDescent="0.2">
      <c r="A30" s="227"/>
      <c r="B30" s="227"/>
      <c r="C30" s="227"/>
      <c r="D30" s="227"/>
      <c r="E30" s="227"/>
      <c r="F30" s="227"/>
      <c r="G30" s="227"/>
      <c r="H30" s="227"/>
      <c r="I30" s="227"/>
      <c r="J30" s="227"/>
      <c r="K30" s="227"/>
      <c r="L30" s="227"/>
      <c r="M30" s="227"/>
      <c r="N30" s="227"/>
      <c r="O30" s="227"/>
      <c r="P30" s="227"/>
      <c r="Q30" s="227"/>
      <c r="R30" s="227"/>
      <c r="S30" s="227"/>
      <c r="T30" s="227"/>
      <c r="U30" s="227"/>
      <c r="V30" s="227"/>
      <c r="W30" s="227"/>
      <c r="X30" s="227"/>
      <c r="Y30" s="227"/>
      <c r="Z30" s="227"/>
      <c r="AA30" s="227"/>
    </row>
    <row r="31" spans="1:27" x14ac:dyDescent="0.2">
      <c r="A31" s="227"/>
      <c r="B31" s="227"/>
      <c r="C31" s="227"/>
      <c r="D31" s="227"/>
      <c r="E31" s="227"/>
      <c r="F31" s="227"/>
      <c r="G31" s="227"/>
      <c r="H31" s="227"/>
      <c r="I31" s="227"/>
      <c r="J31" s="227"/>
      <c r="K31" s="227"/>
      <c r="L31" s="227"/>
      <c r="M31" s="227"/>
      <c r="N31" s="227"/>
      <c r="O31" s="227"/>
      <c r="P31" s="227"/>
      <c r="Q31" s="227"/>
      <c r="R31" s="227"/>
      <c r="S31" s="227"/>
      <c r="T31" s="227"/>
      <c r="U31" s="227"/>
      <c r="V31" s="227"/>
      <c r="W31" s="227"/>
      <c r="X31" s="227"/>
      <c r="Y31" s="227"/>
      <c r="Z31" s="227"/>
      <c r="AA31" s="227"/>
    </row>
    <row r="32" spans="1:27" x14ac:dyDescent="0.2">
      <c r="A32" s="227"/>
      <c r="B32" s="227"/>
      <c r="C32" s="227"/>
      <c r="D32" s="227"/>
      <c r="E32" s="227"/>
      <c r="F32" s="227"/>
      <c r="G32" s="227"/>
      <c r="H32" s="227"/>
      <c r="I32" s="227"/>
      <c r="J32" s="227"/>
      <c r="K32" s="227"/>
      <c r="L32" s="227"/>
      <c r="M32" s="227"/>
      <c r="N32" s="227"/>
      <c r="O32" s="227"/>
      <c r="P32" s="227"/>
      <c r="Q32" s="227"/>
      <c r="R32" s="227"/>
      <c r="S32" s="227"/>
      <c r="T32" s="227"/>
      <c r="U32" s="227"/>
      <c r="V32" s="227"/>
      <c r="W32" s="227"/>
      <c r="X32" s="227"/>
      <c r="Y32" s="227"/>
      <c r="Z32" s="227"/>
      <c r="AA32" s="227"/>
    </row>
    <row r="33" spans="1:27" x14ac:dyDescent="0.2">
      <c r="A33" s="227"/>
      <c r="B33" s="227"/>
      <c r="C33" s="227"/>
      <c r="D33" s="227"/>
      <c r="E33" s="227"/>
      <c r="F33" s="227"/>
      <c r="G33" s="227"/>
      <c r="H33" s="227"/>
      <c r="I33" s="227"/>
      <c r="J33" s="227"/>
      <c r="K33" s="227"/>
      <c r="L33" s="227"/>
      <c r="M33" s="227"/>
      <c r="N33" s="227"/>
      <c r="O33" s="227"/>
      <c r="P33" s="227"/>
      <c r="Q33" s="227"/>
      <c r="R33" s="227"/>
      <c r="S33" s="227"/>
      <c r="T33" s="227"/>
      <c r="U33" s="227"/>
      <c r="V33" s="227"/>
      <c r="W33" s="227"/>
      <c r="X33" s="227"/>
      <c r="Y33" s="227"/>
      <c r="Z33" s="227"/>
      <c r="AA33" s="227"/>
    </row>
    <row r="34" spans="1:27" x14ac:dyDescent="0.2">
      <c r="N34" s="227"/>
      <c r="O34" s="227"/>
      <c r="P34" s="227"/>
      <c r="Q34" s="227"/>
      <c r="R34" s="227"/>
    </row>
    <row r="35" spans="1:27" x14ac:dyDescent="0.2">
      <c r="N35" s="227"/>
      <c r="O35" s="227"/>
      <c r="P35" s="227"/>
      <c r="Q35" s="227"/>
      <c r="R35" s="227"/>
    </row>
    <row r="36" spans="1:27" x14ac:dyDescent="0.2">
      <c r="N36" s="227"/>
      <c r="O36" s="227"/>
      <c r="P36" s="227"/>
      <c r="Q36" s="227"/>
      <c r="R36" s="227"/>
    </row>
    <row r="37" spans="1:27" x14ac:dyDescent="0.2">
      <c r="N37" s="227"/>
      <c r="O37" s="227"/>
      <c r="P37" s="227"/>
      <c r="Q37" s="227"/>
      <c r="R37" s="227"/>
    </row>
    <row r="38" spans="1:27" x14ac:dyDescent="0.2">
      <c r="N38" s="227"/>
      <c r="O38" s="227"/>
      <c r="P38" s="227"/>
      <c r="Q38" s="227"/>
      <c r="R38" s="227"/>
    </row>
    <row r="39" spans="1:27" x14ac:dyDescent="0.2">
      <c r="N39" s="227"/>
      <c r="O39" s="227"/>
      <c r="P39" s="227"/>
      <c r="Q39" s="227"/>
      <c r="R39" s="227"/>
    </row>
    <row r="40" spans="1:27" x14ac:dyDescent="0.2">
      <c r="N40" s="227"/>
      <c r="O40" s="227"/>
      <c r="P40" s="227"/>
      <c r="Q40" s="227"/>
      <c r="R40" s="227"/>
    </row>
    <row r="41" spans="1:27" x14ac:dyDescent="0.2">
      <c r="N41" s="227"/>
      <c r="O41" s="227"/>
      <c r="P41" s="227"/>
      <c r="Q41" s="227"/>
      <c r="R41" s="227"/>
    </row>
    <row r="42" spans="1:27" x14ac:dyDescent="0.2">
      <c r="N42" s="227"/>
      <c r="O42" s="227"/>
      <c r="P42" s="227"/>
      <c r="Q42" s="227"/>
      <c r="R42" s="227"/>
    </row>
    <row r="43" spans="1:27" x14ac:dyDescent="0.2">
      <c r="N43" s="227"/>
      <c r="O43" s="227"/>
      <c r="P43" s="227"/>
      <c r="Q43" s="227"/>
      <c r="R43" s="227"/>
    </row>
    <row r="44" spans="1:27" x14ac:dyDescent="0.2">
      <c r="N44" s="227"/>
      <c r="O44" s="227"/>
      <c r="P44" s="227"/>
      <c r="Q44" s="227"/>
      <c r="R44" s="227"/>
    </row>
    <row r="45" spans="1:27" x14ac:dyDescent="0.2">
      <c r="N45" s="227"/>
      <c r="O45" s="227"/>
      <c r="P45" s="227"/>
      <c r="Q45" s="227"/>
      <c r="R45" s="227"/>
    </row>
    <row r="46" spans="1:27" x14ac:dyDescent="0.2">
      <c r="N46" s="227"/>
      <c r="O46" s="227"/>
      <c r="P46" s="227"/>
      <c r="Q46" s="227"/>
      <c r="R46" s="227"/>
    </row>
    <row r="47" spans="1:27" x14ac:dyDescent="0.2">
      <c r="N47" s="227"/>
      <c r="O47" s="227"/>
      <c r="P47" s="227"/>
      <c r="Q47" s="227"/>
      <c r="R47" s="227"/>
    </row>
    <row r="48" spans="1:27" x14ac:dyDescent="0.2">
      <c r="N48" s="227"/>
      <c r="O48" s="227"/>
      <c r="P48" s="227"/>
      <c r="Q48" s="227"/>
      <c r="R48" s="227"/>
    </row>
    <row r="49" spans="14:18" x14ac:dyDescent="0.2">
      <c r="N49" s="227"/>
      <c r="O49" s="227"/>
      <c r="P49" s="227"/>
      <c r="Q49" s="227"/>
      <c r="R49" s="227"/>
    </row>
    <row r="50" spans="14:18" x14ac:dyDescent="0.2">
      <c r="N50" s="227"/>
      <c r="O50" s="227"/>
      <c r="P50" s="227"/>
      <c r="Q50" s="227"/>
      <c r="R50" s="227"/>
    </row>
    <row r="51" spans="14:18" x14ac:dyDescent="0.2">
      <c r="N51" s="227"/>
      <c r="O51" s="227"/>
      <c r="P51" s="227"/>
      <c r="Q51" s="227"/>
      <c r="R51" s="227"/>
    </row>
    <row r="52" spans="14:18" x14ac:dyDescent="0.2">
      <c r="N52" s="227"/>
      <c r="O52" s="227"/>
      <c r="P52" s="227"/>
      <c r="Q52" s="227"/>
      <c r="R52" s="227"/>
    </row>
    <row r="53" spans="14:18" x14ac:dyDescent="0.2">
      <c r="N53" s="227"/>
      <c r="O53" s="227"/>
      <c r="P53" s="227"/>
      <c r="Q53" s="227"/>
      <c r="R53" s="227"/>
    </row>
    <row r="54" spans="14:18" x14ac:dyDescent="0.2">
      <c r="N54" s="227"/>
      <c r="O54" s="227"/>
      <c r="P54" s="227"/>
      <c r="Q54" s="227"/>
      <c r="R54" s="227"/>
    </row>
    <row r="55" spans="14:18" x14ac:dyDescent="0.2">
      <c r="N55" s="227"/>
      <c r="O55" s="227"/>
      <c r="P55" s="227"/>
      <c r="Q55" s="227"/>
      <c r="R55" s="227"/>
    </row>
    <row r="56" spans="14:18" x14ac:dyDescent="0.2">
      <c r="N56" s="227"/>
      <c r="O56" s="227"/>
      <c r="P56" s="227"/>
      <c r="Q56" s="227"/>
      <c r="R56" s="227"/>
    </row>
    <row r="57" spans="14:18" x14ac:dyDescent="0.2">
      <c r="N57" s="227"/>
      <c r="O57" s="227"/>
      <c r="P57" s="227"/>
      <c r="Q57" s="227"/>
      <c r="R57" s="227"/>
    </row>
    <row r="58" spans="14:18" x14ac:dyDescent="0.2">
      <c r="N58" s="227"/>
      <c r="O58" s="227"/>
      <c r="P58" s="227"/>
      <c r="Q58" s="227"/>
      <c r="R58" s="227"/>
    </row>
    <row r="59" spans="14:18" x14ac:dyDescent="0.2">
      <c r="N59" s="227"/>
      <c r="O59" s="227"/>
      <c r="P59" s="227"/>
      <c r="Q59" s="227"/>
      <c r="R59" s="227"/>
    </row>
    <row r="60" spans="14:18" x14ac:dyDescent="0.2">
      <c r="N60" s="227"/>
      <c r="O60" s="227"/>
      <c r="P60" s="227"/>
      <c r="Q60" s="227"/>
      <c r="R60" s="227"/>
    </row>
    <row r="61" spans="14:18" x14ac:dyDescent="0.2">
      <c r="N61" s="227"/>
      <c r="O61" s="227"/>
      <c r="P61" s="227"/>
      <c r="Q61" s="227"/>
      <c r="R61" s="227"/>
    </row>
    <row r="62" spans="14:18" x14ac:dyDescent="0.2">
      <c r="N62" s="227"/>
      <c r="O62" s="227"/>
      <c r="P62" s="227"/>
      <c r="Q62" s="227"/>
      <c r="R62" s="227"/>
    </row>
    <row r="63" spans="14:18" x14ac:dyDescent="0.2">
      <c r="N63" s="227"/>
      <c r="O63" s="227"/>
      <c r="P63" s="227"/>
      <c r="Q63" s="227"/>
      <c r="R63" s="227"/>
    </row>
    <row r="64" spans="14:18" x14ac:dyDescent="0.2">
      <c r="N64" s="227"/>
      <c r="O64" s="227"/>
      <c r="P64" s="227"/>
      <c r="Q64" s="227"/>
      <c r="R64" s="227"/>
    </row>
    <row r="65" spans="14:18" x14ac:dyDescent="0.2">
      <c r="N65" s="227"/>
      <c r="O65" s="227"/>
      <c r="P65" s="227"/>
      <c r="Q65" s="227"/>
      <c r="R65" s="227"/>
    </row>
    <row r="66" spans="14:18" x14ac:dyDescent="0.2">
      <c r="N66" s="227"/>
      <c r="O66" s="227"/>
      <c r="P66" s="227"/>
      <c r="Q66" s="227"/>
      <c r="R66" s="227"/>
    </row>
    <row r="67" spans="14:18" x14ac:dyDescent="0.2">
      <c r="N67" s="227"/>
      <c r="O67" s="227"/>
      <c r="P67" s="227"/>
      <c r="Q67" s="227"/>
      <c r="R67" s="227"/>
    </row>
    <row r="68" spans="14:18" x14ac:dyDescent="0.2">
      <c r="N68" s="227"/>
      <c r="O68" s="227"/>
      <c r="P68" s="227"/>
      <c r="Q68" s="227"/>
      <c r="R68" s="227"/>
    </row>
    <row r="69" spans="14:18" x14ac:dyDescent="0.2">
      <c r="N69" s="227"/>
      <c r="O69" s="227"/>
      <c r="P69" s="227"/>
      <c r="Q69" s="227"/>
      <c r="R69" s="227"/>
    </row>
    <row r="70" spans="14:18" x14ac:dyDescent="0.2">
      <c r="N70" s="227"/>
      <c r="O70" s="227"/>
      <c r="P70" s="227"/>
      <c r="Q70" s="227"/>
      <c r="R70" s="227"/>
    </row>
    <row r="71" spans="14:18" x14ac:dyDescent="0.2">
      <c r="N71" s="227"/>
      <c r="O71" s="227"/>
      <c r="P71" s="227"/>
      <c r="Q71" s="227"/>
      <c r="R71" s="227"/>
    </row>
    <row r="72" spans="14:18" x14ac:dyDescent="0.2">
      <c r="N72" s="227"/>
      <c r="O72" s="227"/>
      <c r="P72" s="227"/>
      <c r="Q72" s="227"/>
      <c r="R72" s="227"/>
    </row>
    <row r="73" spans="14:18" x14ac:dyDescent="0.2">
      <c r="N73" s="227"/>
      <c r="O73" s="227"/>
      <c r="P73" s="227"/>
      <c r="Q73" s="227"/>
      <c r="R73" s="227"/>
    </row>
    <row r="74" spans="14:18" x14ac:dyDescent="0.2">
      <c r="N74" s="227"/>
      <c r="O74" s="227"/>
      <c r="P74" s="227"/>
      <c r="Q74" s="227"/>
      <c r="R74" s="227"/>
    </row>
    <row r="75" spans="14:18" x14ac:dyDescent="0.2">
      <c r="N75" s="227"/>
      <c r="O75" s="227"/>
      <c r="P75" s="227"/>
      <c r="Q75" s="227"/>
      <c r="R75" s="227"/>
    </row>
    <row r="76" spans="14:18" x14ac:dyDescent="0.2">
      <c r="N76" s="227"/>
      <c r="O76" s="227"/>
      <c r="P76" s="227"/>
      <c r="Q76" s="227"/>
      <c r="R76" s="227"/>
    </row>
    <row r="77" spans="14:18" x14ac:dyDescent="0.2">
      <c r="N77" s="227"/>
      <c r="O77" s="227"/>
      <c r="P77" s="227"/>
      <c r="Q77" s="227"/>
      <c r="R77" s="227"/>
    </row>
    <row r="78" spans="14:18" x14ac:dyDescent="0.2">
      <c r="N78" s="227"/>
      <c r="O78" s="227"/>
      <c r="P78" s="227"/>
      <c r="Q78" s="227"/>
      <c r="R78" s="227"/>
    </row>
    <row r="79" spans="14:18" x14ac:dyDescent="0.2">
      <c r="N79" s="227"/>
      <c r="O79" s="227"/>
      <c r="P79" s="227"/>
      <c r="Q79" s="227"/>
      <c r="R79" s="227"/>
    </row>
    <row r="80" spans="14:18" x14ac:dyDescent="0.2">
      <c r="N80" s="227"/>
      <c r="O80" s="227"/>
      <c r="P80" s="227"/>
      <c r="Q80" s="227"/>
      <c r="R80" s="227"/>
    </row>
    <row r="81" spans="14:18" x14ac:dyDescent="0.2">
      <c r="N81" s="227"/>
      <c r="O81" s="227"/>
      <c r="P81" s="227"/>
      <c r="Q81" s="227"/>
      <c r="R81" s="227"/>
    </row>
    <row r="82" spans="14:18" x14ac:dyDescent="0.2">
      <c r="N82" s="227"/>
      <c r="O82" s="227"/>
      <c r="P82" s="227"/>
      <c r="Q82" s="227"/>
      <c r="R82" s="227"/>
    </row>
    <row r="83" spans="14:18" x14ac:dyDescent="0.2">
      <c r="N83" s="227"/>
      <c r="O83" s="227"/>
      <c r="P83" s="227"/>
      <c r="Q83" s="227"/>
      <c r="R83" s="227"/>
    </row>
    <row r="84" spans="14:18" x14ac:dyDescent="0.2">
      <c r="N84" s="227"/>
      <c r="O84" s="227"/>
      <c r="P84" s="227"/>
      <c r="Q84" s="227"/>
      <c r="R84" s="227"/>
    </row>
    <row r="85" spans="14:18" x14ac:dyDescent="0.2">
      <c r="N85" s="227"/>
      <c r="O85" s="227"/>
      <c r="P85" s="227"/>
      <c r="Q85" s="227"/>
      <c r="R85" s="227"/>
    </row>
    <row r="86" spans="14:18" x14ac:dyDescent="0.2">
      <c r="N86" s="227"/>
      <c r="O86" s="227"/>
      <c r="P86" s="227"/>
      <c r="Q86" s="227"/>
      <c r="R86" s="227"/>
    </row>
    <row r="87" spans="14:18" x14ac:dyDescent="0.2">
      <c r="N87" s="227"/>
      <c r="O87" s="227"/>
      <c r="P87" s="227"/>
      <c r="Q87" s="227"/>
      <c r="R87" s="227"/>
    </row>
    <row r="88" spans="14:18" x14ac:dyDescent="0.2">
      <c r="N88" s="227"/>
      <c r="O88" s="227"/>
      <c r="P88" s="227"/>
      <c r="Q88" s="227"/>
      <c r="R88" s="227"/>
    </row>
    <row r="89" spans="14:18" x14ac:dyDescent="0.2">
      <c r="N89" s="227"/>
      <c r="O89" s="227"/>
      <c r="P89" s="227"/>
      <c r="Q89" s="227"/>
      <c r="R89" s="227"/>
    </row>
    <row r="90" spans="14:18" x14ac:dyDescent="0.2">
      <c r="N90" s="227"/>
      <c r="O90" s="227"/>
      <c r="P90" s="227"/>
      <c r="Q90" s="227"/>
      <c r="R90" s="227"/>
    </row>
    <row r="91" spans="14:18" x14ac:dyDescent="0.2">
      <c r="N91" s="227"/>
      <c r="O91" s="227"/>
      <c r="P91" s="227"/>
      <c r="Q91" s="227"/>
      <c r="R91" s="227"/>
    </row>
    <row r="92" spans="14:18" x14ac:dyDescent="0.2">
      <c r="N92" s="227"/>
      <c r="O92" s="227"/>
      <c r="P92" s="227"/>
      <c r="Q92" s="227"/>
      <c r="R92" s="227"/>
    </row>
    <row r="93" spans="14:18" x14ac:dyDescent="0.2">
      <c r="N93" s="227"/>
      <c r="O93" s="227"/>
      <c r="P93" s="227"/>
      <c r="Q93" s="227"/>
      <c r="R93" s="227"/>
    </row>
    <row r="94" spans="14:18" x14ac:dyDescent="0.2">
      <c r="N94" s="227"/>
      <c r="O94" s="227"/>
      <c r="P94" s="227"/>
      <c r="Q94" s="227"/>
      <c r="R94" s="227"/>
    </row>
    <row r="95" spans="14:18" x14ac:dyDescent="0.2">
      <c r="N95" s="227"/>
      <c r="O95" s="227"/>
      <c r="P95" s="227"/>
      <c r="Q95" s="227"/>
      <c r="R95" s="227"/>
    </row>
    <row r="96" spans="14:18" x14ac:dyDescent="0.2">
      <c r="N96" s="227"/>
      <c r="O96" s="227"/>
      <c r="P96" s="227"/>
      <c r="Q96" s="227"/>
      <c r="R96" s="227"/>
    </row>
    <row r="97" spans="14:18" x14ac:dyDescent="0.2">
      <c r="N97" s="227"/>
      <c r="O97" s="227"/>
      <c r="P97" s="227"/>
      <c r="Q97" s="227"/>
      <c r="R97" s="227"/>
    </row>
    <row r="98" spans="14:18" x14ac:dyDescent="0.2">
      <c r="N98" s="227"/>
      <c r="O98" s="227"/>
      <c r="P98" s="227"/>
      <c r="Q98" s="227"/>
      <c r="R98" s="227"/>
    </row>
    <row r="99" spans="14:18" x14ac:dyDescent="0.2">
      <c r="N99" s="227"/>
      <c r="O99" s="227"/>
      <c r="P99" s="227"/>
      <c r="Q99" s="227"/>
      <c r="R99" s="227"/>
    </row>
    <row r="100" spans="14:18" x14ac:dyDescent="0.2">
      <c r="N100" s="227"/>
      <c r="O100" s="227"/>
      <c r="P100" s="227"/>
      <c r="Q100" s="227"/>
      <c r="R100" s="227"/>
    </row>
    <row r="101" spans="14:18" x14ac:dyDescent="0.2">
      <c r="N101" s="227"/>
      <c r="O101" s="227"/>
      <c r="P101" s="227"/>
      <c r="Q101" s="227"/>
      <c r="R101" s="227"/>
    </row>
    <row r="102" spans="14:18" x14ac:dyDescent="0.2">
      <c r="N102" s="227"/>
      <c r="O102" s="227"/>
      <c r="P102" s="227"/>
      <c r="Q102" s="227"/>
      <c r="R102" s="227"/>
    </row>
    <row r="103" spans="14:18" x14ac:dyDescent="0.2">
      <c r="N103" s="227"/>
      <c r="O103" s="227"/>
      <c r="P103" s="227"/>
      <c r="Q103" s="227"/>
      <c r="R103" s="227"/>
    </row>
    <row r="104" spans="14:18" x14ac:dyDescent="0.2">
      <c r="N104" s="227"/>
      <c r="O104" s="227"/>
      <c r="P104" s="227"/>
      <c r="Q104" s="227"/>
      <c r="R104" s="227"/>
    </row>
    <row r="105" spans="14:18" x14ac:dyDescent="0.2">
      <c r="N105" s="227"/>
      <c r="O105" s="227"/>
      <c r="P105" s="227"/>
      <c r="Q105" s="227"/>
      <c r="R105" s="227"/>
    </row>
    <row r="106" spans="14:18" x14ac:dyDescent="0.2">
      <c r="N106" s="227"/>
      <c r="O106" s="227"/>
      <c r="P106" s="227"/>
      <c r="Q106" s="227"/>
      <c r="R106" s="227"/>
    </row>
    <row r="107" spans="14:18" x14ac:dyDescent="0.2">
      <c r="N107" s="227"/>
      <c r="O107" s="227"/>
      <c r="P107" s="227"/>
      <c r="Q107" s="227"/>
      <c r="R107" s="227"/>
    </row>
    <row r="108" spans="14:18" x14ac:dyDescent="0.2">
      <c r="N108" s="227"/>
      <c r="O108" s="227"/>
      <c r="P108" s="227"/>
      <c r="Q108" s="227"/>
      <c r="R108" s="227"/>
    </row>
    <row r="109" spans="14:18" x14ac:dyDescent="0.2">
      <c r="N109" s="227"/>
      <c r="O109" s="227"/>
      <c r="P109" s="227"/>
      <c r="Q109" s="227"/>
      <c r="R109" s="227"/>
    </row>
    <row r="110" spans="14:18" x14ac:dyDescent="0.2">
      <c r="N110" s="227"/>
      <c r="O110" s="227"/>
      <c r="P110" s="227"/>
      <c r="Q110" s="227"/>
      <c r="R110" s="227"/>
    </row>
    <row r="111" spans="14:18" x14ac:dyDescent="0.2">
      <c r="N111" s="227"/>
      <c r="O111" s="227"/>
      <c r="P111" s="227"/>
      <c r="Q111" s="227"/>
      <c r="R111" s="227"/>
    </row>
    <row r="112" spans="14:18" x14ac:dyDescent="0.2">
      <c r="N112" s="227"/>
      <c r="O112" s="227"/>
      <c r="P112" s="227"/>
      <c r="Q112" s="227"/>
      <c r="R112" s="227"/>
    </row>
    <row r="113" spans="14:18" x14ac:dyDescent="0.2">
      <c r="N113" s="227"/>
      <c r="O113" s="227"/>
      <c r="P113" s="227"/>
      <c r="Q113" s="227"/>
      <c r="R113" s="227"/>
    </row>
    <row r="114" spans="14:18" x14ac:dyDescent="0.2">
      <c r="N114" s="227"/>
      <c r="O114" s="227"/>
      <c r="P114" s="227"/>
      <c r="Q114" s="227"/>
      <c r="R114" s="227"/>
    </row>
    <row r="115" spans="14:18" x14ac:dyDescent="0.2">
      <c r="N115" s="227"/>
      <c r="O115" s="227"/>
      <c r="P115" s="227"/>
      <c r="Q115" s="227"/>
      <c r="R115" s="227"/>
    </row>
    <row r="116" spans="14:18" x14ac:dyDescent="0.2">
      <c r="N116" s="227"/>
      <c r="O116" s="227"/>
      <c r="P116" s="227"/>
      <c r="Q116" s="227"/>
      <c r="R116" s="227"/>
    </row>
    <row r="117" spans="14:18" x14ac:dyDescent="0.2">
      <c r="N117" s="227"/>
      <c r="O117" s="227"/>
      <c r="P117" s="227"/>
      <c r="Q117" s="227"/>
      <c r="R117" s="227"/>
    </row>
    <row r="118" spans="14:18" x14ac:dyDescent="0.2">
      <c r="N118" s="227"/>
      <c r="O118" s="227"/>
      <c r="P118" s="227"/>
      <c r="Q118" s="227"/>
      <c r="R118" s="227"/>
    </row>
    <row r="119" spans="14:18" x14ac:dyDescent="0.2">
      <c r="N119" s="227"/>
      <c r="O119" s="227"/>
      <c r="P119" s="227"/>
      <c r="Q119" s="227"/>
      <c r="R119" s="227"/>
    </row>
    <row r="120" spans="14:18" x14ac:dyDescent="0.2">
      <c r="N120" s="227"/>
      <c r="O120" s="227"/>
      <c r="P120" s="227"/>
      <c r="Q120" s="227"/>
      <c r="R120" s="227"/>
    </row>
    <row r="121" spans="14:18" x14ac:dyDescent="0.2">
      <c r="N121" s="227"/>
      <c r="O121" s="227"/>
      <c r="P121" s="227"/>
      <c r="Q121" s="227"/>
      <c r="R121" s="227"/>
    </row>
    <row r="122" spans="14:18" x14ac:dyDescent="0.2">
      <c r="N122" s="227"/>
      <c r="O122" s="227"/>
      <c r="P122" s="227"/>
      <c r="Q122" s="227"/>
      <c r="R122" s="227"/>
    </row>
    <row r="123" spans="14:18" x14ac:dyDescent="0.2">
      <c r="N123" s="227"/>
      <c r="O123" s="227"/>
      <c r="P123" s="227"/>
      <c r="Q123" s="227"/>
      <c r="R123" s="227"/>
    </row>
    <row r="124" spans="14:18" x14ac:dyDescent="0.2">
      <c r="N124" s="227"/>
      <c r="O124" s="227"/>
      <c r="P124" s="227"/>
      <c r="Q124" s="227"/>
      <c r="R124" s="227"/>
    </row>
    <row r="125" spans="14:18" x14ac:dyDescent="0.2">
      <c r="N125" s="227"/>
      <c r="O125" s="227"/>
      <c r="P125" s="227"/>
      <c r="Q125" s="227"/>
      <c r="R125" s="227"/>
    </row>
    <row r="126" spans="14:18" x14ac:dyDescent="0.2">
      <c r="N126" s="227"/>
      <c r="O126" s="227"/>
      <c r="P126" s="227"/>
      <c r="Q126" s="227"/>
      <c r="R126" s="227"/>
    </row>
    <row r="127" spans="14:18" x14ac:dyDescent="0.2">
      <c r="N127" s="227"/>
      <c r="O127" s="227"/>
      <c r="P127" s="227"/>
      <c r="Q127" s="227"/>
      <c r="R127" s="227"/>
    </row>
    <row r="128" spans="14:18" x14ac:dyDescent="0.2">
      <c r="N128" s="227"/>
      <c r="O128" s="227"/>
      <c r="P128" s="227"/>
      <c r="Q128" s="227"/>
      <c r="R128" s="227"/>
    </row>
    <row r="129" spans="14:18" x14ac:dyDescent="0.2">
      <c r="N129" s="227"/>
      <c r="O129" s="227"/>
      <c r="P129" s="227"/>
      <c r="Q129" s="227"/>
      <c r="R129" s="227"/>
    </row>
    <row r="130" spans="14:18" x14ac:dyDescent="0.2">
      <c r="N130" s="227"/>
      <c r="O130" s="227"/>
      <c r="P130" s="227"/>
      <c r="Q130" s="227"/>
      <c r="R130" s="227"/>
    </row>
    <row r="131" spans="14:18" x14ac:dyDescent="0.2">
      <c r="N131" s="227"/>
      <c r="O131" s="227"/>
      <c r="P131" s="227"/>
      <c r="Q131" s="227"/>
      <c r="R131" s="227"/>
    </row>
    <row r="132" spans="14:18" x14ac:dyDescent="0.2">
      <c r="N132" s="227"/>
      <c r="O132" s="227"/>
      <c r="P132" s="227"/>
      <c r="Q132" s="227"/>
      <c r="R132" s="227"/>
    </row>
    <row r="133" spans="14:18" x14ac:dyDescent="0.2">
      <c r="N133" s="227"/>
      <c r="O133" s="227"/>
      <c r="P133" s="227"/>
      <c r="Q133" s="227"/>
      <c r="R133" s="227"/>
    </row>
    <row r="134" spans="14:18" x14ac:dyDescent="0.2">
      <c r="N134" s="227"/>
      <c r="O134" s="227"/>
      <c r="P134" s="227"/>
      <c r="Q134" s="227"/>
      <c r="R134" s="227"/>
    </row>
    <row r="135" spans="14:18" x14ac:dyDescent="0.2">
      <c r="N135" s="227"/>
      <c r="O135" s="227"/>
      <c r="P135" s="227"/>
      <c r="Q135" s="227"/>
      <c r="R135" s="227"/>
    </row>
    <row r="136" spans="14:18" x14ac:dyDescent="0.2">
      <c r="N136" s="227"/>
      <c r="O136" s="227"/>
      <c r="P136" s="227"/>
      <c r="Q136" s="227"/>
      <c r="R136" s="227"/>
    </row>
    <row r="137" spans="14:18" x14ac:dyDescent="0.2">
      <c r="N137" s="227"/>
      <c r="O137" s="227"/>
      <c r="P137" s="227"/>
      <c r="Q137" s="227"/>
      <c r="R137" s="227"/>
    </row>
    <row r="138" spans="14:18" x14ac:dyDescent="0.2">
      <c r="N138" s="227"/>
      <c r="O138" s="227"/>
      <c r="P138" s="227"/>
      <c r="Q138" s="227"/>
      <c r="R138" s="227"/>
    </row>
    <row r="139" spans="14:18" x14ac:dyDescent="0.2">
      <c r="N139" s="227"/>
      <c r="O139" s="227"/>
      <c r="P139" s="227"/>
      <c r="Q139" s="227"/>
      <c r="R139" s="227"/>
    </row>
    <row r="140" spans="14:18" x14ac:dyDescent="0.2">
      <c r="N140" s="227"/>
      <c r="O140" s="227"/>
      <c r="P140" s="227"/>
      <c r="Q140" s="227"/>
      <c r="R140" s="227"/>
    </row>
    <row r="141" spans="14:18" x14ac:dyDescent="0.2">
      <c r="N141" s="227"/>
      <c r="O141" s="227"/>
      <c r="P141" s="227"/>
      <c r="Q141" s="227"/>
      <c r="R141" s="227"/>
    </row>
    <row r="142" spans="14:18" x14ac:dyDescent="0.2">
      <c r="N142" s="227"/>
      <c r="O142" s="227"/>
      <c r="P142" s="227"/>
      <c r="Q142" s="227"/>
      <c r="R142" s="227"/>
    </row>
    <row r="143" spans="14:18" x14ac:dyDescent="0.2">
      <c r="N143" s="227"/>
      <c r="O143" s="227"/>
      <c r="P143" s="227"/>
      <c r="Q143" s="227"/>
      <c r="R143" s="227"/>
    </row>
    <row r="144" spans="14:18" x14ac:dyDescent="0.2">
      <c r="N144" s="227"/>
      <c r="O144" s="227"/>
      <c r="P144" s="227"/>
      <c r="Q144" s="227"/>
      <c r="R144" s="227"/>
    </row>
    <row r="145" spans="14:18" x14ac:dyDescent="0.2">
      <c r="N145" s="227"/>
      <c r="O145" s="227"/>
      <c r="P145" s="227"/>
      <c r="Q145" s="227"/>
      <c r="R145" s="227"/>
    </row>
    <row r="146" spans="14:18" x14ac:dyDescent="0.2">
      <c r="N146" s="227"/>
      <c r="O146" s="227"/>
      <c r="P146" s="227"/>
      <c r="Q146" s="227"/>
      <c r="R146" s="227"/>
    </row>
    <row r="147" spans="14:18" x14ac:dyDescent="0.2">
      <c r="N147" s="227"/>
      <c r="O147" s="227"/>
      <c r="P147" s="227"/>
      <c r="Q147" s="227"/>
      <c r="R147" s="227"/>
    </row>
    <row r="148" spans="14:18" x14ac:dyDescent="0.2">
      <c r="N148" s="227"/>
      <c r="O148" s="227"/>
      <c r="P148" s="227"/>
      <c r="Q148" s="227"/>
      <c r="R148" s="227"/>
    </row>
    <row r="149" spans="14:18" x14ac:dyDescent="0.2">
      <c r="N149" s="227"/>
      <c r="O149" s="227"/>
      <c r="P149" s="227"/>
      <c r="Q149" s="227"/>
      <c r="R149" s="227"/>
    </row>
    <row r="150" spans="14:18" x14ac:dyDescent="0.2">
      <c r="N150" s="227"/>
      <c r="O150" s="227"/>
      <c r="P150" s="227"/>
      <c r="Q150" s="227"/>
      <c r="R150" s="227"/>
    </row>
    <row r="151" spans="14:18" x14ac:dyDescent="0.2">
      <c r="N151" s="227"/>
      <c r="O151" s="227"/>
      <c r="P151" s="227"/>
      <c r="Q151" s="227"/>
      <c r="R151" s="227"/>
    </row>
    <row r="152" spans="14:18" x14ac:dyDescent="0.2">
      <c r="N152" s="227"/>
      <c r="O152" s="227"/>
      <c r="P152" s="227"/>
      <c r="Q152" s="227"/>
      <c r="R152" s="227"/>
    </row>
    <row r="153" spans="14:18" x14ac:dyDescent="0.2">
      <c r="N153" s="227"/>
      <c r="O153" s="227"/>
      <c r="P153" s="227"/>
      <c r="Q153" s="227"/>
      <c r="R153" s="227"/>
    </row>
    <row r="154" spans="14:18" x14ac:dyDescent="0.2">
      <c r="N154" s="227"/>
      <c r="O154" s="227"/>
      <c r="P154" s="227"/>
      <c r="Q154" s="227"/>
      <c r="R154" s="227"/>
    </row>
    <row r="155" spans="14:18" x14ac:dyDescent="0.2">
      <c r="N155" s="227"/>
      <c r="O155" s="227"/>
      <c r="P155" s="227"/>
      <c r="Q155" s="227"/>
      <c r="R155" s="227"/>
    </row>
    <row r="156" spans="14:18" x14ac:dyDescent="0.2">
      <c r="N156" s="227"/>
      <c r="O156" s="227"/>
      <c r="P156" s="227"/>
      <c r="Q156" s="227"/>
      <c r="R156" s="227"/>
    </row>
    <row r="157" spans="14:18" x14ac:dyDescent="0.2">
      <c r="N157" s="227"/>
      <c r="O157" s="227"/>
      <c r="P157" s="227"/>
      <c r="Q157" s="227"/>
      <c r="R157" s="227"/>
    </row>
    <row r="158" spans="14:18" x14ac:dyDescent="0.2">
      <c r="N158" s="227"/>
      <c r="O158" s="227"/>
      <c r="P158" s="227"/>
      <c r="Q158" s="227"/>
      <c r="R158" s="227"/>
    </row>
    <row r="159" spans="14:18" x14ac:dyDescent="0.2">
      <c r="N159" s="227"/>
      <c r="O159" s="227"/>
      <c r="P159" s="227"/>
      <c r="Q159" s="227"/>
      <c r="R159" s="227"/>
    </row>
    <row r="160" spans="14:18" x14ac:dyDescent="0.2">
      <c r="N160" s="227"/>
      <c r="O160" s="227"/>
      <c r="P160" s="227"/>
      <c r="Q160" s="227"/>
      <c r="R160" s="227"/>
    </row>
    <row r="161" spans="14:18" x14ac:dyDescent="0.2">
      <c r="N161" s="227"/>
      <c r="O161" s="227"/>
      <c r="P161" s="227"/>
      <c r="Q161" s="227"/>
      <c r="R161" s="227"/>
    </row>
    <row r="162" spans="14:18" x14ac:dyDescent="0.2">
      <c r="N162" s="227"/>
      <c r="O162" s="227"/>
      <c r="P162" s="227"/>
      <c r="Q162" s="227"/>
      <c r="R162" s="227"/>
    </row>
    <row r="163" spans="14:18" x14ac:dyDescent="0.2">
      <c r="N163" s="227"/>
      <c r="O163" s="227"/>
      <c r="P163" s="227"/>
      <c r="Q163" s="227"/>
      <c r="R163" s="227"/>
    </row>
    <row r="164" spans="14:18" x14ac:dyDescent="0.2">
      <c r="N164" s="227"/>
      <c r="O164" s="227"/>
      <c r="P164" s="227"/>
      <c r="Q164" s="227"/>
      <c r="R164" s="227"/>
    </row>
    <row r="165" spans="14:18" x14ac:dyDescent="0.2">
      <c r="N165" s="227"/>
      <c r="O165" s="227"/>
      <c r="P165" s="227"/>
      <c r="Q165" s="227"/>
      <c r="R165" s="227"/>
    </row>
    <row r="166" spans="14:18" x14ac:dyDescent="0.2">
      <c r="N166" s="227"/>
      <c r="O166" s="227"/>
      <c r="P166" s="227"/>
      <c r="Q166" s="227"/>
      <c r="R166" s="227"/>
    </row>
    <row r="167" spans="14:18" x14ac:dyDescent="0.2">
      <c r="N167" s="227"/>
      <c r="O167" s="227"/>
      <c r="P167" s="227"/>
      <c r="Q167" s="227"/>
      <c r="R167" s="227"/>
    </row>
    <row r="168" spans="14:18" x14ac:dyDescent="0.2">
      <c r="N168" s="227"/>
      <c r="O168" s="227"/>
      <c r="P168" s="227"/>
      <c r="Q168" s="227"/>
      <c r="R168" s="227"/>
    </row>
    <row r="169" spans="14:18" x14ac:dyDescent="0.2">
      <c r="N169" s="227"/>
      <c r="O169" s="227"/>
      <c r="P169" s="227"/>
      <c r="Q169" s="227"/>
      <c r="R169" s="227"/>
    </row>
    <row r="170" spans="14:18" x14ac:dyDescent="0.2">
      <c r="N170" s="227"/>
      <c r="O170" s="227"/>
      <c r="P170" s="227"/>
      <c r="Q170" s="227"/>
      <c r="R170" s="227"/>
    </row>
    <row r="171" spans="14:18" x14ac:dyDescent="0.2">
      <c r="N171" s="227"/>
      <c r="O171" s="227"/>
      <c r="P171" s="227"/>
      <c r="Q171" s="227"/>
      <c r="R171" s="227"/>
    </row>
    <row r="172" spans="14:18" x14ac:dyDescent="0.2">
      <c r="N172" s="227"/>
      <c r="O172" s="227"/>
      <c r="P172" s="227"/>
      <c r="Q172" s="227"/>
      <c r="R172" s="227"/>
    </row>
    <row r="173" spans="14:18" x14ac:dyDescent="0.2">
      <c r="N173" s="227"/>
      <c r="O173" s="227"/>
      <c r="P173" s="227"/>
      <c r="Q173" s="227"/>
      <c r="R173" s="227"/>
    </row>
    <row r="174" spans="14:18" x14ac:dyDescent="0.2">
      <c r="N174" s="227"/>
      <c r="O174" s="227"/>
      <c r="P174" s="227"/>
      <c r="Q174" s="227"/>
      <c r="R174" s="227"/>
    </row>
    <row r="175" spans="14:18" x14ac:dyDescent="0.2">
      <c r="N175" s="227"/>
      <c r="O175" s="227"/>
      <c r="P175" s="227"/>
      <c r="Q175" s="227"/>
      <c r="R175" s="227"/>
    </row>
    <row r="176" spans="14:18" x14ac:dyDescent="0.2">
      <c r="N176" s="227"/>
      <c r="O176" s="227"/>
      <c r="P176" s="227"/>
      <c r="Q176" s="227"/>
      <c r="R176" s="227"/>
    </row>
    <row r="177" spans="14:18" x14ac:dyDescent="0.2">
      <c r="N177" s="227"/>
      <c r="O177" s="227"/>
      <c r="P177" s="227"/>
      <c r="Q177" s="227"/>
      <c r="R177" s="227"/>
    </row>
    <row r="178" spans="14:18" x14ac:dyDescent="0.2">
      <c r="N178" s="227"/>
      <c r="O178" s="227"/>
      <c r="P178" s="227"/>
      <c r="Q178" s="227"/>
      <c r="R178" s="227"/>
    </row>
    <row r="179" spans="14:18" x14ac:dyDescent="0.2">
      <c r="N179" s="227"/>
      <c r="O179" s="227"/>
      <c r="P179" s="227"/>
      <c r="Q179" s="227"/>
      <c r="R179" s="227"/>
    </row>
    <row r="180" spans="14:18" x14ac:dyDescent="0.2">
      <c r="N180" s="227"/>
      <c r="O180" s="227"/>
      <c r="P180" s="227"/>
      <c r="Q180" s="227"/>
      <c r="R180" s="227"/>
    </row>
    <row r="181" spans="14:18" x14ac:dyDescent="0.2">
      <c r="N181" s="227"/>
      <c r="O181" s="227"/>
      <c r="P181" s="227"/>
      <c r="Q181" s="227"/>
      <c r="R181" s="227"/>
    </row>
    <row r="182" spans="14:18" x14ac:dyDescent="0.2">
      <c r="N182" s="227"/>
      <c r="O182" s="227"/>
      <c r="P182" s="227"/>
      <c r="Q182" s="227"/>
      <c r="R182" s="227"/>
    </row>
    <row r="183" spans="14:18" x14ac:dyDescent="0.2">
      <c r="N183" s="227"/>
      <c r="O183" s="227"/>
      <c r="P183" s="227"/>
      <c r="Q183" s="227"/>
      <c r="R183" s="227"/>
    </row>
    <row r="184" spans="14:18" x14ac:dyDescent="0.2">
      <c r="N184" s="227"/>
      <c r="O184" s="227"/>
      <c r="P184" s="227"/>
      <c r="Q184" s="227"/>
      <c r="R184" s="227"/>
    </row>
    <row r="185" spans="14:18" x14ac:dyDescent="0.2">
      <c r="N185" s="227"/>
      <c r="O185" s="227"/>
      <c r="P185" s="227"/>
      <c r="Q185" s="227"/>
      <c r="R185" s="227"/>
    </row>
    <row r="186" spans="14:18" x14ac:dyDescent="0.2">
      <c r="N186" s="227"/>
      <c r="O186" s="227"/>
      <c r="P186" s="227"/>
      <c r="Q186" s="227"/>
      <c r="R186" s="227"/>
    </row>
    <row r="187" spans="14:18" x14ac:dyDescent="0.2">
      <c r="N187" s="227"/>
      <c r="O187" s="227"/>
      <c r="P187" s="227"/>
      <c r="Q187" s="227"/>
      <c r="R187" s="227"/>
    </row>
    <row r="188" spans="14:18" x14ac:dyDescent="0.2">
      <c r="N188" s="227"/>
      <c r="O188" s="227"/>
      <c r="P188" s="227"/>
      <c r="Q188" s="227"/>
      <c r="R188" s="227"/>
    </row>
    <row r="189" spans="14:18" x14ac:dyDescent="0.2">
      <c r="N189" s="227"/>
      <c r="O189" s="227"/>
      <c r="P189" s="227"/>
      <c r="Q189" s="227"/>
      <c r="R189" s="227"/>
    </row>
    <row r="190" spans="14:18" x14ac:dyDescent="0.2">
      <c r="N190" s="227"/>
      <c r="O190" s="227"/>
      <c r="P190" s="227"/>
      <c r="Q190" s="227"/>
      <c r="R190" s="227"/>
    </row>
    <row r="191" spans="14:18" x14ac:dyDescent="0.2">
      <c r="N191" s="227"/>
      <c r="O191" s="227"/>
      <c r="P191" s="227"/>
      <c r="Q191" s="227"/>
      <c r="R191" s="227"/>
    </row>
    <row r="192" spans="14:18" x14ac:dyDescent="0.2">
      <c r="N192" s="227"/>
      <c r="O192" s="227"/>
      <c r="P192" s="227"/>
      <c r="Q192" s="227"/>
      <c r="R192" s="227"/>
    </row>
    <row r="193" spans="14:18" x14ac:dyDescent="0.2">
      <c r="N193" s="227"/>
      <c r="O193" s="227"/>
      <c r="P193" s="227"/>
      <c r="Q193" s="227"/>
      <c r="R193" s="227"/>
    </row>
    <row r="194" spans="14:18" x14ac:dyDescent="0.2">
      <c r="N194" s="227"/>
      <c r="O194" s="227"/>
      <c r="P194" s="227"/>
      <c r="Q194" s="227"/>
      <c r="R194" s="227"/>
    </row>
    <row r="195" spans="14:18" x14ac:dyDescent="0.2">
      <c r="N195" s="227"/>
      <c r="O195" s="227"/>
      <c r="P195" s="227"/>
      <c r="Q195" s="227"/>
      <c r="R195" s="227"/>
    </row>
    <row r="196" spans="14:18" x14ac:dyDescent="0.2">
      <c r="N196" s="227"/>
      <c r="O196" s="227"/>
      <c r="P196" s="227"/>
      <c r="Q196" s="227"/>
      <c r="R196" s="227"/>
    </row>
    <row r="197" spans="14:18" x14ac:dyDescent="0.2">
      <c r="N197" s="227"/>
      <c r="O197" s="227"/>
      <c r="P197" s="227"/>
      <c r="Q197" s="227"/>
      <c r="R197" s="227"/>
    </row>
    <row r="198" spans="14:18" x14ac:dyDescent="0.2">
      <c r="N198" s="227"/>
      <c r="O198" s="227"/>
      <c r="P198" s="227"/>
      <c r="Q198" s="227"/>
      <c r="R198" s="227"/>
    </row>
    <row r="199" spans="14:18" x14ac:dyDescent="0.2">
      <c r="N199" s="227"/>
      <c r="O199" s="227"/>
      <c r="P199" s="227"/>
      <c r="Q199" s="227"/>
      <c r="R199" s="227"/>
    </row>
    <row r="200" spans="14:18" x14ac:dyDescent="0.2">
      <c r="N200" s="227"/>
      <c r="O200" s="227"/>
      <c r="P200" s="227"/>
      <c r="Q200" s="227"/>
      <c r="R200" s="227"/>
    </row>
    <row r="201" spans="14:18" x14ac:dyDescent="0.2">
      <c r="N201" s="227"/>
      <c r="O201" s="227"/>
      <c r="P201" s="227"/>
      <c r="Q201" s="227"/>
      <c r="R201" s="227"/>
    </row>
    <row r="202" spans="14:18" x14ac:dyDescent="0.2">
      <c r="N202" s="227"/>
      <c r="O202" s="227"/>
      <c r="P202" s="227"/>
      <c r="Q202" s="227"/>
      <c r="R202" s="227"/>
    </row>
    <row r="203" spans="14:18" x14ac:dyDescent="0.2">
      <c r="N203" s="227"/>
      <c r="O203" s="227"/>
      <c r="P203" s="227"/>
      <c r="Q203" s="227"/>
      <c r="R203" s="227"/>
    </row>
    <row r="204" spans="14:18" x14ac:dyDescent="0.2">
      <c r="N204" s="227"/>
      <c r="O204" s="227"/>
      <c r="P204" s="227"/>
      <c r="Q204" s="227"/>
      <c r="R204" s="227"/>
    </row>
    <row r="205" spans="14:18" x14ac:dyDescent="0.2">
      <c r="N205" s="227"/>
      <c r="O205" s="227"/>
      <c r="P205" s="227"/>
      <c r="Q205" s="227"/>
      <c r="R205" s="227"/>
    </row>
    <row r="206" spans="14:18" x14ac:dyDescent="0.2">
      <c r="N206" s="227"/>
      <c r="O206" s="227"/>
      <c r="P206" s="227"/>
      <c r="Q206" s="227"/>
      <c r="R206" s="227"/>
    </row>
    <row r="207" spans="14:18" x14ac:dyDescent="0.2">
      <c r="N207" s="227"/>
      <c r="O207" s="227"/>
      <c r="P207" s="227"/>
      <c r="Q207" s="227"/>
      <c r="R207" s="227"/>
    </row>
    <row r="208" spans="14:18" x14ac:dyDescent="0.2">
      <c r="N208" s="227"/>
      <c r="O208" s="227"/>
      <c r="P208" s="227"/>
      <c r="Q208" s="227"/>
      <c r="R208" s="227"/>
    </row>
    <row r="209" spans="14:18" x14ac:dyDescent="0.2">
      <c r="N209" s="227"/>
      <c r="O209" s="227"/>
      <c r="P209" s="227"/>
      <c r="Q209" s="227"/>
      <c r="R209" s="227"/>
    </row>
    <row r="210" spans="14:18" x14ac:dyDescent="0.2">
      <c r="N210" s="227"/>
      <c r="O210" s="227"/>
      <c r="P210" s="227"/>
      <c r="Q210" s="227"/>
      <c r="R210" s="227"/>
    </row>
    <row r="211" spans="14:18" x14ac:dyDescent="0.2">
      <c r="N211" s="227"/>
      <c r="O211" s="227"/>
      <c r="P211" s="227"/>
      <c r="Q211" s="227"/>
      <c r="R211" s="227"/>
    </row>
    <row r="212" spans="14:18" x14ac:dyDescent="0.2">
      <c r="N212" s="227"/>
      <c r="O212" s="227"/>
      <c r="P212" s="227"/>
      <c r="Q212" s="227"/>
      <c r="R212" s="227"/>
    </row>
    <row r="213" spans="14:18" x14ac:dyDescent="0.2">
      <c r="N213" s="227"/>
      <c r="O213" s="227"/>
      <c r="P213" s="227"/>
      <c r="Q213" s="227"/>
      <c r="R213" s="227"/>
    </row>
    <row r="214" spans="14:18" x14ac:dyDescent="0.2">
      <c r="N214" s="227"/>
      <c r="O214" s="227"/>
      <c r="P214" s="227"/>
      <c r="Q214" s="227"/>
      <c r="R214" s="227"/>
    </row>
    <row r="215" spans="14:18" x14ac:dyDescent="0.2">
      <c r="N215" s="227"/>
      <c r="O215" s="227"/>
      <c r="P215" s="227"/>
      <c r="Q215" s="227"/>
      <c r="R215" s="227"/>
    </row>
    <row r="216" spans="14:18" x14ac:dyDescent="0.2">
      <c r="N216" s="227"/>
      <c r="O216" s="227"/>
      <c r="P216" s="227"/>
      <c r="Q216" s="227"/>
      <c r="R216" s="227"/>
    </row>
    <row r="217" spans="14:18" x14ac:dyDescent="0.2">
      <c r="N217" s="227"/>
      <c r="O217" s="227"/>
      <c r="P217" s="227"/>
      <c r="Q217" s="227"/>
      <c r="R217" s="227"/>
    </row>
    <row r="218" spans="14:18" x14ac:dyDescent="0.2">
      <c r="N218" s="227"/>
      <c r="O218" s="227"/>
      <c r="P218" s="227"/>
      <c r="Q218" s="227"/>
      <c r="R218" s="227"/>
    </row>
    <row r="219" spans="14:18" x14ac:dyDescent="0.2">
      <c r="N219" s="227"/>
      <c r="O219" s="227"/>
      <c r="P219" s="227"/>
      <c r="Q219" s="227"/>
      <c r="R219" s="227"/>
    </row>
    <row r="220" spans="14:18" x14ac:dyDescent="0.2">
      <c r="N220" s="227"/>
      <c r="O220" s="227"/>
      <c r="P220" s="227"/>
      <c r="Q220" s="227"/>
      <c r="R220" s="227"/>
    </row>
    <row r="221" spans="14:18" x14ac:dyDescent="0.2">
      <c r="N221" s="227"/>
      <c r="O221" s="227"/>
      <c r="P221" s="227"/>
      <c r="Q221" s="227"/>
      <c r="R221" s="227"/>
    </row>
    <row r="222" spans="14:18" x14ac:dyDescent="0.2">
      <c r="N222" s="227"/>
      <c r="O222" s="227"/>
      <c r="P222" s="227"/>
      <c r="Q222" s="227"/>
      <c r="R222" s="227"/>
    </row>
    <row r="223" spans="14:18" x14ac:dyDescent="0.2">
      <c r="N223" s="227"/>
      <c r="O223" s="227"/>
      <c r="P223" s="227"/>
      <c r="Q223" s="227"/>
      <c r="R223" s="227"/>
    </row>
    <row r="224" spans="14:18" x14ac:dyDescent="0.2">
      <c r="N224" s="227"/>
      <c r="O224" s="227"/>
      <c r="P224" s="227"/>
      <c r="Q224" s="227"/>
      <c r="R224" s="227"/>
    </row>
    <row r="225" spans="14:18" x14ac:dyDescent="0.2">
      <c r="N225" s="227"/>
      <c r="O225" s="227"/>
      <c r="P225" s="227"/>
      <c r="Q225" s="227"/>
      <c r="R225" s="227"/>
    </row>
    <row r="226" spans="14:18" x14ac:dyDescent="0.2">
      <c r="N226" s="227"/>
      <c r="O226" s="227"/>
      <c r="P226" s="227"/>
      <c r="Q226" s="227"/>
      <c r="R226" s="227"/>
    </row>
    <row r="227" spans="14:18" x14ac:dyDescent="0.2">
      <c r="N227" s="227"/>
      <c r="O227" s="227"/>
      <c r="P227" s="227"/>
      <c r="Q227" s="227"/>
      <c r="R227" s="227"/>
    </row>
    <row r="228" spans="14:18" x14ac:dyDescent="0.2">
      <c r="N228" s="227"/>
      <c r="O228" s="227"/>
      <c r="P228" s="227"/>
      <c r="Q228" s="227"/>
      <c r="R228" s="227"/>
    </row>
    <row r="229" spans="14:18" x14ac:dyDescent="0.2">
      <c r="N229" s="227"/>
      <c r="O229" s="227"/>
      <c r="P229" s="227"/>
      <c r="Q229" s="227"/>
      <c r="R229" s="227"/>
    </row>
    <row r="230" spans="14:18" x14ac:dyDescent="0.2">
      <c r="N230" s="227"/>
      <c r="O230" s="227"/>
      <c r="P230" s="227"/>
      <c r="Q230" s="227"/>
      <c r="R230" s="227"/>
    </row>
    <row r="231" spans="14:18" x14ac:dyDescent="0.2">
      <c r="N231" s="227"/>
      <c r="O231" s="227"/>
      <c r="P231" s="227"/>
      <c r="Q231" s="227"/>
      <c r="R231" s="227"/>
    </row>
    <row r="232" spans="14:18" x14ac:dyDescent="0.2">
      <c r="N232" s="227"/>
      <c r="O232" s="227"/>
      <c r="P232" s="227"/>
      <c r="Q232" s="227"/>
      <c r="R232" s="227"/>
    </row>
    <row r="233" spans="14:18" x14ac:dyDescent="0.2">
      <c r="N233" s="227"/>
      <c r="O233" s="227"/>
      <c r="P233" s="227"/>
      <c r="Q233" s="227"/>
      <c r="R233" s="227"/>
    </row>
    <row r="234" spans="14:18" x14ac:dyDescent="0.2">
      <c r="N234" s="227"/>
      <c r="O234" s="227"/>
      <c r="P234" s="227"/>
      <c r="Q234" s="227"/>
      <c r="R234" s="227"/>
    </row>
    <row r="235" spans="14:18" x14ac:dyDescent="0.2">
      <c r="N235" s="227"/>
      <c r="O235" s="227"/>
      <c r="P235" s="227"/>
      <c r="Q235" s="227"/>
      <c r="R235" s="227"/>
    </row>
    <row r="236" spans="14:18" x14ac:dyDescent="0.2">
      <c r="N236" s="227"/>
      <c r="O236" s="227"/>
      <c r="P236" s="227"/>
      <c r="Q236" s="227"/>
      <c r="R236" s="227"/>
    </row>
    <row r="237" spans="14:18" x14ac:dyDescent="0.2">
      <c r="N237" s="227"/>
      <c r="O237" s="227"/>
      <c r="P237" s="227"/>
      <c r="Q237" s="227"/>
      <c r="R237" s="227"/>
    </row>
    <row r="238" spans="14:18" x14ac:dyDescent="0.2">
      <c r="N238" s="227"/>
      <c r="O238" s="227"/>
      <c r="P238" s="227"/>
      <c r="Q238" s="227"/>
      <c r="R238" s="227"/>
    </row>
    <row r="239" spans="14:18" x14ac:dyDescent="0.2">
      <c r="N239" s="227"/>
      <c r="O239" s="227"/>
      <c r="P239" s="227"/>
      <c r="Q239" s="227"/>
      <c r="R239" s="227"/>
    </row>
    <row r="240" spans="14:18" x14ac:dyDescent="0.2">
      <c r="N240" s="227"/>
      <c r="O240" s="227"/>
      <c r="P240" s="227"/>
      <c r="Q240" s="227"/>
      <c r="R240" s="227"/>
    </row>
    <row r="241" spans="14:18" x14ac:dyDescent="0.2">
      <c r="N241" s="227"/>
      <c r="O241" s="227"/>
      <c r="P241" s="227"/>
      <c r="Q241" s="227"/>
      <c r="R241" s="227"/>
    </row>
    <row r="242" spans="14:18" x14ac:dyDescent="0.2">
      <c r="N242" s="227"/>
      <c r="O242" s="227"/>
      <c r="P242" s="227"/>
      <c r="Q242" s="227"/>
      <c r="R242" s="227"/>
    </row>
    <row r="243" spans="14:18" x14ac:dyDescent="0.2">
      <c r="N243" s="227"/>
      <c r="O243" s="227"/>
      <c r="P243" s="227"/>
      <c r="Q243" s="227"/>
      <c r="R243" s="227"/>
    </row>
    <row r="244" spans="14:18" x14ac:dyDescent="0.2">
      <c r="N244" s="227"/>
      <c r="O244" s="227"/>
      <c r="P244" s="227"/>
      <c r="Q244" s="227"/>
      <c r="R244" s="227"/>
    </row>
    <row r="245" spans="14:18" x14ac:dyDescent="0.2">
      <c r="N245" s="227"/>
      <c r="O245" s="227"/>
      <c r="P245" s="227"/>
      <c r="Q245" s="227"/>
      <c r="R245" s="227"/>
    </row>
    <row r="246" spans="14:18" x14ac:dyDescent="0.2">
      <c r="N246" s="227"/>
      <c r="O246" s="227"/>
      <c r="P246" s="227"/>
      <c r="Q246" s="227"/>
      <c r="R246" s="227"/>
    </row>
    <row r="247" spans="14:18" x14ac:dyDescent="0.2">
      <c r="N247" s="227"/>
      <c r="O247" s="227"/>
      <c r="P247" s="227"/>
      <c r="Q247" s="227"/>
      <c r="R247" s="227"/>
    </row>
    <row r="248" spans="14:18" x14ac:dyDescent="0.2">
      <c r="N248" s="227"/>
      <c r="O248" s="227"/>
      <c r="P248" s="227"/>
      <c r="Q248" s="227"/>
      <c r="R248" s="227"/>
    </row>
    <row r="249" spans="14:18" x14ac:dyDescent="0.2">
      <c r="N249" s="227"/>
      <c r="O249" s="227"/>
      <c r="P249" s="227"/>
      <c r="Q249" s="227"/>
      <c r="R249" s="227"/>
    </row>
    <row r="250" spans="14:18" x14ac:dyDescent="0.2">
      <c r="N250" s="227"/>
      <c r="O250" s="227"/>
      <c r="P250" s="227"/>
      <c r="Q250" s="227"/>
      <c r="R250" s="227"/>
    </row>
    <row r="251" spans="14:18" x14ac:dyDescent="0.2">
      <c r="N251" s="227"/>
      <c r="O251" s="227"/>
      <c r="P251" s="227"/>
      <c r="Q251" s="227"/>
      <c r="R251" s="227"/>
    </row>
    <row r="252" spans="14:18" x14ac:dyDescent="0.2">
      <c r="N252" s="227"/>
      <c r="O252" s="227"/>
      <c r="P252" s="227"/>
      <c r="Q252" s="227"/>
      <c r="R252" s="227"/>
    </row>
    <row r="253" spans="14:18" x14ac:dyDescent="0.2">
      <c r="N253" s="227"/>
      <c r="O253" s="227"/>
      <c r="P253" s="227"/>
      <c r="Q253" s="227"/>
      <c r="R253" s="227"/>
    </row>
    <row r="254" spans="14:18" x14ac:dyDescent="0.2">
      <c r="N254" s="227"/>
      <c r="O254" s="227"/>
      <c r="P254" s="227"/>
      <c r="Q254" s="227"/>
      <c r="R254" s="227"/>
    </row>
    <row r="255" spans="14:18" x14ac:dyDescent="0.2">
      <c r="N255" s="227"/>
      <c r="O255" s="227"/>
      <c r="P255" s="227"/>
      <c r="Q255" s="227"/>
      <c r="R255" s="227"/>
    </row>
    <row r="256" spans="14:18" x14ac:dyDescent="0.2">
      <c r="N256" s="227"/>
      <c r="O256" s="227"/>
      <c r="P256" s="227"/>
      <c r="Q256" s="227"/>
      <c r="R256" s="227"/>
    </row>
    <row r="257" spans="14:18" x14ac:dyDescent="0.2">
      <c r="N257" s="227"/>
      <c r="O257" s="227"/>
      <c r="P257" s="227"/>
      <c r="Q257" s="227"/>
      <c r="R257" s="227"/>
    </row>
    <row r="258" spans="14:18" x14ac:dyDescent="0.2">
      <c r="N258" s="227"/>
      <c r="O258" s="227"/>
      <c r="P258" s="227"/>
      <c r="Q258" s="227"/>
      <c r="R258" s="227"/>
    </row>
    <row r="259" spans="14:18" x14ac:dyDescent="0.2">
      <c r="N259" s="227"/>
      <c r="O259" s="227"/>
      <c r="P259" s="227"/>
      <c r="Q259" s="227"/>
      <c r="R259" s="227"/>
    </row>
    <row r="260" spans="14:18" x14ac:dyDescent="0.2">
      <c r="N260" s="227"/>
      <c r="O260" s="227"/>
      <c r="P260" s="227"/>
      <c r="Q260" s="227"/>
      <c r="R260" s="227"/>
    </row>
    <row r="261" spans="14:18" x14ac:dyDescent="0.2">
      <c r="N261" s="227"/>
      <c r="O261" s="227"/>
      <c r="P261" s="227"/>
      <c r="Q261" s="227"/>
      <c r="R261" s="227"/>
    </row>
    <row r="262" spans="14:18" x14ac:dyDescent="0.2">
      <c r="N262" s="227"/>
      <c r="O262" s="227"/>
      <c r="P262" s="227"/>
      <c r="Q262" s="227"/>
      <c r="R262" s="227"/>
    </row>
    <row r="263" spans="14:18" x14ac:dyDescent="0.2">
      <c r="N263" s="227"/>
      <c r="O263" s="227"/>
      <c r="P263" s="227"/>
      <c r="Q263" s="227"/>
      <c r="R263" s="227"/>
    </row>
    <row r="264" spans="14:18" x14ac:dyDescent="0.2">
      <c r="N264" s="227"/>
      <c r="O264" s="227"/>
      <c r="P264" s="227"/>
      <c r="Q264" s="227"/>
      <c r="R264" s="227"/>
    </row>
    <row r="265" spans="14:18" x14ac:dyDescent="0.2">
      <c r="N265" s="227"/>
      <c r="O265" s="227"/>
      <c r="P265" s="227"/>
      <c r="Q265" s="227"/>
      <c r="R265" s="227"/>
    </row>
    <row r="266" spans="14:18" x14ac:dyDescent="0.2">
      <c r="N266" s="227"/>
      <c r="O266" s="227"/>
      <c r="P266" s="227"/>
      <c r="Q266" s="227"/>
      <c r="R266" s="227"/>
    </row>
    <row r="267" spans="14:18" x14ac:dyDescent="0.2">
      <c r="N267" s="227"/>
      <c r="O267" s="227"/>
      <c r="P267" s="227"/>
      <c r="Q267" s="227"/>
      <c r="R267" s="227"/>
    </row>
    <row r="268" spans="14:18" x14ac:dyDescent="0.2">
      <c r="N268" s="227"/>
      <c r="O268" s="227"/>
      <c r="P268" s="227"/>
      <c r="Q268" s="227"/>
      <c r="R268" s="227"/>
    </row>
    <row r="269" spans="14:18" x14ac:dyDescent="0.2">
      <c r="N269" s="227"/>
      <c r="O269" s="227"/>
      <c r="P269" s="227"/>
      <c r="Q269" s="227"/>
      <c r="R269" s="227"/>
    </row>
    <row r="270" spans="14:18" x14ac:dyDescent="0.2">
      <c r="N270" s="227"/>
      <c r="O270" s="227"/>
      <c r="P270" s="227"/>
      <c r="Q270" s="227"/>
      <c r="R270" s="227"/>
    </row>
    <row r="271" spans="14:18" x14ac:dyDescent="0.2">
      <c r="N271" s="227"/>
      <c r="O271" s="227"/>
      <c r="P271" s="227"/>
      <c r="Q271" s="227"/>
      <c r="R271" s="227"/>
    </row>
    <row r="272" spans="14:18" x14ac:dyDescent="0.2">
      <c r="N272" s="227"/>
      <c r="O272" s="227"/>
      <c r="P272" s="227"/>
      <c r="Q272" s="227"/>
      <c r="R272" s="227"/>
    </row>
    <row r="273" spans="14:18" x14ac:dyDescent="0.2">
      <c r="N273" s="227"/>
      <c r="O273" s="227"/>
      <c r="P273" s="227"/>
      <c r="Q273" s="227"/>
      <c r="R273" s="227"/>
    </row>
    <row r="274" spans="14:18" x14ac:dyDescent="0.2">
      <c r="N274" s="227"/>
      <c r="O274" s="227"/>
      <c r="P274" s="227"/>
      <c r="Q274" s="227"/>
      <c r="R274" s="227"/>
    </row>
    <row r="275" spans="14:18" x14ac:dyDescent="0.2">
      <c r="N275" s="227"/>
      <c r="O275" s="227"/>
      <c r="P275" s="227"/>
      <c r="Q275" s="227"/>
      <c r="R275" s="227"/>
    </row>
    <row r="276" spans="14:18" x14ac:dyDescent="0.2">
      <c r="N276" s="227"/>
      <c r="O276" s="227"/>
      <c r="P276" s="227"/>
      <c r="Q276" s="227"/>
      <c r="R276" s="227"/>
    </row>
    <row r="277" spans="14:18" x14ac:dyDescent="0.2">
      <c r="N277" s="227"/>
      <c r="O277" s="227"/>
      <c r="P277" s="227"/>
      <c r="Q277" s="227"/>
      <c r="R277" s="227"/>
    </row>
    <row r="278" spans="14:18" x14ac:dyDescent="0.2">
      <c r="N278" s="227"/>
      <c r="O278" s="227"/>
      <c r="P278" s="227"/>
      <c r="Q278" s="227"/>
      <c r="R278" s="227"/>
    </row>
    <row r="279" spans="14:18" x14ac:dyDescent="0.2">
      <c r="N279" s="227"/>
      <c r="O279" s="227"/>
      <c r="P279" s="227"/>
      <c r="Q279" s="227"/>
      <c r="R279" s="227"/>
    </row>
    <row r="280" spans="14:18" x14ac:dyDescent="0.2">
      <c r="N280" s="227"/>
      <c r="O280" s="227"/>
      <c r="P280" s="227"/>
      <c r="Q280" s="227"/>
      <c r="R280" s="227"/>
    </row>
    <row r="281" spans="14:18" x14ac:dyDescent="0.2">
      <c r="N281" s="227"/>
      <c r="O281" s="227"/>
      <c r="P281" s="227"/>
      <c r="Q281" s="227"/>
      <c r="R281" s="227"/>
    </row>
    <row r="282" spans="14:18" x14ac:dyDescent="0.2">
      <c r="N282" s="227"/>
      <c r="O282" s="227"/>
      <c r="P282" s="227"/>
      <c r="Q282" s="227"/>
      <c r="R282" s="227"/>
    </row>
    <row r="283" spans="14:18" x14ac:dyDescent="0.2">
      <c r="N283" s="227"/>
      <c r="O283" s="227"/>
      <c r="P283" s="227"/>
      <c r="Q283" s="227"/>
      <c r="R283" s="227"/>
    </row>
    <row r="284" spans="14:18" x14ac:dyDescent="0.2">
      <c r="N284" s="227"/>
      <c r="O284" s="227"/>
      <c r="P284" s="227"/>
      <c r="Q284" s="227"/>
      <c r="R284" s="227"/>
    </row>
    <row r="285" spans="14:18" x14ac:dyDescent="0.2">
      <c r="N285" s="227"/>
      <c r="O285" s="227"/>
      <c r="P285" s="227"/>
      <c r="Q285" s="227"/>
      <c r="R285" s="227"/>
    </row>
    <row r="286" spans="14:18" x14ac:dyDescent="0.2">
      <c r="N286" s="227"/>
      <c r="O286" s="227"/>
      <c r="P286" s="227"/>
      <c r="Q286" s="227"/>
      <c r="R286" s="227"/>
    </row>
    <row r="287" spans="14:18" x14ac:dyDescent="0.2">
      <c r="N287" s="227"/>
      <c r="O287" s="227"/>
      <c r="P287" s="227"/>
      <c r="Q287" s="227"/>
      <c r="R287" s="227"/>
    </row>
    <row r="288" spans="14:18" x14ac:dyDescent="0.2">
      <c r="N288" s="227"/>
      <c r="O288" s="227"/>
      <c r="P288" s="227"/>
      <c r="Q288" s="227"/>
      <c r="R288" s="227"/>
    </row>
    <row r="289" spans="14:18" x14ac:dyDescent="0.2">
      <c r="N289" s="227"/>
      <c r="O289" s="227"/>
      <c r="P289" s="227"/>
      <c r="Q289" s="227"/>
      <c r="R289" s="227"/>
    </row>
    <row r="290" spans="14:18" x14ac:dyDescent="0.2">
      <c r="N290" s="227"/>
      <c r="O290" s="227"/>
      <c r="P290" s="227"/>
      <c r="Q290" s="227"/>
      <c r="R290" s="227"/>
    </row>
    <row r="291" spans="14:18" x14ac:dyDescent="0.2">
      <c r="N291" s="227"/>
      <c r="O291" s="227"/>
      <c r="P291" s="227"/>
      <c r="Q291" s="227"/>
      <c r="R291" s="227"/>
    </row>
    <row r="292" spans="14:18" x14ac:dyDescent="0.2">
      <c r="N292" s="227"/>
      <c r="O292" s="227"/>
      <c r="P292" s="227"/>
      <c r="Q292" s="227"/>
      <c r="R292" s="227"/>
    </row>
    <row r="293" spans="14:18" x14ac:dyDescent="0.2">
      <c r="N293" s="227"/>
      <c r="O293" s="227"/>
      <c r="P293" s="227"/>
      <c r="Q293" s="227"/>
      <c r="R293" s="227"/>
    </row>
    <row r="294" spans="14:18" x14ac:dyDescent="0.2">
      <c r="N294" s="227"/>
      <c r="O294" s="227"/>
      <c r="P294" s="227"/>
      <c r="Q294" s="227"/>
      <c r="R294" s="227"/>
    </row>
    <row r="295" spans="14:18" x14ac:dyDescent="0.2">
      <c r="N295" s="227"/>
      <c r="O295" s="227"/>
      <c r="P295" s="227"/>
      <c r="Q295" s="227"/>
      <c r="R295" s="227"/>
    </row>
    <row r="296" spans="14:18" x14ac:dyDescent="0.2">
      <c r="N296" s="227"/>
      <c r="O296" s="227"/>
      <c r="P296" s="227"/>
      <c r="Q296" s="227"/>
      <c r="R296" s="227"/>
    </row>
    <row r="297" spans="14:18" x14ac:dyDescent="0.2">
      <c r="N297" s="227"/>
      <c r="O297" s="227"/>
      <c r="P297" s="227"/>
      <c r="Q297" s="227"/>
      <c r="R297" s="227"/>
    </row>
    <row r="298" spans="14:18" x14ac:dyDescent="0.2">
      <c r="N298" s="227"/>
      <c r="O298" s="227"/>
      <c r="P298" s="227"/>
      <c r="Q298" s="227"/>
      <c r="R298" s="227"/>
    </row>
    <row r="299" spans="14:18" x14ac:dyDescent="0.2">
      <c r="N299" s="227"/>
      <c r="O299" s="227"/>
      <c r="P299" s="227"/>
      <c r="Q299" s="227"/>
      <c r="R299" s="227"/>
    </row>
    <row r="300" spans="14:18" x14ac:dyDescent="0.2">
      <c r="N300" s="227"/>
      <c r="O300" s="227"/>
      <c r="P300" s="227"/>
      <c r="Q300" s="227"/>
      <c r="R300" s="227"/>
    </row>
    <row r="301" spans="14:18" x14ac:dyDescent="0.2">
      <c r="N301" s="227"/>
      <c r="O301" s="227"/>
      <c r="P301" s="227"/>
      <c r="Q301" s="227"/>
      <c r="R301" s="227"/>
    </row>
    <row r="302" spans="14:18" x14ac:dyDescent="0.2">
      <c r="N302" s="227"/>
      <c r="O302" s="227"/>
      <c r="P302" s="227"/>
      <c r="Q302" s="227"/>
      <c r="R302" s="227"/>
    </row>
    <row r="303" spans="14:18" x14ac:dyDescent="0.2">
      <c r="N303" s="227"/>
      <c r="O303" s="227"/>
      <c r="P303" s="227"/>
      <c r="Q303" s="227"/>
      <c r="R303" s="227"/>
    </row>
    <row r="304" spans="14:18" x14ac:dyDescent="0.2">
      <c r="N304" s="227"/>
      <c r="O304" s="227"/>
      <c r="P304" s="227"/>
      <c r="Q304" s="227"/>
      <c r="R304" s="227"/>
    </row>
    <row r="305" spans="14:18" x14ac:dyDescent="0.2">
      <c r="N305" s="227"/>
      <c r="O305" s="227"/>
      <c r="P305" s="227"/>
      <c r="Q305" s="227"/>
      <c r="R305" s="227"/>
    </row>
    <row r="306" spans="14:18" x14ac:dyDescent="0.2">
      <c r="N306" s="227"/>
      <c r="O306" s="227"/>
      <c r="P306" s="227"/>
      <c r="Q306" s="227"/>
      <c r="R306" s="227"/>
    </row>
    <row r="307" spans="14:18" x14ac:dyDescent="0.2">
      <c r="N307" s="227"/>
      <c r="O307" s="227"/>
      <c r="P307" s="227"/>
      <c r="Q307" s="227"/>
      <c r="R307" s="227"/>
    </row>
    <row r="308" spans="14:18" x14ac:dyDescent="0.2">
      <c r="N308" s="227"/>
      <c r="O308" s="227"/>
      <c r="P308" s="227"/>
      <c r="Q308" s="227"/>
      <c r="R308" s="227"/>
    </row>
    <row r="309" spans="14:18" x14ac:dyDescent="0.2">
      <c r="N309" s="227"/>
      <c r="O309" s="227"/>
      <c r="P309" s="227"/>
      <c r="Q309" s="227"/>
      <c r="R309" s="227"/>
    </row>
    <row r="310" spans="14:18" x14ac:dyDescent="0.2">
      <c r="N310" s="227"/>
      <c r="O310" s="227"/>
      <c r="P310" s="227"/>
      <c r="Q310" s="227"/>
      <c r="R310" s="227"/>
    </row>
    <row r="311" spans="14:18" x14ac:dyDescent="0.2">
      <c r="N311" s="227"/>
      <c r="O311" s="227"/>
      <c r="P311" s="227"/>
      <c r="Q311" s="227"/>
      <c r="R311" s="227"/>
    </row>
    <row r="312" spans="14:18" x14ac:dyDescent="0.2">
      <c r="N312" s="227"/>
      <c r="O312" s="227"/>
      <c r="P312" s="227"/>
      <c r="Q312" s="227"/>
      <c r="R312" s="227"/>
    </row>
    <row r="313" spans="14:18" x14ac:dyDescent="0.2">
      <c r="N313" s="227"/>
      <c r="O313" s="227"/>
      <c r="P313" s="227"/>
      <c r="Q313" s="227"/>
      <c r="R313" s="227"/>
    </row>
    <row r="314" spans="14:18" x14ac:dyDescent="0.2">
      <c r="N314" s="227"/>
      <c r="O314" s="227"/>
      <c r="P314" s="227"/>
      <c r="Q314" s="227"/>
      <c r="R314" s="227"/>
    </row>
    <row r="315" spans="14:18" x14ac:dyDescent="0.2">
      <c r="N315" s="227"/>
      <c r="O315" s="227"/>
      <c r="P315" s="227"/>
      <c r="Q315" s="227"/>
      <c r="R315" s="227"/>
    </row>
    <row r="316" spans="14:18" x14ac:dyDescent="0.2">
      <c r="N316" s="227"/>
      <c r="O316" s="227"/>
      <c r="P316" s="227"/>
      <c r="Q316" s="227"/>
      <c r="R316" s="227"/>
    </row>
    <row r="317" spans="14:18" x14ac:dyDescent="0.2">
      <c r="N317" s="227"/>
      <c r="O317" s="227"/>
      <c r="P317" s="227"/>
      <c r="Q317" s="227"/>
      <c r="R317" s="227"/>
    </row>
    <row r="318" spans="14:18" x14ac:dyDescent="0.2">
      <c r="N318" s="227"/>
      <c r="O318" s="227"/>
      <c r="P318" s="227"/>
      <c r="Q318" s="227"/>
      <c r="R318" s="227"/>
    </row>
    <row r="319" spans="14:18" x14ac:dyDescent="0.2">
      <c r="N319" s="227"/>
      <c r="O319" s="227"/>
      <c r="P319" s="227"/>
      <c r="Q319" s="227"/>
      <c r="R319" s="227"/>
    </row>
    <row r="320" spans="14:18" x14ac:dyDescent="0.2">
      <c r="N320" s="227"/>
      <c r="O320" s="227"/>
      <c r="P320" s="227"/>
      <c r="Q320" s="227"/>
      <c r="R320" s="227"/>
    </row>
    <row r="321" spans="14:18" x14ac:dyDescent="0.2">
      <c r="N321" s="227"/>
      <c r="O321" s="227"/>
      <c r="P321" s="227"/>
      <c r="Q321" s="227"/>
      <c r="R321" s="227"/>
    </row>
    <row r="322" spans="14:18" x14ac:dyDescent="0.2">
      <c r="N322" s="227"/>
      <c r="O322" s="227"/>
      <c r="P322" s="227"/>
      <c r="Q322" s="227"/>
      <c r="R322" s="227"/>
    </row>
    <row r="323" spans="14:18" x14ac:dyDescent="0.2">
      <c r="N323" s="227"/>
      <c r="O323" s="227"/>
      <c r="P323" s="227"/>
      <c r="Q323" s="227"/>
      <c r="R323" s="227"/>
    </row>
    <row r="324" spans="14:18" x14ac:dyDescent="0.2">
      <c r="N324" s="227"/>
      <c r="O324" s="227"/>
      <c r="P324" s="227"/>
      <c r="Q324" s="227"/>
      <c r="R324" s="227"/>
    </row>
    <row r="325" spans="14:18" x14ac:dyDescent="0.2">
      <c r="N325" s="227"/>
      <c r="O325" s="227"/>
      <c r="P325" s="227"/>
      <c r="Q325" s="227"/>
      <c r="R325" s="227"/>
    </row>
    <row r="326" spans="14:18" x14ac:dyDescent="0.2">
      <c r="N326" s="227"/>
      <c r="O326" s="227"/>
      <c r="P326" s="227"/>
      <c r="Q326" s="227"/>
      <c r="R326" s="227"/>
    </row>
    <row r="327" spans="14:18" x14ac:dyDescent="0.2">
      <c r="N327" s="227"/>
      <c r="O327" s="227"/>
      <c r="P327" s="227"/>
      <c r="Q327" s="227"/>
      <c r="R327" s="227"/>
    </row>
    <row r="328" spans="14:18" x14ac:dyDescent="0.2">
      <c r="N328" s="227"/>
      <c r="O328" s="227"/>
      <c r="P328" s="227"/>
      <c r="Q328" s="227"/>
      <c r="R328" s="227"/>
    </row>
    <row r="329" spans="14:18" x14ac:dyDescent="0.2">
      <c r="N329" s="227"/>
      <c r="O329" s="227"/>
      <c r="P329" s="227"/>
      <c r="Q329" s="227"/>
      <c r="R329" s="227"/>
    </row>
    <row r="330" spans="14:18" x14ac:dyDescent="0.2">
      <c r="N330" s="227"/>
      <c r="O330" s="227"/>
      <c r="P330" s="227"/>
      <c r="Q330" s="227"/>
      <c r="R330" s="227"/>
    </row>
    <row r="331" spans="14:18" x14ac:dyDescent="0.2">
      <c r="N331" s="227"/>
      <c r="O331" s="227"/>
      <c r="P331" s="227"/>
      <c r="Q331" s="227"/>
      <c r="R331" s="227"/>
    </row>
    <row r="332" spans="14:18" x14ac:dyDescent="0.2">
      <c r="N332" s="227"/>
      <c r="O332" s="227"/>
      <c r="P332" s="227"/>
      <c r="Q332" s="227"/>
      <c r="R332" s="227"/>
    </row>
    <row r="333" spans="14:18" x14ac:dyDescent="0.2">
      <c r="N333" s="227"/>
      <c r="O333" s="227"/>
      <c r="P333" s="227"/>
      <c r="Q333" s="227"/>
      <c r="R333" s="227"/>
    </row>
    <row r="334" spans="14:18" x14ac:dyDescent="0.2">
      <c r="N334" s="227"/>
      <c r="O334" s="227"/>
      <c r="P334" s="227"/>
      <c r="Q334" s="227"/>
      <c r="R334" s="227"/>
    </row>
    <row r="335" spans="14:18" x14ac:dyDescent="0.2">
      <c r="N335" s="227"/>
      <c r="O335" s="227"/>
      <c r="P335" s="227"/>
      <c r="Q335" s="227"/>
      <c r="R335" s="227"/>
    </row>
    <row r="336" spans="14:18" x14ac:dyDescent="0.2">
      <c r="N336" s="227"/>
      <c r="O336" s="227"/>
      <c r="P336" s="227"/>
      <c r="Q336" s="227"/>
      <c r="R336" s="227"/>
    </row>
    <row r="337" spans="14:18" x14ac:dyDescent="0.2">
      <c r="N337" s="227"/>
      <c r="O337" s="227"/>
      <c r="P337" s="227"/>
      <c r="Q337" s="227"/>
      <c r="R337" s="227"/>
    </row>
    <row r="338" spans="14:18" x14ac:dyDescent="0.2">
      <c r="N338" s="227"/>
      <c r="O338" s="227"/>
      <c r="P338" s="227"/>
      <c r="Q338" s="227"/>
      <c r="R338" s="227"/>
    </row>
    <row r="339" spans="14:18" x14ac:dyDescent="0.2">
      <c r="N339" s="227"/>
      <c r="O339" s="227"/>
      <c r="P339" s="227"/>
      <c r="Q339" s="227"/>
      <c r="R339" s="227"/>
    </row>
    <row r="340" spans="14:18" x14ac:dyDescent="0.2">
      <c r="N340" s="227"/>
      <c r="O340" s="227"/>
      <c r="P340" s="227"/>
      <c r="Q340" s="227"/>
      <c r="R340" s="227"/>
    </row>
    <row r="341" spans="14:18" x14ac:dyDescent="0.2">
      <c r="N341" s="227"/>
      <c r="O341" s="227"/>
      <c r="P341" s="227"/>
      <c r="Q341" s="227"/>
      <c r="R341" s="227"/>
    </row>
    <row r="342" spans="14:18" x14ac:dyDescent="0.2">
      <c r="N342" s="227"/>
      <c r="O342" s="227"/>
      <c r="P342" s="227"/>
      <c r="Q342" s="227"/>
      <c r="R342" s="227"/>
    </row>
    <row r="343" spans="14:18" x14ac:dyDescent="0.2">
      <c r="N343" s="227"/>
      <c r="O343" s="227"/>
      <c r="P343" s="227"/>
      <c r="Q343" s="227"/>
      <c r="R343" s="227"/>
    </row>
    <row r="344" spans="14:18" x14ac:dyDescent="0.2">
      <c r="N344" s="227"/>
      <c r="O344" s="227"/>
      <c r="P344" s="227"/>
      <c r="Q344" s="227"/>
      <c r="R344" s="227"/>
    </row>
    <row r="345" spans="14:18" x14ac:dyDescent="0.2">
      <c r="N345" s="227"/>
      <c r="O345" s="227"/>
      <c r="P345" s="227"/>
      <c r="Q345" s="227"/>
      <c r="R345" s="227"/>
    </row>
    <row r="346" spans="14:18" x14ac:dyDescent="0.2">
      <c r="N346" s="227"/>
      <c r="O346" s="227"/>
      <c r="P346" s="227"/>
      <c r="Q346" s="227"/>
      <c r="R346" s="227"/>
    </row>
    <row r="347" spans="14:18" x14ac:dyDescent="0.2">
      <c r="N347" s="227"/>
      <c r="O347" s="227"/>
      <c r="P347" s="227"/>
      <c r="Q347" s="227"/>
      <c r="R347" s="227"/>
    </row>
    <row r="348" spans="14:18" x14ac:dyDescent="0.2">
      <c r="N348" s="227"/>
      <c r="O348" s="227"/>
      <c r="P348" s="227"/>
      <c r="Q348" s="227"/>
      <c r="R348" s="227"/>
    </row>
    <row r="349" spans="14:18" x14ac:dyDescent="0.2">
      <c r="N349" s="227"/>
      <c r="O349" s="227"/>
      <c r="P349" s="227"/>
      <c r="Q349" s="227"/>
      <c r="R349" s="227"/>
    </row>
    <row r="350" spans="14:18" x14ac:dyDescent="0.2">
      <c r="N350" s="227"/>
      <c r="O350" s="227"/>
      <c r="P350" s="227"/>
      <c r="Q350" s="227"/>
      <c r="R350" s="227"/>
    </row>
    <row r="351" spans="14:18" x14ac:dyDescent="0.2">
      <c r="N351" s="227"/>
      <c r="O351" s="227"/>
      <c r="P351" s="227"/>
      <c r="Q351" s="227"/>
      <c r="R351" s="227"/>
    </row>
    <row r="352" spans="14:18" x14ac:dyDescent="0.2">
      <c r="N352" s="227"/>
      <c r="O352" s="227"/>
      <c r="P352" s="227"/>
      <c r="Q352" s="227"/>
      <c r="R352" s="227"/>
    </row>
    <row r="353" spans="14:18" x14ac:dyDescent="0.2">
      <c r="N353" s="227"/>
      <c r="O353" s="227"/>
      <c r="P353" s="227"/>
      <c r="Q353" s="227"/>
      <c r="R353" s="227"/>
    </row>
    <row r="354" spans="14:18" x14ac:dyDescent="0.2">
      <c r="N354" s="227"/>
      <c r="O354" s="227"/>
      <c r="P354" s="227"/>
      <c r="Q354" s="227"/>
      <c r="R354" s="227"/>
    </row>
    <row r="355" spans="14:18" x14ac:dyDescent="0.2">
      <c r="N355" s="227"/>
      <c r="O355" s="227"/>
      <c r="P355" s="227"/>
      <c r="Q355" s="227"/>
      <c r="R355" s="227"/>
    </row>
    <row r="356" spans="14:18" x14ac:dyDescent="0.2">
      <c r="N356" s="227"/>
      <c r="O356" s="227"/>
      <c r="P356" s="227"/>
      <c r="Q356" s="227"/>
      <c r="R356" s="227"/>
    </row>
    <row r="357" spans="14:18" x14ac:dyDescent="0.2">
      <c r="N357" s="227"/>
      <c r="O357" s="227"/>
      <c r="P357" s="227"/>
      <c r="Q357" s="227"/>
      <c r="R357" s="227"/>
    </row>
    <row r="358" spans="14:18" x14ac:dyDescent="0.2">
      <c r="N358" s="227"/>
      <c r="O358" s="227"/>
      <c r="P358" s="227"/>
      <c r="Q358" s="227"/>
      <c r="R358" s="227"/>
    </row>
    <row r="359" spans="14:18" x14ac:dyDescent="0.2">
      <c r="N359" s="227"/>
      <c r="O359" s="227"/>
      <c r="P359" s="227"/>
      <c r="Q359" s="227"/>
      <c r="R359" s="227"/>
    </row>
    <row r="360" spans="14:18" x14ac:dyDescent="0.2">
      <c r="N360" s="227"/>
      <c r="O360" s="227"/>
      <c r="P360" s="227"/>
      <c r="Q360" s="227"/>
      <c r="R360" s="227"/>
    </row>
    <row r="361" spans="14:18" x14ac:dyDescent="0.2">
      <c r="N361" s="227"/>
      <c r="O361" s="227"/>
      <c r="P361" s="227"/>
      <c r="Q361" s="227"/>
      <c r="R361" s="227"/>
    </row>
    <row r="362" spans="14:18" x14ac:dyDescent="0.2">
      <c r="N362" s="227"/>
      <c r="O362" s="227"/>
      <c r="P362" s="227"/>
      <c r="Q362" s="227"/>
      <c r="R362" s="227"/>
    </row>
    <row r="363" spans="14:18" x14ac:dyDescent="0.2">
      <c r="N363" s="227"/>
      <c r="O363" s="227"/>
      <c r="P363" s="227"/>
      <c r="Q363" s="227"/>
      <c r="R363" s="227"/>
    </row>
    <row r="364" spans="14:18" x14ac:dyDescent="0.2">
      <c r="N364" s="227"/>
      <c r="O364" s="227"/>
      <c r="P364" s="227"/>
      <c r="Q364" s="227"/>
      <c r="R364" s="227"/>
    </row>
    <row r="365" spans="14:18" x14ac:dyDescent="0.2">
      <c r="N365" s="227"/>
      <c r="O365" s="227"/>
      <c r="P365" s="227"/>
      <c r="Q365" s="227"/>
      <c r="R365" s="227"/>
    </row>
    <row r="366" spans="14:18" x14ac:dyDescent="0.2">
      <c r="N366" s="227"/>
      <c r="O366" s="227"/>
      <c r="P366" s="227"/>
      <c r="Q366" s="227"/>
      <c r="R366" s="227"/>
    </row>
    <row r="367" spans="14:18" x14ac:dyDescent="0.2">
      <c r="N367" s="227"/>
      <c r="O367" s="227"/>
      <c r="P367" s="227"/>
      <c r="Q367" s="227"/>
      <c r="R367" s="227"/>
    </row>
    <row r="368" spans="14:18" x14ac:dyDescent="0.2">
      <c r="N368" s="227"/>
      <c r="O368" s="227"/>
      <c r="P368" s="227"/>
      <c r="Q368" s="227"/>
      <c r="R368" s="227"/>
    </row>
    <row r="369" spans="14:18" x14ac:dyDescent="0.2">
      <c r="N369" s="227"/>
      <c r="O369" s="227"/>
      <c r="P369" s="227"/>
      <c r="Q369" s="227"/>
      <c r="R369" s="227"/>
    </row>
    <row r="370" spans="14:18" x14ac:dyDescent="0.2">
      <c r="N370" s="227"/>
      <c r="O370" s="227"/>
      <c r="P370" s="227"/>
      <c r="Q370" s="227"/>
      <c r="R370" s="227"/>
    </row>
    <row r="371" spans="14:18" x14ac:dyDescent="0.2">
      <c r="N371" s="227"/>
      <c r="O371" s="227"/>
      <c r="P371" s="227"/>
      <c r="Q371" s="227"/>
      <c r="R371" s="227"/>
    </row>
    <row r="372" spans="14:18" x14ac:dyDescent="0.2">
      <c r="N372" s="227"/>
      <c r="O372" s="227"/>
      <c r="P372" s="227"/>
      <c r="Q372" s="227"/>
      <c r="R372" s="227"/>
    </row>
    <row r="373" spans="14:18" x14ac:dyDescent="0.2">
      <c r="N373" s="227"/>
      <c r="O373" s="227"/>
      <c r="P373" s="227"/>
      <c r="Q373" s="227"/>
      <c r="R373" s="227"/>
    </row>
    <row r="374" spans="14:18" x14ac:dyDescent="0.2">
      <c r="N374" s="227"/>
      <c r="O374" s="227"/>
      <c r="P374" s="227"/>
      <c r="Q374" s="227"/>
      <c r="R374" s="227"/>
    </row>
    <row r="375" spans="14:18" x14ac:dyDescent="0.2">
      <c r="N375" s="227"/>
      <c r="O375" s="227"/>
      <c r="P375" s="227"/>
      <c r="Q375" s="227"/>
      <c r="R375" s="227"/>
    </row>
    <row r="376" spans="14:18" x14ac:dyDescent="0.2">
      <c r="N376" s="227"/>
      <c r="O376" s="227"/>
      <c r="P376" s="227"/>
      <c r="Q376" s="227"/>
      <c r="R376" s="227"/>
    </row>
    <row r="377" spans="14:18" x14ac:dyDescent="0.2">
      <c r="N377" s="227"/>
      <c r="O377" s="227"/>
      <c r="P377" s="227"/>
      <c r="Q377" s="227"/>
      <c r="R377" s="227"/>
    </row>
    <row r="378" spans="14:18" x14ac:dyDescent="0.2">
      <c r="N378" s="227"/>
      <c r="O378" s="227"/>
      <c r="P378" s="227"/>
      <c r="Q378" s="227"/>
      <c r="R378" s="227"/>
    </row>
    <row r="379" spans="14:18" x14ac:dyDescent="0.2">
      <c r="N379" s="227"/>
      <c r="O379" s="227"/>
      <c r="P379" s="227"/>
      <c r="Q379" s="227"/>
      <c r="R379" s="227"/>
    </row>
    <row r="380" spans="14:18" x14ac:dyDescent="0.2">
      <c r="N380" s="227"/>
      <c r="O380" s="227"/>
      <c r="P380" s="227"/>
      <c r="Q380" s="227"/>
      <c r="R380" s="227"/>
    </row>
    <row r="381" spans="14:18" x14ac:dyDescent="0.2">
      <c r="N381" s="227"/>
      <c r="O381" s="227"/>
      <c r="P381" s="227"/>
      <c r="Q381" s="227"/>
      <c r="R381" s="227"/>
    </row>
    <row r="382" spans="14:18" x14ac:dyDescent="0.2">
      <c r="N382" s="227"/>
      <c r="O382" s="227"/>
      <c r="P382" s="227"/>
      <c r="Q382" s="227"/>
      <c r="R382" s="227"/>
    </row>
    <row r="383" spans="14:18" x14ac:dyDescent="0.2">
      <c r="N383" s="227"/>
      <c r="O383" s="227"/>
      <c r="P383" s="227"/>
      <c r="Q383" s="227"/>
      <c r="R383" s="227"/>
    </row>
    <row r="384" spans="14:18" x14ac:dyDescent="0.2">
      <c r="N384" s="227"/>
      <c r="O384" s="227"/>
      <c r="P384" s="227"/>
      <c r="Q384" s="227"/>
      <c r="R384" s="227"/>
    </row>
    <row r="385" spans="14:18" x14ac:dyDescent="0.2">
      <c r="N385" s="227"/>
      <c r="O385" s="227"/>
      <c r="P385" s="227"/>
      <c r="Q385" s="227"/>
      <c r="R385" s="227"/>
    </row>
    <row r="386" spans="14:18" x14ac:dyDescent="0.2">
      <c r="N386" s="227"/>
      <c r="O386" s="227"/>
      <c r="P386" s="227"/>
      <c r="Q386" s="227"/>
      <c r="R386" s="227"/>
    </row>
    <row r="387" spans="14:18" x14ac:dyDescent="0.2">
      <c r="N387" s="227"/>
      <c r="O387" s="227"/>
      <c r="P387" s="227"/>
      <c r="Q387" s="227"/>
      <c r="R387" s="227"/>
    </row>
    <row r="388" spans="14:18" x14ac:dyDescent="0.2">
      <c r="N388" s="227"/>
      <c r="O388" s="227"/>
      <c r="P388" s="227"/>
      <c r="Q388" s="227"/>
      <c r="R388" s="227"/>
    </row>
    <row r="389" spans="14:18" x14ac:dyDescent="0.2">
      <c r="N389" s="227"/>
      <c r="O389" s="227"/>
      <c r="P389" s="227"/>
      <c r="Q389" s="227"/>
      <c r="R389" s="227"/>
    </row>
    <row r="390" spans="14:18" x14ac:dyDescent="0.2">
      <c r="N390" s="227"/>
      <c r="O390" s="227"/>
      <c r="P390" s="227"/>
      <c r="Q390" s="227"/>
      <c r="R390" s="227"/>
    </row>
    <row r="391" spans="14:18" x14ac:dyDescent="0.2">
      <c r="N391" s="227"/>
      <c r="O391" s="227"/>
      <c r="P391" s="227"/>
      <c r="Q391" s="227"/>
      <c r="R391" s="227"/>
    </row>
    <row r="392" spans="14:18" x14ac:dyDescent="0.2">
      <c r="N392" s="227"/>
      <c r="O392" s="227"/>
      <c r="P392" s="227"/>
      <c r="Q392" s="227"/>
      <c r="R392" s="227"/>
    </row>
    <row r="393" spans="14:18" x14ac:dyDescent="0.2">
      <c r="N393" s="227"/>
      <c r="O393" s="227"/>
      <c r="P393" s="227"/>
      <c r="Q393" s="227"/>
      <c r="R393" s="227"/>
    </row>
    <row r="394" spans="14:18" x14ac:dyDescent="0.2">
      <c r="N394" s="227"/>
      <c r="O394" s="227"/>
      <c r="P394" s="227"/>
      <c r="Q394" s="227"/>
      <c r="R394" s="227"/>
    </row>
    <row r="395" spans="14:18" x14ac:dyDescent="0.2">
      <c r="N395" s="227"/>
      <c r="O395" s="227"/>
      <c r="P395" s="227"/>
      <c r="Q395" s="227"/>
      <c r="R395" s="227"/>
    </row>
    <row r="396" spans="14:18" x14ac:dyDescent="0.2">
      <c r="N396" s="227"/>
      <c r="O396" s="227"/>
      <c r="P396" s="227"/>
      <c r="Q396" s="227"/>
      <c r="R396" s="227"/>
    </row>
    <row r="397" spans="14:18" x14ac:dyDescent="0.2">
      <c r="N397" s="227"/>
      <c r="O397" s="227"/>
      <c r="P397" s="227"/>
      <c r="Q397" s="227"/>
      <c r="R397" s="227"/>
    </row>
    <row r="398" spans="14:18" x14ac:dyDescent="0.2">
      <c r="N398" s="227"/>
      <c r="O398" s="227"/>
      <c r="P398" s="227"/>
      <c r="Q398" s="227"/>
      <c r="R398" s="227"/>
    </row>
    <row r="399" spans="14:18" x14ac:dyDescent="0.2">
      <c r="N399" s="227"/>
      <c r="O399" s="227"/>
      <c r="P399" s="227"/>
      <c r="Q399" s="227"/>
      <c r="R399" s="227"/>
    </row>
    <row r="400" spans="14:18" x14ac:dyDescent="0.2">
      <c r="N400" s="227"/>
      <c r="O400" s="227"/>
      <c r="P400" s="227"/>
      <c r="Q400" s="227"/>
      <c r="R400" s="227"/>
    </row>
    <row r="401" spans="14:18" x14ac:dyDescent="0.2">
      <c r="N401" s="227"/>
      <c r="O401" s="227"/>
      <c r="P401" s="227"/>
      <c r="Q401" s="227"/>
      <c r="R401" s="227"/>
    </row>
    <row r="402" spans="14:18" x14ac:dyDescent="0.2">
      <c r="N402" s="227"/>
      <c r="O402" s="227"/>
      <c r="P402" s="227"/>
      <c r="Q402" s="227"/>
      <c r="R402" s="227"/>
    </row>
    <row r="403" spans="14:18" x14ac:dyDescent="0.2">
      <c r="N403" s="227"/>
      <c r="O403" s="227"/>
      <c r="P403" s="227"/>
      <c r="Q403" s="227"/>
      <c r="R403" s="227"/>
    </row>
    <row r="404" spans="14:18" x14ac:dyDescent="0.2">
      <c r="N404" s="227"/>
      <c r="O404" s="227"/>
      <c r="P404" s="227"/>
      <c r="Q404" s="227"/>
      <c r="R404" s="227"/>
    </row>
    <row r="405" spans="14:18" x14ac:dyDescent="0.2">
      <c r="N405" s="227"/>
      <c r="O405" s="227"/>
      <c r="P405" s="227"/>
      <c r="Q405" s="227"/>
      <c r="R405" s="227"/>
    </row>
    <row r="406" spans="14:18" x14ac:dyDescent="0.2">
      <c r="N406" s="227"/>
      <c r="O406" s="227"/>
      <c r="P406" s="227"/>
      <c r="Q406" s="227"/>
      <c r="R406" s="227"/>
    </row>
    <row r="407" spans="14:18" x14ac:dyDescent="0.2">
      <c r="N407" s="227"/>
      <c r="O407" s="227"/>
      <c r="P407" s="227"/>
      <c r="Q407" s="227"/>
      <c r="R407" s="227"/>
    </row>
    <row r="408" spans="14:18" x14ac:dyDescent="0.2">
      <c r="N408" s="227"/>
      <c r="O408" s="227"/>
      <c r="P408" s="227"/>
      <c r="Q408" s="227"/>
      <c r="R408" s="227"/>
    </row>
    <row r="409" spans="14:18" x14ac:dyDescent="0.2">
      <c r="N409" s="227"/>
      <c r="O409" s="227"/>
      <c r="P409" s="227"/>
      <c r="Q409" s="227"/>
      <c r="R409" s="227"/>
    </row>
    <row r="410" spans="14:18" x14ac:dyDescent="0.2">
      <c r="N410" s="227"/>
      <c r="O410" s="227"/>
      <c r="P410" s="227"/>
      <c r="Q410" s="227"/>
      <c r="R410" s="227"/>
    </row>
    <row r="411" spans="14:18" x14ac:dyDescent="0.2">
      <c r="N411" s="227"/>
      <c r="O411" s="227"/>
      <c r="P411" s="227"/>
      <c r="Q411" s="227"/>
      <c r="R411" s="227"/>
    </row>
    <row r="412" spans="14:18" x14ac:dyDescent="0.2">
      <c r="N412" s="227"/>
      <c r="O412" s="227"/>
      <c r="P412" s="227"/>
      <c r="Q412" s="227"/>
      <c r="R412" s="227"/>
    </row>
    <row r="413" spans="14:18" x14ac:dyDescent="0.2">
      <c r="N413" s="227"/>
      <c r="O413" s="227"/>
      <c r="P413" s="227"/>
      <c r="Q413" s="227"/>
      <c r="R413" s="227"/>
    </row>
    <row r="414" spans="14:18" x14ac:dyDescent="0.2">
      <c r="N414" s="227"/>
      <c r="O414" s="227"/>
      <c r="P414" s="227"/>
      <c r="Q414" s="227"/>
      <c r="R414" s="227"/>
    </row>
    <row r="415" spans="14:18" x14ac:dyDescent="0.2">
      <c r="N415" s="227"/>
      <c r="O415" s="227"/>
      <c r="P415" s="227"/>
      <c r="Q415" s="227"/>
      <c r="R415" s="227"/>
    </row>
    <row r="416" spans="14:18" x14ac:dyDescent="0.2">
      <c r="N416" s="227"/>
      <c r="O416" s="227"/>
      <c r="P416" s="227"/>
      <c r="Q416" s="227"/>
      <c r="R416" s="227"/>
    </row>
    <row r="417" spans="14:18" x14ac:dyDescent="0.2">
      <c r="N417" s="227"/>
      <c r="O417" s="227"/>
      <c r="P417" s="227"/>
      <c r="Q417" s="227"/>
      <c r="R417" s="227"/>
    </row>
    <row r="418" spans="14:18" x14ac:dyDescent="0.2">
      <c r="N418" s="227"/>
      <c r="O418" s="227"/>
      <c r="P418" s="227"/>
      <c r="Q418" s="227"/>
      <c r="R418" s="227"/>
    </row>
    <row r="419" spans="14:18" x14ac:dyDescent="0.2">
      <c r="N419" s="227"/>
      <c r="O419" s="227"/>
      <c r="P419" s="227"/>
      <c r="Q419" s="227"/>
      <c r="R419" s="227"/>
    </row>
    <row r="420" spans="14:18" x14ac:dyDescent="0.2">
      <c r="N420" s="227"/>
      <c r="O420" s="227"/>
      <c r="P420" s="227"/>
      <c r="Q420" s="227"/>
      <c r="R420" s="227"/>
    </row>
    <row r="421" spans="14:18" x14ac:dyDescent="0.2">
      <c r="N421" s="227"/>
      <c r="O421" s="227"/>
      <c r="P421" s="227"/>
      <c r="Q421" s="227"/>
      <c r="R421" s="227"/>
    </row>
    <row r="422" spans="14:18" x14ac:dyDescent="0.2">
      <c r="N422" s="227"/>
      <c r="O422" s="227"/>
      <c r="P422" s="227"/>
      <c r="Q422" s="227"/>
      <c r="R422" s="227"/>
    </row>
    <row r="423" spans="14:18" x14ac:dyDescent="0.2">
      <c r="N423" s="227"/>
      <c r="O423" s="227"/>
      <c r="P423" s="227"/>
      <c r="Q423" s="227"/>
      <c r="R423" s="227"/>
    </row>
    <row r="424" spans="14:18" x14ac:dyDescent="0.2">
      <c r="N424" s="227"/>
      <c r="O424" s="227"/>
      <c r="P424" s="227"/>
      <c r="Q424" s="227"/>
      <c r="R424" s="227"/>
    </row>
    <row r="425" spans="14:18" x14ac:dyDescent="0.2">
      <c r="N425" s="227"/>
      <c r="O425" s="227"/>
      <c r="P425" s="227"/>
      <c r="Q425" s="227"/>
      <c r="R425" s="227"/>
    </row>
    <row r="426" spans="14:18" x14ac:dyDescent="0.2">
      <c r="N426" s="227"/>
      <c r="O426" s="227"/>
      <c r="P426" s="227"/>
      <c r="Q426" s="227"/>
      <c r="R426" s="227"/>
    </row>
    <row r="427" spans="14:18" x14ac:dyDescent="0.2">
      <c r="N427" s="227"/>
      <c r="O427" s="227"/>
      <c r="P427" s="227"/>
      <c r="Q427" s="227"/>
      <c r="R427" s="227"/>
    </row>
    <row r="428" spans="14:18" x14ac:dyDescent="0.2">
      <c r="N428" s="227"/>
      <c r="O428" s="227"/>
      <c r="P428" s="227"/>
      <c r="Q428" s="227"/>
      <c r="R428" s="227"/>
    </row>
    <row r="429" spans="14:18" x14ac:dyDescent="0.2">
      <c r="N429" s="227"/>
      <c r="O429" s="227"/>
      <c r="P429" s="227"/>
      <c r="Q429" s="227"/>
      <c r="R429" s="227"/>
    </row>
    <row r="430" spans="14:18" x14ac:dyDescent="0.2">
      <c r="N430" s="227"/>
      <c r="O430" s="227"/>
      <c r="P430" s="227"/>
      <c r="Q430" s="227"/>
      <c r="R430" s="227"/>
    </row>
    <row r="431" spans="14:18" x14ac:dyDescent="0.2">
      <c r="N431" s="227"/>
      <c r="O431" s="227"/>
      <c r="P431" s="227"/>
      <c r="Q431" s="227"/>
      <c r="R431" s="227"/>
    </row>
    <row r="432" spans="14:18" x14ac:dyDescent="0.2">
      <c r="N432" s="227"/>
      <c r="O432" s="227"/>
      <c r="P432" s="227"/>
      <c r="Q432" s="227"/>
      <c r="R432" s="227"/>
    </row>
    <row r="433" spans="14:18" x14ac:dyDescent="0.2">
      <c r="N433" s="227"/>
      <c r="O433" s="227"/>
      <c r="P433" s="227"/>
      <c r="Q433" s="227"/>
      <c r="R433" s="227"/>
    </row>
    <row r="434" spans="14:18" x14ac:dyDescent="0.2">
      <c r="N434" s="227"/>
      <c r="O434" s="227"/>
      <c r="P434" s="227"/>
      <c r="Q434" s="227"/>
      <c r="R434" s="227"/>
    </row>
    <row r="435" spans="14:18" x14ac:dyDescent="0.2">
      <c r="N435" s="227"/>
      <c r="O435" s="227"/>
      <c r="P435" s="227"/>
      <c r="Q435" s="227"/>
      <c r="R435" s="227"/>
    </row>
    <row r="436" spans="14:18" x14ac:dyDescent="0.2">
      <c r="N436" s="227"/>
      <c r="O436" s="227"/>
      <c r="P436" s="227"/>
      <c r="Q436" s="227"/>
      <c r="R436" s="227"/>
    </row>
    <row r="437" spans="14:18" x14ac:dyDescent="0.2">
      <c r="N437" s="227"/>
      <c r="O437" s="227"/>
      <c r="P437" s="227"/>
      <c r="Q437" s="227"/>
      <c r="R437" s="227"/>
    </row>
    <row r="438" spans="14:18" x14ac:dyDescent="0.2">
      <c r="N438" s="227"/>
      <c r="O438" s="227"/>
      <c r="P438" s="227"/>
      <c r="Q438" s="227"/>
      <c r="R438" s="227"/>
    </row>
    <row r="439" spans="14:18" x14ac:dyDescent="0.2">
      <c r="N439" s="227"/>
      <c r="O439" s="227"/>
      <c r="P439" s="227"/>
      <c r="Q439" s="227"/>
      <c r="R439" s="227"/>
    </row>
    <row r="440" spans="14:18" x14ac:dyDescent="0.2">
      <c r="N440" s="227"/>
      <c r="O440" s="227"/>
      <c r="P440" s="227"/>
      <c r="Q440" s="227"/>
      <c r="R440" s="227"/>
    </row>
    <row r="441" spans="14:18" x14ac:dyDescent="0.2">
      <c r="N441" s="227"/>
      <c r="O441" s="227"/>
      <c r="P441" s="227"/>
      <c r="Q441" s="227"/>
      <c r="R441" s="227"/>
    </row>
    <row r="442" spans="14:18" x14ac:dyDescent="0.2">
      <c r="N442" s="227"/>
      <c r="O442" s="227"/>
      <c r="P442" s="227"/>
      <c r="Q442" s="227"/>
      <c r="R442" s="227"/>
    </row>
    <row r="443" spans="14:18" x14ac:dyDescent="0.2">
      <c r="N443" s="227"/>
      <c r="O443" s="227"/>
      <c r="P443" s="227"/>
      <c r="Q443" s="227"/>
      <c r="R443" s="227"/>
    </row>
    <row r="444" spans="14:18" x14ac:dyDescent="0.2">
      <c r="N444" s="227"/>
      <c r="O444" s="227"/>
      <c r="P444" s="227"/>
      <c r="Q444" s="227"/>
      <c r="R444" s="227"/>
    </row>
    <row r="445" spans="14:18" x14ac:dyDescent="0.2">
      <c r="N445" s="227"/>
      <c r="O445" s="227"/>
      <c r="P445" s="227"/>
      <c r="Q445" s="227"/>
      <c r="R445" s="227"/>
    </row>
    <row r="446" spans="14:18" x14ac:dyDescent="0.2">
      <c r="N446" s="227"/>
      <c r="O446" s="227"/>
      <c r="P446" s="227"/>
      <c r="Q446" s="227"/>
      <c r="R446" s="227"/>
    </row>
    <row r="447" spans="14:18" x14ac:dyDescent="0.2">
      <c r="N447" s="227"/>
      <c r="O447" s="227"/>
      <c r="P447" s="227"/>
      <c r="Q447" s="227"/>
      <c r="R447" s="227"/>
    </row>
    <row r="448" spans="14:18" x14ac:dyDescent="0.2">
      <c r="N448" s="227"/>
      <c r="O448" s="227"/>
      <c r="P448" s="227"/>
      <c r="Q448" s="227"/>
      <c r="R448" s="227"/>
    </row>
    <row r="449" spans="14:18" x14ac:dyDescent="0.2">
      <c r="N449" s="227"/>
      <c r="O449" s="227"/>
      <c r="P449" s="227"/>
      <c r="Q449" s="227"/>
      <c r="R449" s="227"/>
    </row>
    <row r="450" spans="14:18" x14ac:dyDescent="0.2">
      <c r="N450" s="227"/>
      <c r="O450" s="227"/>
      <c r="P450" s="227"/>
      <c r="Q450" s="227"/>
      <c r="R450" s="227"/>
    </row>
    <row r="451" spans="14:18" x14ac:dyDescent="0.2">
      <c r="N451" s="227"/>
      <c r="O451" s="227"/>
      <c r="P451" s="227"/>
      <c r="Q451" s="227"/>
      <c r="R451" s="227"/>
    </row>
    <row r="452" spans="14:18" x14ac:dyDescent="0.2">
      <c r="N452" s="227"/>
      <c r="O452" s="227"/>
      <c r="P452" s="227"/>
      <c r="Q452" s="227"/>
      <c r="R452" s="227"/>
    </row>
    <row r="453" spans="14:18" x14ac:dyDescent="0.2">
      <c r="N453" s="227"/>
      <c r="O453" s="227"/>
      <c r="P453" s="227"/>
      <c r="Q453" s="227"/>
      <c r="R453" s="227"/>
    </row>
    <row r="454" spans="14:18" x14ac:dyDescent="0.2">
      <c r="N454" s="227"/>
      <c r="O454" s="227"/>
      <c r="P454" s="227"/>
      <c r="Q454" s="227"/>
      <c r="R454" s="227"/>
    </row>
    <row r="455" spans="14:18" x14ac:dyDescent="0.2">
      <c r="N455" s="227"/>
      <c r="O455" s="227"/>
      <c r="P455" s="227"/>
      <c r="Q455" s="227"/>
      <c r="R455" s="227"/>
    </row>
    <row r="456" spans="14:18" x14ac:dyDescent="0.2">
      <c r="N456" s="227"/>
      <c r="O456" s="227"/>
      <c r="P456" s="227"/>
      <c r="Q456" s="227"/>
      <c r="R456" s="227"/>
    </row>
    <row r="457" spans="14:18" x14ac:dyDescent="0.2">
      <c r="N457" s="227"/>
      <c r="O457" s="227"/>
      <c r="P457" s="227"/>
      <c r="Q457" s="227"/>
      <c r="R457" s="227"/>
    </row>
    <row r="458" spans="14:18" x14ac:dyDescent="0.2">
      <c r="N458" s="227"/>
      <c r="O458" s="227"/>
      <c r="P458" s="227"/>
      <c r="Q458" s="227"/>
      <c r="R458" s="227"/>
    </row>
    <row r="459" spans="14:18" x14ac:dyDescent="0.2">
      <c r="N459" s="227"/>
      <c r="O459" s="227"/>
      <c r="P459" s="227"/>
      <c r="Q459" s="227"/>
      <c r="R459" s="227"/>
    </row>
    <row r="460" spans="14:18" x14ac:dyDescent="0.2">
      <c r="N460" s="227"/>
      <c r="O460" s="227"/>
      <c r="P460" s="227"/>
      <c r="Q460" s="227"/>
      <c r="R460" s="227"/>
    </row>
    <row r="461" spans="14:18" x14ac:dyDescent="0.2">
      <c r="N461" s="227"/>
      <c r="O461" s="227"/>
      <c r="P461" s="227"/>
      <c r="Q461" s="227"/>
      <c r="R461" s="227"/>
    </row>
    <row r="462" spans="14:18" x14ac:dyDescent="0.2">
      <c r="N462" s="227"/>
      <c r="O462" s="227"/>
      <c r="P462" s="227"/>
      <c r="Q462" s="227"/>
      <c r="R462" s="227"/>
    </row>
    <row r="463" spans="14:18" x14ac:dyDescent="0.2">
      <c r="N463" s="227"/>
      <c r="O463" s="227"/>
      <c r="P463" s="227"/>
      <c r="Q463" s="227"/>
      <c r="R463" s="227"/>
    </row>
  </sheetData>
  <mergeCells count="13">
    <mergeCell ref="AF4:AF5"/>
    <mergeCell ref="AG4:AG5"/>
    <mergeCell ref="A3:G4"/>
    <mergeCell ref="H3:L3"/>
    <mergeCell ref="M3:V3"/>
    <mergeCell ref="W3:AE3"/>
    <mergeCell ref="H4:I4"/>
    <mergeCell ref="J4:L4"/>
    <mergeCell ref="M4:O4"/>
    <mergeCell ref="P4:T4"/>
    <mergeCell ref="X4:Y4"/>
    <mergeCell ref="AA4:AB4"/>
    <mergeCell ref="AC4:AE4"/>
  </mergeCells>
  <pageMargins left="0.25" right="0.25" top="0.75" bottom="0.75" header="0.3" footer="0.3"/>
  <pageSetup paperSize="9" scale="42" fitToHeight="0" orientation="landscape"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Y56"/>
  <sheetViews>
    <sheetView topLeftCell="E1" zoomScale="80" zoomScaleNormal="80" workbookViewId="0">
      <pane ySplit="4" topLeftCell="A20" activePane="bottomLeft" state="frozen"/>
      <selection pane="bottomLeft" activeCell="I28" sqref="I28"/>
    </sheetView>
  </sheetViews>
  <sheetFormatPr defaultColWidth="8.85546875" defaultRowHeight="12.75" x14ac:dyDescent="0.2"/>
  <cols>
    <col min="1" max="1" width="8.42578125" style="3" customWidth="1"/>
    <col min="2" max="2" width="24.42578125" style="3" bestFit="1" customWidth="1"/>
    <col min="3" max="3" width="9.140625" style="3" customWidth="1"/>
    <col min="4" max="4" width="43.28515625" style="411" customWidth="1"/>
    <col min="5" max="5" width="23.28515625" style="3" customWidth="1"/>
    <col min="6" max="6" width="16" style="3" customWidth="1"/>
    <col min="7" max="7" width="29.140625" style="3" customWidth="1"/>
    <col min="8" max="8" width="59.28515625" style="3" customWidth="1"/>
    <col min="9" max="9" width="28" style="641" customWidth="1"/>
    <col min="10" max="10" width="39.5703125" style="3" customWidth="1"/>
    <col min="11" max="11" width="8.85546875" style="3"/>
    <col min="12" max="12" width="11.5703125" style="3" customWidth="1"/>
    <col min="13" max="13" width="11" style="3" customWidth="1"/>
    <col min="14" max="14" width="11.140625" style="3" customWidth="1"/>
    <col min="15" max="15" width="11.85546875" style="3" customWidth="1"/>
    <col min="16" max="24" width="8.85546875" style="3"/>
    <col min="25" max="25" width="52.7109375" style="3" customWidth="1"/>
    <col min="26" max="16384" width="8.85546875" style="3"/>
  </cols>
  <sheetData>
    <row r="1" spans="1:25" ht="13.5" thickBot="1" x14ac:dyDescent="0.25">
      <c r="A1" s="6" t="s">
        <v>1711</v>
      </c>
      <c r="B1" s="415"/>
      <c r="C1" s="7"/>
      <c r="D1" s="416"/>
      <c r="E1" s="1"/>
      <c r="F1" s="1"/>
      <c r="G1" s="1"/>
      <c r="H1" s="1"/>
    </row>
    <row r="2" spans="1:25" x14ac:dyDescent="0.2">
      <c r="A2" s="814"/>
      <c r="B2" s="815"/>
      <c r="C2" s="815"/>
      <c r="D2" s="815"/>
      <c r="E2" s="815"/>
      <c r="F2" s="815"/>
      <c r="G2" s="417"/>
      <c r="H2" s="205"/>
      <c r="I2" s="642" t="s">
        <v>56</v>
      </c>
      <c r="J2" s="88" t="s">
        <v>50</v>
      </c>
      <c r="K2" s="264"/>
      <c r="L2" s="264"/>
      <c r="M2" s="264"/>
      <c r="N2" s="264"/>
      <c r="O2" s="264"/>
      <c r="P2" s="264"/>
      <c r="Q2" s="264"/>
      <c r="R2" s="412"/>
      <c r="S2" s="264"/>
      <c r="T2" s="264"/>
      <c r="U2" s="264"/>
      <c r="V2" s="264"/>
      <c r="W2" s="264"/>
      <c r="X2" s="264"/>
      <c r="Y2" s="187"/>
    </row>
    <row r="3" spans="1:25" ht="13.5" thickBot="1" x14ac:dyDescent="0.25">
      <c r="A3" s="787"/>
      <c r="B3" s="788"/>
      <c r="C3" s="788"/>
      <c r="D3" s="788"/>
      <c r="E3" s="788"/>
      <c r="F3" s="788"/>
      <c r="G3" s="418"/>
      <c r="H3" s="419"/>
      <c r="I3" s="643" t="s">
        <v>55</v>
      </c>
      <c r="J3" s="150">
        <v>2019</v>
      </c>
      <c r="K3" s="264"/>
      <c r="L3" s="264"/>
      <c r="M3" s="264"/>
      <c r="N3" s="264"/>
      <c r="O3" s="264"/>
      <c r="P3" s="264"/>
      <c r="Q3" s="264"/>
      <c r="R3" s="412"/>
      <c r="S3" s="264"/>
      <c r="T3" s="264"/>
      <c r="U3" s="264"/>
      <c r="V3" s="264"/>
      <c r="W3" s="264"/>
      <c r="X3" s="264"/>
      <c r="Y3" s="7"/>
    </row>
    <row r="4" spans="1:25" ht="26.25" thickBot="1" x14ac:dyDescent="0.25">
      <c r="A4" s="420" t="s">
        <v>0</v>
      </c>
      <c r="B4" s="137" t="s">
        <v>1409</v>
      </c>
      <c r="C4" s="137" t="s">
        <v>1410</v>
      </c>
      <c r="D4" s="421" t="s">
        <v>1411</v>
      </c>
      <c r="E4" s="137" t="s">
        <v>1412</v>
      </c>
      <c r="F4" s="137" t="s">
        <v>1413</v>
      </c>
      <c r="G4" s="137" t="s">
        <v>1414</v>
      </c>
      <c r="H4" s="422" t="s">
        <v>4</v>
      </c>
      <c r="I4" s="691" t="s">
        <v>1507</v>
      </c>
      <c r="J4" s="443" t="s">
        <v>154</v>
      </c>
      <c r="K4" s="413"/>
      <c r="L4" s="413"/>
      <c r="M4" s="132"/>
      <c r="N4" s="132"/>
      <c r="O4" s="132"/>
      <c r="P4" s="132"/>
      <c r="Q4" s="132"/>
      <c r="R4" s="132"/>
      <c r="S4" s="132"/>
      <c r="T4" s="132"/>
      <c r="U4" s="132"/>
      <c r="V4" s="132"/>
      <c r="W4" s="132"/>
      <c r="X4" s="132"/>
      <c r="Y4" s="132"/>
    </row>
    <row r="5" spans="1:25" ht="38.25" x14ac:dyDescent="0.2">
      <c r="A5" s="423" t="s">
        <v>277</v>
      </c>
      <c r="B5" s="424" t="s">
        <v>1415</v>
      </c>
      <c r="C5" s="425" t="s">
        <v>1416</v>
      </c>
      <c r="D5" s="426" t="s">
        <v>1417</v>
      </c>
      <c r="E5" s="424" t="s">
        <v>50</v>
      </c>
      <c r="F5" s="199" t="s">
        <v>1418</v>
      </c>
      <c r="G5" s="199" t="s">
        <v>1419</v>
      </c>
      <c r="H5" s="425" t="s">
        <v>1420</v>
      </c>
      <c r="I5" s="692" t="s">
        <v>1955</v>
      </c>
      <c r="J5" s="644" t="s">
        <v>1962</v>
      </c>
      <c r="K5" s="410"/>
      <c r="L5" s="410"/>
      <c r="M5" s="410"/>
      <c r="N5" s="410"/>
      <c r="O5" s="410"/>
      <c r="P5" s="410"/>
      <c r="Q5" s="410"/>
      <c r="R5" s="410"/>
      <c r="S5" s="410"/>
      <c r="T5" s="410"/>
      <c r="U5" s="410"/>
      <c r="V5" s="410"/>
      <c r="W5" s="410"/>
      <c r="X5" s="410"/>
    </row>
    <row r="6" spans="1:25" ht="25.5" x14ac:dyDescent="0.2">
      <c r="A6" s="423" t="s">
        <v>277</v>
      </c>
      <c r="B6" s="424" t="s">
        <v>1415</v>
      </c>
      <c r="C6" s="425" t="s">
        <v>1421</v>
      </c>
      <c r="D6" s="426" t="s">
        <v>1422</v>
      </c>
      <c r="E6" s="424" t="s">
        <v>50</v>
      </c>
      <c r="F6" s="199" t="s">
        <v>1418</v>
      </c>
      <c r="G6" s="199" t="s">
        <v>1419</v>
      </c>
      <c r="H6" s="425" t="s">
        <v>1423</v>
      </c>
      <c r="I6" s="690">
        <v>43891</v>
      </c>
      <c r="J6" s="645" t="s">
        <v>1963</v>
      </c>
      <c r="K6" s="355"/>
      <c r="L6" s="356"/>
      <c r="M6" s="357"/>
      <c r="N6" s="365"/>
      <c r="O6" s="366"/>
      <c r="P6" s="10"/>
      <c r="Q6" s="10"/>
      <c r="R6" s="10"/>
      <c r="S6" s="10"/>
      <c r="T6" s="10"/>
      <c r="U6" s="10"/>
      <c r="V6" s="281"/>
      <c r="W6" s="281"/>
      <c r="X6" s="281"/>
    </row>
    <row r="7" spans="1:25" ht="25.5" x14ac:dyDescent="0.2">
      <c r="A7" s="423" t="s">
        <v>277</v>
      </c>
      <c r="B7" s="424" t="s">
        <v>1415</v>
      </c>
      <c r="C7" s="425" t="s">
        <v>1416</v>
      </c>
      <c r="D7" s="426" t="s">
        <v>1424</v>
      </c>
      <c r="E7" s="424" t="s">
        <v>50</v>
      </c>
      <c r="F7" s="199" t="s">
        <v>1418</v>
      </c>
      <c r="G7" s="425" t="s">
        <v>1425</v>
      </c>
      <c r="H7" s="425" t="s">
        <v>1426</v>
      </c>
      <c r="I7" s="645">
        <v>43966</v>
      </c>
      <c r="J7" s="274"/>
      <c r="K7" s="355"/>
      <c r="L7" s="356"/>
      <c r="M7" s="357"/>
      <c r="N7" s="365"/>
      <c r="O7" s="366"/>
      <c r="P7" s="10"/>
      <c r="Q7" s="10"/>
      <c r="R7" s="10"/>
      <c r="S7" s="10"/>
      <c r="T7" s="10"/>
      <c r="U7" s="10"/>
      <c r="V7" s="281"/>
      <c r="W7" s="281"/>
      <c r="X7" s="281"/>
    </row>
    <row r="8" spans="1:25" ht="25.5" x14ac:dyDescent="0.2">
      <c r="A8" s="423" t="s">
        <v>277</v>
      </c>
      <c r="B8" s="424" t="s">
        <v>1415</v>
      </c>
      <c r="C8" s="425" t="s">
        <v>1416</v>
      </c>
      <c r="D8" s="426" t="s">
        <v>1427</v>
      </c>
      <c r="E8" s="424" t="s">
        <v>50</v>
      </c>
      <c r="F8" s="199" t="s">
        <v>1418</v>
      </c>
      <c r="G8" s="425" t="s">
        <v>1428</v>
      </c>
      <c r="H8" s="425" t="s">
        <v>1420</v>
      </c>
      <c r="I8" s="646">
        <v>43891</v>
      </c>
      <c r="J8" s="274" t="s">
        <v>1840</v>
      </c>
      <c r="K8" s="355"/>
      <c r="L8" s="356"/>
      <c r="M8" s="357"/>
      <c r="N8" s="365"/>
      <c r="O8" s="366"/>
      <c r="P8" s="10"/>
      <c r="Q8" s="10"/>
      <c r="R8" s="10"/>
      <c r="S8" s="10"/>
      <c r="T8" s="10"/>
      <c r="U8" s="10"/>
      <c r="V8" s="281"/>
      <c r="W8" s="281"/>
      <c r="X8" s="281"/>
    </row>
    <row r="9" spans="1:25" ht="76.5" x14ac:dyDescent="0.2">
      <c r="A9" s="423" t="s">
        <v>277</v>
      </c>
      <c r="B9" s="424" t="s">
        <v>1415</v>
      </c>
      <c r="C9" s="425" t="s">
        <v>1416</v>
      </c>
      <c r="D9" s="427" t="s">
        <v>1429</v>
      </c>
      <c r="E9" s="424" t="s">
        <v>50</v>
      </c>
      <c r="F9" s="199" t="s">
        <v>1418</v>
      </c>
      <c r="G9" s="199" t="s">
        <v>1430</v>
      </c>
      <c r="H9" s="428" t="s">
        <v>1431</v>
      </c>
      <c r="I9" s="692" t="s">
        <v>1955</v>
      </c>
      <c r="J9" s="644" t="s">
        <v>1962</v>
      </c>
      <c r="K9" s="355"/>
      <c r="L9" s="356"/>
      <c r="M9" s="357"/>
      <c r="N9" s="365"/>
      <c r="O9" s="366"/>
      <c r="P9" s="10"/>
      <c r="Q9" s="10"/>
      <c r="R9" s="10"/>
      <c r="S9" s="10"/>
      <c r="T9" s="10"/>
      <c r="U9" s="10"/>
      <c r="V9" s="281"/>
      <c r="W9" s="281"/>
      <c r="X9" s="281"/>
    </row>
    <row r="10" spans="1:25" ht="25.5" x14ac:dyDescent="0.2">
      <c r="A10" s="423" t="s">
        <v>277</v>
      </c>
      <c r="B10" s="424" t="s">
        <v>1415</v>
      </c>
      <c r="C10" s="425" t="s">
        <v>1416</v>
      </c>
      <c r="D10" s="426" t="s">
        <v>1432</v>
      </c>
      <c r="E10" s="424" t="s">
        <v>50</v>
      </c>
      <c r="F10" s="199" t="s">
        <v>1418</v>
      </c>
      <c r="G10" s="199" t="s">
        <v>1433</v>
      </c>
      <c r="H10" s="425" t="s">
        <v>1434</v>
      </c>
      <c r="I10" s="645">
        <v>43893</v>
      </c>
      <c r="J10" s="274"/>
      <c r="K10" s="355"/>
      <c r="L10" s="356"/>
      <c r="M10" s="357"/>
      <c r="N10" s="365"/>
      <c r="O10" s="366"/>
      <c r="P10" s="10"/>
      <c r="Q10" s="10"/>
      <c r="R10" s="10"/>
      <c r="S10" s="10"/>
      <c r="T10" s="10"/>
      <c r="U10" s="10"/>
      <c r="V10" s="281"/>
      <c r="W10" s="281"/>
      <c r="X10" s="281"/>
    </row>
    <row r="11" spans="1:25" ht="25.5" x14ac:dyDescent="0.2">
      <c r="A11" s="423" t="s">
        <v>277</v>
      </c>
      <c r="B11" s="424" t="s">
        <v>1415</v>
      </c>
      <c r="C11" s="425" t="s">
        <v>1416</v>
      </c>
      <c r="D11" s="426" t="s">
        <v>1432</v>
      </c>
      <c r="E11" s="424" t="s">
        <v>50</v>
      </c>
      <c r="F11" s="199" t="s">
        <v>1418</v>
      </c>
      <c r="G11" s="199" t="s">
        <v>1435</v>
      </c>
      <c r="H11" s="199" t="s">
        <v>1436</v>
      </c>
      <c r="I11" s="646">
        <v>43983</v>
      </c>
      <c r="J11" s="274"/>
      <c r="K11" s="355"/>
      <c r="L11" s="356"/>
      <c r="M11" s="357"/>
      <c r="N11" s="365"/>
      <c r="O11" s="366"/>
      <c r="P11" s="10"/>
      <c r="Q11" s="10"/>
      <c r="R11" s="10"/>
      <c r="S11" s="10"/>
      <c r="T11" s="10"/>
      <c r="U11" s="10"/>
      <c r="V11" s="281"/>
      <c r="W11" s="281"/>
      <c r="X11" s="281"/>
    </row>
    <row r="12" spans="1:25" ht="25.5" x14ac:dyDescent="0.2">
      <c r="A12" s="423" t="s">
        <v>277</v>
      </c>
      <c r="B12" s="424" t="s">
        <v>1415</v>
      </c>
      <c r="C12" s="425" t="s">
        <v>1416</v>
      </c>
      <c r="D12" s="426" t="s">
        <v>1437</v>
      </c>
      <c r="E12" s="424" t="s">
        <v>50</v>
      </c>
      <c r="F12" s="199" t="s">
        <v>1418</v>
      </c>
      <c r="G12" s="199" t="s">
        <v>1435</v>
      </c>
      <c r="H12" s="425" t="s">
        <v>1438</v>
      </c>
      <c r="I12" s="646">
        <v>43983</v>
      </c>
      <c r="J12" s="274"/>
      <c r="K12" s="355"/>
      <c r="L12" s="356"/>
      <c r="M12" s="357"/>
      <c r="N12" s="365"/>
      <c r="O12" s="366"/>
      <c r="P12" s="10"/>
      <c r="Q12" s="10"/>
      <c r="R12" s="10"/>
      <c r="S12" s="10"/>
      <c r="T12" s="10"/>
      <c r="U12" s="10"/>
      <c r="V12" s="281"/>
      <c r="W12" s="281"/>
      <c r="X12" s="281"/>
    </row>
    <row r="13" spans="1:25" ht="25.5" x14ac:dyDescent="0.2">
      <c r="A13" s="423" t="s">
        <v>277</v>
      </c>
      <c r="B13" s="424" t="s">
        <v>1415</v>
      </c>
      <c r="C13" s="425" t="s">
        <v>1416</v>
      </c>
      <c r="D13" s="426" t="s">
        <v>1432</v>
      </c>
      <c r="E13" s="424" t="s">
        <v>50</v>
      </c>
      <c r="F13" s="199" t="s">
        <v>1418</v>
      </c>
      <c r="G13" s="199" t="s">
        <v>1439</v>
      </c>
      <c r="H13" s="199" t="s">
        <v>1440</v>
      </c>
      <c r="I13" s="646">
        <v>43983</v>
      </c>
      <c r="J13" s="274"/>
      <c r="K13" s="355"/>
      <c r="L13" s="355"/>
      <c r="M13" s="357"/>
      <c r="N13" s="365"/>
      <c r="O13" s="366"/>
      <c r="P13" s="10"/>
      <c r="Q13" s="10"/>
      <c r="R13" s="10"/>
      <c r="S13" s="10"/>
      <c r="T13" s="10"/>
      <c r="U13" s="10"/>
      <c r="V13" s="281"/>
      <c r="W13" s="281"/>
      <c r="X13" s="281"/>
      <c r="Y13" s="280"/>
    </row>
    <row r="14" spans="1:25" ht="25.5" x14ac:dyDescent="0.2">
      <c r="A14" s="423" t="s">
        <v>277</v>
      </c>
      <c r="B14" s="424" t="s">
        <v>1415</v>
      </c>
      <c r="C14" s="425" t="s">
        <v>1416</v>
      </c>
      <c r="D14" s="426" t="s">
        <v>1441</v>
      </c>
      <c r="E14" s="424" t="s">
        <v>50</v>
      </c>
      <c r="F14" s="199" t="s">
        <v>1418</v>
      </c>
      <c r="G14" s="199" t="s">
        <v>1442</v>
      </c>
      <c r="H14" s="425" t="s">
        <v>1443</v>
      </c>
      <c r="I14" s="646">
        <v>43983</v>
      </c>
      <c r="J14" s="274"/>
      <c r="K14" s="355"/>
      <c r="L14" s="355"/>
      <c r="M14" s="357"/>
      <c r="N14" s="365"/>
      <c r="O14" s="366"/>
      <c r="P14" s="10"/>
      <c r="Q14" s="10"/>
      <c r="R14" s="10"/>
      <c r="S14" s="10"/>
      <c r="T14" s="10"/>
      <c r="U14" s="10"/>
      <c r="V14" s="281"/>
      <c r="W14" s="281"/>
      <c r="X14" s="281"/>
    </row>
    <row r="15" spans="1:25" ht="25.5" x14ac:dyDescent="0.2">
      <c r="A15" s="423" t="s">
        <v>277</v>
      </c>
      <c r="B15" s="424" t="s">
        <v>1415</v>
      </c>
      <c r="C15" s="425" t="s">
        <v>1416</v>
      </c>
      <c r="D15" s="426" t="s">
        <v>1444</v>
      </c>
      <c r="E15" s="424" t="s">
        <v>50</v>
      </c>
      <c r="F15" s="199" t="s">
        <v>1418</v>
      </c>
      <c r="G15" s="199" t="s">
        <v>1433</v>
      </c>
      <c r="H15" s="425" t="s">
        <v>1445</v>
      </c>
      <c r="I15" s="645">
        <v>43893</v>
      </c>
      <c r="J15" s="274"/>
      <c r="K15" s="355"/>
      <c r="L15" s="355"/>
      <c r="M15" s="357"/>
      <c r="N15" s="365"/>
      <c r="O15" s="366"/>
      <c r="P15" s="10"/>
      <c r="Q15" s="10"/>
      <c r="R15" s="10"/>
      <c r="S15" s="10"/>
      <c r="T15" s="10"/>
      <c r="U15" s="10"/>
      <c r="V15" s="281"/>
      <c r="W15" s="281"/>
      <c r="X15" s="281"/>
    </row>
    <row r="16" spans="1:25" ht="25.5" x14ac:dyDescent="0.2">
      <c r="A16" s="423" t="s">
        <v>277</v>
      </c>
      <c r="B16" s="424" t="s">
        <v>1415</v>
      </c>
      <c r="C16" s="425" t="s">
        <v>1416</v>
      </c>
      <c r="D16" s="426" t="s">
        <v>1444</v>
      </c>
      <c r="E16" s="424" t="s">
        <v>50</v>
      </c>
      <c r="F16" s="199" t="s">
        <v>1418</v>
      </c>
      <c r="G16" s="425" t="s">
        <v>1446</v>
      </c>
      <c r="H16" s="199" t="s">
        <v>1436</v>
      </c>
      <c r="I16" s="646">
        <v>43983</v>
      </c>
      <c r="J16" s="274"/>
      <c r="K16" s="355"/>
      <c r="L16" s="355"/>
      <c r="M16" s="357"/>
      <c r="N16" s="365"/>
      <c r="O16" s="366"/>
      <c r="P16" s="10"/>
      <c r="Q16" s="10"/>
      <c r="R16" s="10"/>
      <c r="S16" s="10"/>
      <c r="T16" s="10"/>
      <c r="U16" s="10"/>
      <c r="V16" s="281"/>
      <c r="W16" s="281"/>
      <c r="X16" s="281"/>
    </row>
    <row r="17" spans="1:24" ht="25.5" x14ac:dyDescent="0.2">
      <c r="A17" s="423" t="s">
        <v>277</v>
      </c>
      <c r="B17" s="424" t="s">
        <v>1415</v>
      </c>
      <c r="C17" s="425" t="s">
        <v>1416</v>
      </c>
      <c r="D17" s="426" t="s">
        <v>1447</v>
      </c>
      <c r="E17" s="424" t="s">
        <v>50</v>
      </c>
      <c r="F17" s="199" t="s">
        <v>1418</v>
      </c>
      <c r="G17" s="425" t="s">
        <v>1446</v>
      </c>
      <c r="H17" s="425" t="s">
        <v>1438</v>
      </c>
      <c r="I17" s="646">
        <v>43983</v>
      </c>
      <c r="J17" s="274"/>
      <c r="K17" s="358"/>
      <c r="L17" s="356"/>
      <c r="M17" s="358"/>
      <c r="N17" s="356"/>
      <c r="O17" s="366"/>
      <c r="P17" s="10"/>
      <c r="Q17" s="10"/>
      <c r="R17" s="10"/>
      <c r="S17" s="10"/>
      <c r="T17" s="10"/>
      <c r="U17" s="10"/>
      <c r="V17" s="281"/>
      <c r="W17" s="281"/>
      <c r="X17" s="281"/>
    </row>
    <row r="18" spans="1:24" ht="25.5" x14ac:dyDescent="0.2">
      <c r="A18" s="423" t="s">
        <v>277</v>
      </c>
      <c r="B18" s="424" t="s">
        <v>1415</v>
      </c>
      <c r="C18" s="425" t="s">
        <v>1448</v>
      </c>
      <c r="D18" s="423" t="s">
        <v>1449</v>
      </c>
      <c r="E18" s="424">
        <v>2019</v>
      </c>
      <c r="F18" s="425" t="s">
        <v>1418</v>
      </c>
      <c r="G18" s="199" t="s">
        <v>1450</v>
      </c>
      <c r="H18" s="428" t="s">
        <v>1451</v>
      </c>
      <c r="I18" s="646">
        <v>43952</v>
      </c>
      <c r="J18" s="274"/>
      <c r="K18" s="358"/>
      <c r="L18" s="356"/>
      <c r="M18" s="358"/>
      <c r="N18" s="356"/>
      <c r="O18" s="366"/>
      <c r="P18" s="10"/>
      <c r="Q18" s="10"/>
      <c r="R18" s="10"/>
      <c r="S18" s="10"/>
      <c r="T18" s="10"/>
      <c r="U18" s="10"/>
      <c r="V18" s="281"/>
      <c r="W18" s="281"/>
      <c r="X18" s="281"/>
    </row>
    <row r="19" spans="1:24" ht="38.25" x14ac:dyDescent="0.2">
      <c r="A19" s="423" t="s">
        <v>277</v>
      </c>
      <c r="B19" s="424" t="s">
        <v>1452</v>
      </c>
      <c r="C19" s="286" t="s">
        <v>1453</v>
      </c>
      <c r="D19" s="423" t="s">
        <v>1452</v>
      </c>
      <c r="E19" s="424" t="s">
        <v>50</v>
      </c>
      <c r="F19" s="199" t="s">
        <v>1454</v>
      </c>
      <c r="G19" s="199" t="s">
        <v>1455</v>
      </c>
      <c r="H19" s="286"/>
      <c r="I19" s="692" t="s">
        <v>1955</v>
      </c>
      <c r="J19" s="644" t="s">
        <v>1962</v>
      </c>
      <c r="K19" s="358"/>
      <c r="L19" s="356"/>
      <c r="M19" s="358"/>
      <c r="N19" s="356"/>
      <c r="O19" s="366"/>
      <c r="P19" s="10"/>
      <c r="Q19" s="10"/>
      <c r="R19" s="10"/>
      <c r="S19" s="10"/>
      <c r="T19" s="10"/>
      <c r="U19" s="10"/>
      <c r="V19" s="281"/>
      <c r="W19" s="281"/>
      <c r="X19" s="281"/>
    </row>
    <row r="20" spans="1:24" ht="25.5" x14ac:dyDescent="0.2">
      <c r="A20" s="423" t="s">
        <v>277</v>
      </c>
      <c r="B20" s="429" t="s">
        <v>1456</v>
      </c>
      <c r="C20" s="286" t="s">
        <v>1448</v>
      </c>
      <c r="D20" s="423" t="s">
        <v>1457</v>
      </c>
      <c r="E20" s="424">
        <v>2019</v>
      </c>
      <c r="F20" s="425" t="s">
        <v>1418</v>
      </c>
      <c r="G20" s="425" t="s">
        <v>1458</v>
      </c>
      <c r="H20" s="428" t="s">
        <v>1451</v>
      </c>
      <c r="I20" s="646">
        <v>43952</v>
      </c>
      <c r="J20" s="274"/>
      <c r="K20" s="358"/>
      <c r="L20" s="356"/>
      <c r="M20" s="358"/>
      <c r="N20" s="356"/>
      <c r="O20" s="366"/>
      <c r="P20" s="10"/>
      <c r="Q20" s="10"/>
      <c r="R20" s="10"/>
      <c r="S20" s="10"/>
      <c r="T20" s="10"/>
      <c r="U20" s="10"/>
      <c r="V20" s="281"/>
      <c r="W20" s="281"/>
      <c r="X20" s="281"/>
    </row>
    <row r="21" spans="1:24" x14ac:dyDescent="0.2">
      <c r="A21" s="423" t="s">
        <v>277</v>
      </c>
      <c r="B21" s="429" t="s">
        <v>1459</v>
      </c>
      <c r="C21" s="286" t="s">
        <v>1448</v>
      </c>
      <c r="D21" s="423" t="s">
        <v>1460</v>
      </c>
      <c r="E21" s="424">
        <v>2019</v>
      </c>
      <c r="F21" s="425" t="s">
        <v>1418</v>
      </c>
      <c r="G21" s="425" t="s">
        <v>1458</v>
      </c>
      <c r="H21" s="428" t="s">
        <v>1461</v>
      </c>
      <c r="I21" s="646">
        <v>43952</v>
      </c>
      <c r="J21" s="274"/>
      <c r="K21" s="358"/>
      <c r="L21" s="356"/>
      <c r="M21" s="358"/>
      <c r="N21" s="356"/>
      <c r="O21" s="366"/>
      <c r="P21" s="10"/>
      <c r="Q21" s="10"/>
      <c r="R21" s="10"/>
      <c r="S21" s="10"/>
      <c r="T21" s="10"/>
      <c r="U21" s="10"/>
      <c r="V21" s="281"/>
      <c r="W21" s="281"/>
      <c r="X21" s="281"/>
    </row>
    <row r="22" spans="1:24" x14ac:dyDescent="0.2">
      <c r="A22" s="423" t="s">
        <v>277</v>
      </c>
      <c r="B22" s="429" t="s">
        <v>1462</v>
      </c>
      <c r="C22" s="286" t="s">
        <v>1448</v>
      </c>
      <c r="D22" s="423" t="s">
        <v>1463</v>
      </c>
      <c r="E22" s="424">
        <v>2019</v>
      </c>
      <c r="F22" s="425" t="s">
        <v>1418</v>
      </c>
      <c r="G22" s="425" t="s">
        <v>1458</v>
      </c>
      <c r="H22" s="199"/>
      <c r="I22" s="646">
        <v>43952</v>
      </c>
      <c r="J22" s="274"/>
      <c r="K22" s="358"/>
      <c r="L22" s="356"/>
      <c r="M22" s="358"/>
      <c r="N22" s="356"/>
      <c r="O22" s="366"/>
      <c r="P22" s="10"/>
      <c r="Q22" s="10"/>
      <c r="R22" s="10"/>
      <c r="S22" s="10"/>
      <c r="T22" s="10"/>
      <c r="U22" s="10"/>
      <c r="V22" s="281"/>
      <c r="W22" s="281"/>
      <c r="X22" s="281"/>
    </row>
    <row r="23" spans="1:24" ht="25.5" x14ac:dyDescent="0.2">
      <c r="A23" s="423" t="s">
        <v>277</v>
      </c>
      <c r="B23" s="430" t="s">
        <v>876</v>
      </c>
      <c r="C23" s="286" t="s">
        <v>1448</v>
      </c>
      <c r="D23" s="423" t="s">
        <v>1464</v>
      </c>
      <c r="E23" s="424" t="s">
        <v>50</v>
      </c>
      <c r="F23" s="199" t="s">
        <v>1418</v>
      </c>
      <c r="G23" s="425" t="s">
        <v>1465</v>
      </c>
      <c r="H23" s="428" t="s">
        <v>1466</v>
      </c>
      <c r="I23" s="689" t="s">
        <v>1956</v>
      </c>
      <c r="J23" s="640" t="s">
        <v>1886</v>
      </c>
      <c r="K23" s="358"/>
      <c r="L23" s="356"/>
      <c r="M23" s="358"/>
      <c r="N23" s="356"/>
      <c r="O23" s="366"/>
      <c r="P23" s="10"/>
      <c r="Q23" s="10"/>
      <c r="R23" s="10"/>
      <c r="S23" s="10"/>
      <c r="T23" s="10"/>
      <c r="U23" s="10"/>
      <c r="V23" s="281"/>
      <c r="W23" s="281"/>
      <c r="X23" s="281"/>
    </row>
    <row r="24" spans="1:24" x14ac:dyDescent="0.2">
      <c r="A24" s="423" t="s">
        <v>277</v>
      </c>
      <c r="B24" s="429" t="s">
        <v>1467</v>
      </c>
      <c r="C24" s="286" t="s">
        <v>1448</v>
      </c>
      <c r="D24" s="423" t="s">
        <v>1468</v>
      </c>
      <c r="E24" s="424" t="s">
        <v>50</v>
      </c>
      <c r="F24" s="425" t="s">
        <v>1418</v>
      </c>
      <c r="G24" s="431" t="s">
        <v>1469</v>
      </c>
      <c r="H24" s="199"/>
      <c r="I24" s="645" t="s">
        <v>1837</v>
      </c>
      <c r="J24" s="274"/>
      <c r="K24" s="358"/>
      <c r="L24" s="356"/>
      <c r="M24" s="358"/>
      <c r="N24" s="356"/>
      <c r="O24" s="366"/>
      <c r="P24" s="10"/>
      <c r="Q24" s="10"/>
      <c r="R24" s="10"/>
      <c r="S24" s="10"/>
      <c r="T24" s="10"/>
      <c r="U24" s="10"/>
      <c r="V24" s="281"/>
      <c r="W24" s="281"/>
      <c r="X24" s="281"/>
    </row>
    <row r="25" spans="1:24" x14ac:dyDescent="0.2">
      <c r="A25" s="423" t="s">
        <v>277</v>
      </c>
      <c r="B25" s="430" t="s">
        <v>1467</v>
      </c>
      <c r="C25" s="286" t="s">
        <v>1448</v>
      </c>
      <c r="D25" s="423" t="s">
        <v>1470</v>
      </c>
      <c r="E25" s="424" t="s">
        <v>50</v>
      </c>
      <c r="F25" s="425" t="s">
        <v>1418</v>
      </c>
      <c r="G25" s="199" t="s">
        <v>1419</v>
      </c>
      <c r="H25" s="199"/>
      <c r="I25" s="689">
        <v>43938</v>
      </c>
      <c r="J25" s="645" t="s">
        <v>1838</v>
      </c>
      <c r="K25" s="361"/>
      <c r="L25" s="361"/>
      <c r="M25" s="362"/>
      <c r="N25" s="363"/>
      <c r="O25" s="366"/>
      <c r="P25" s="10"/>
      <c r="Q25" s="10"/>
      <c r="R25" s="10"/>
      <c r="S25" s="10"/>
      <c r="T25" s="10"/>
      <c r="U25" s="10"/>
      <c r="V25" s="281"/>
      <c r="W25" s="281"/>
      <c r="X25" s="281"/>
    </row>
    <row r="26" spans="1:24" ht="38.25" x14ac:dyDescent="0.2">
      <c r="A26" s="423" t="s">
        <v>277</v>
      </c>
      <c r="B26" s="424" t="s">
        <v>1415</v>
      </c>
      <c r="C26" s="286" t="s">
        <v>1448</v>
      </c>
      <c r="D26" s="432" t="s">
        <v>1471</v>
      </c>
      <c r="E26" s="424" t="s">
        <v>50</v>
      </c>
      <c r="F26" s="199" t="s">
        <v>1418</v>
      </c>
      <c r="G26" s="199" t="s">
        <v>1430</v>
      </c>
      <c r="H26" s="425" t="s">
        <v>1472</v>
      </c>
      <c r="I26" s="692" t="s">
        <v>1955</v>
      </c>
      <c r="J26" s="644" t="s">
        <v>1962</v>
      </c>
      <c r="K26" s="358"/>
      <c r="L26" s="358"/>
      <c r="M26" s="358"/>
      <c r="N26" s="358"/>
      <c r="O26" s="366"/>
      <c r="P26" s="10"/>
      <c r="Q26" s="10"/>
      <c r="R26" s="10"/>
      <c r="S26" s="10"/>
      <c r="T26" s="10"/>
      <c r="U26" s="10"/>
      <c r="V26" s="281"/>
      <c r="W26" s="281"/>
      <c r="X26" s="281"/>
    </row>
    <row r="27" spans="1:24" ht="38.25" x14ac:dyDescent="0.2">
      <c r="A27" s="423" t="s">
        <v>277</v>
      </c>
      <c r="B27" s="424" t="s">
        <v>1415</v>
      </c>
      <c r="C27" s="286" t="s">
        <v>1448</v>
      </c>
      <c r="D27" s="432" t="s">
        <v>1473</v>
      </c>
      <c r="E27" s="424" t="s">
        <v>50</v>
      </c>
      <c r="F27" s="425" t="s">
        <v>1418</v>
      </c>
      <c r="G27" s="199" t="s">
        <v>1430</v>
      </c>
      <c r="H27" s="425" t="s">
        <v>1472</v>
      </c>
      <c r="I27" s="692" t="s">
        <v>1955</v>
      </c>
      <c r="J27" s="644" t="s">
        <v>1962</v>
      </c>
      <c r="K27" s="358"/>
      <c r="L27" s="358"/>
      <c r="M27" s="358"/>
      <c r="N27" s="358"/>
      <c r="O27" s="366"/>
      <c r="P27" s="10"/>
      <c r="Q27" s="10"/>
      <c r="R27" s="10"/>
      <c r="S27" s="10"/>
      <c r="T27" s="10"/>
      <c r="U27" s="10"/>
      <c r="V27" s="281"/>
      <c r="W27" s="281"/>
      <c r="X27" s="281"/>
    </row>
    <row r="28" spans="1:24" ht="38.25" x14ac:dyDescent="0.2">
      <c r="A28" s="423" t="s">
        <v>277</v>
      </c>
      <c r="B28" s="424" t="s">
        <v>1415</v>
      </c>
      <c r="C28" s="286" t="s">
        <v>1448</v>
      </c>
      <c r="D28" s="432" t="s">
        <v>1474</v>
      </c>
      <c r="E28" s="424" t="s">
        <v>50</v>
      </c>
      <c r="F28" s="425" t="s">
        <v>1418</v>
      </c>
      <c r="G28" s="425" t="s">
        <v>1425</v>
      </c>
      <c r="H28" s="425" t="s">
        <v>1472</v>
      </c>
      <c r="I28" s="692" t="s">
        <v>1955</v>
      </c>
      <c r="J28" s="644" t="s">
        <v>1962</v>
      </c>
      <c r="K28" s="358"/>
      <c r="L28" s="358"/>
      <c r="M28" s="358"/>
      <c r="N28" s="358"/>
      <c r="O28" s="366"/>
      <c r="P28" s="10"/>
      <c r="Q28" s="10"/>
      <c r="R28" s="10"/>
      <c r="S28" s="10"/>
      <c r="T28" s="10"/>
      <c r="U28" s="10"/>
      <c r="V28" s="281"/>
      <c r="W28" s="281"/>
      <c r="X28" s="281"/>
    </row>
    <row r="29" spans="1:24" ht="25.5" x14ac:dyDescent="0.2">
      <c r="A29" s="433" t="s">
        <v>277</v>
      </c>
      <c r="B29" s="199" t="s">
        <v>915</v>
      </c>
      <c r="C29" s="286" t="s">
        <v>1475</v>
      </c>
      <c r="D29" s="433" t="s">
        <v>1476</v>
      </c>
      <c r="E29" s="199" t="s">
        <v>50</v>
      </c>
      <c r="F29" s="199" t="s">
        <v>1418</v>
      </c>
      <c r="G29" s="425" t="s">
        <v>1477</v>
      </c>
      <c r="H29" s="428"/>
      <c r="I29" s="646">
        <v>43922</v>
      </c>
      <c r="J29" s="274" t="s">
        <v>1964</v>
      </c>
      <c r="K29" s="358"/>
      <c r="L29" s="358"/>
      <c r="M29" s="358"/>
      <c r="N29" s="358"/>
      <c r="O29" s="366"/>
      <c r="P29" s="10"/>
      <c r="Q29" s="10"/>
      <c r="R29" s="10"/>
      <c r="S29" s="10"/>
      <c r="T29" s="10"/>
      <c r="U29" s="10"/>
      <c r="V29" s="281"/>
      <c r="W29" s="281"/>
      <c r="X29" s="281"/>
    </row>
    <row r="30" spans="1:24" ht="38.25" x14ac:dyDescent="0.2">
      <c r="A30" s="423" t="s">
        <v>277</v>
      </c>
      <c r="B30" s="429" t="s">
        <v>915</v>
      </c>
      <c r="C30" s="286" t="s">
        <v>1475</v>
      </c>
      <c r="D30" s="434" t="s">
        <v>1478</v>
      </c>
      <c r="E30" s="424">
        <v>2018</v>
      </c>
      <c r="F30" s="199" t="s">
        <v>1418</v>
      </c>
      <c r="G30" s="425" t="s">
        <v>1479</v>
      </c>
      <c r="H30" s="435" t="s">
        <v>1480</v>
      </c>
      <c r="I30" s="645" t="s">
        <v>7</v>
      </c>
      <c r="J30" s="274" t="s">
        <v>1894</v>
      </c>
      <c r="K30" s="10"/>
      <c r="L30" s="10"/>
      <c r="M30" s="10"/>
      <c r="N30" s="10"/>
      <c r="O30" s="10"/>
      <c r="P30" s="10"/>
      <c r="Q30" s="10"/>
      <c r="R30" s="10"/>
      <c r="S30" s="10"/>
      <c r="T30" s="10"/>
      <c r="U30" s="10"/>
      <c r="V30" s="281"/>
      <c r="W30" s="281"/>
      <c r="X30" s="281"/>
    </row>
    <row r="31" spans="1:24" x14ac:dyDescent="0.2">
      <c r="A31" s="423" t="s">
        <v>277</v>
      </c>
      <c r="B31" s="429" t="s">
        <v>915</v>
      </c>
      <c r="C31" s="433" t="s">
        <v>1481</v>
      </c>
      <c r="D31" s="434" t="s">
        <v>1482</v>
      </c>
      <c r="E31" s="424" t="s">
        <v>50</v>
      </c>
      <c r="F31" s="425" t="s">
        <v>1418</v>
      </c>
      <c r="G31" s="425" t="s">
        <v>1477</v>
      </c>
      <c r="H31" s="435"/>
      <c r="I31" s="645">
        <v>43913</v>
      </c>
      <c r="J31" s="274"/>
      <c r="K31" s="10"/>
      <c r="L31" s="10"/>
      <c r="M31" s="10"/>
      <c r="N31" s="10"/>
      <c r="O31" s="10"/>
      <c r="P31" s="10"/>
      <c r="Q31" s="10"/>
      <c r="R31" s="10"/>
      <c r="S31" s="10"/>
      <c r="T31" s="10"/>
      <c r="U31" s="10"/>
      <c r="V31" s="281"/>
      <c r="W31" s="281"/>
      <c r="X31" s="281"/>
    </row>
    <row r="32" spans="1:24" x14ac:dyDescent="0.2">
      <c r="A32" s="423" t="s">
        <v>277</v>
      </c>
      <c r="B32" s="429" t="s">
        <v>915</v>
      </c>
      <c r="C32" s="433" t="s">
        <v>1481</v>
      </c>
      <c r="D32" s="434" t="s">
        <v>1483</v>
      </c>
      <c r="E32" s="424" t="s">
        <v>50</v>
      </c>
      <c r="F32" s="425" t="s">
        <v>1418</v>
      </c>
      <c r="G32" s="425" t="s">
        <v>1477</v>
      </c>
      <c r="H32" s="435"/>
      <c r="I32" s="646">
        <v>43983</v>
      </c>
      <c r="J32" s="274" t="s">
        <v>1880</v>
      </c>
      <c r="K32" s="10"/>
      <c r="L32" s="10"/>
      <c r="M32" s="10"/>
      <c r="N32" s="10"/>
      <c r="O32" s="10"/>
      <c r="P32" s="10"/>
      <c r="Q32" s="10"/>
      <c r="R32" s="10"/>
      <c r="S32" s="10"/>
      <c r="T32" s="10"/>
      <c r="U32" s="10"/>
      <c r="V32" s="281"/>
      <c r="W32" s="281"/>
      <c r="X32" s="281"/>
    </row>
    <row r="33" spans="1:24" x14ac:dyDescent="0.2">
      <c r="A33" s="436" t="s">
        <v>752</v>
      </c>
      <c r="B33" s="436" t="s">
        <v>100</v>
      </c>
      <c r="C33" s="436" t="s">
        <v>1484</v>
      </c>
      <c r="D33" s="436" t="s">
        <v>1485</v>
      </c>
      <c r="E33" s="436" t="s">
        <v>50</v>
      </c>
      <c r="F33" s="436" t="s">
        <v>1418</v>
      </c>
      <c r="G33" s="197" t="s">
        <v>1486</v>
      </c>
      <c r="H33" s="436" t="s">
        <v>1487</v>
      </c>
      <c r="I33" s="646">
        <v>43862</v>
      </c>
      <c r="J33" s="274"/>
      <c r="K33" s="10"/>
      <c r="L33" s="10"/>
      <c r="M33" s="10"/>
      <c r="N33" s="10"/>
      <c r="O33" s="10"/>
      <c r="P33" s="10"/>
      <c r="Q33" s="10"/>
      <c r="R33" s="10"/>
      <c r="S33" s="10"/>
      <c r="T33" s="10"/>
      <c r="U33" s="10"/>
      <c r="V33" s="281"/>
      <c r="W33" s="281"/>
      <c r="X33" s="281"/>
    </row>
    <row r="34" spans="1:24" x14ac:dyDescent="0.2">
      <c r="A34" s="436" t="s">
        <v>752</v>
      </c>
      <c r="B34" s="436" t="s">
        <v>96</v>
      </c>
      <c r="C34" s="436" t="s">
        <v>1484</v>
      </c>
      <c r="D34" s="436" t="s">
        <v>96</v>
      </c>
      <c r="E34" s="436" t="s">
        <v>50</v>
      </c>
      <c r="F34" s="436" t="s">
        <v>1418</v>
      </c>
      <c r="G34" s="197" t="s">
        <v>1486</v>
      </c>
      <c r="H34" s="436" t="s">
        <v>1487</v>
      </c>
      <c r="I34" s="646">
        <v>43862</v>
      </c>
      <c r="J34" s="274"/>
      <c r="K34" s="279"/>
      <c r="L34" s="279"/>
      <c r="M34" s="10"/>
      <c r="N34" s="10"/>
      <c r="O34" s="10"/>
      <c r="P34" s="10"/>
      <c r="Q34" s="10"/>
      <c r="R34" s="10"/>
      <c r="S34" s="10"/>
      <c r="T34" s="10"/>
      <c r="U34" s="10"/>
      <c r="V34" s="281"/>
      <c r="W34" s="281"/>
      <c r="X34" s="281"/>
    </row>
    <row r="35" spans="1:24" ht="38.25" x14ac:dyDescent="0.2">
      <c r="A35" s="436" t="s">
        <v>752</v>
      </c>
      <c r="B35" s="436" t="s">
        <v>1055</v>
      </c>
      <c r="C35" s="436" t="s">
        <v>1484</v>
      </c>
      <c r="D35" s="436" t="s">
        <v>1055</v>
      </c>
      <c r="E35" s="436" t="s">
        <v>50</v>
      </c>
      <c r="F35" s="436" t="s">
        <v>1418</v>
      </c>
      <c r="G35" s="197" t="s">
        <v>1488</v>
      </c>
      <c r="H35" s="437" t="s">
        <v>1489</v>
      </c>
      <c r="I35" s="646">
        <v>43862</v>
      </c>
      <c r="J35" s="274" t="s">
        <v>1885</v>
      </c>
      <c r="K35" s="10"/>
      <c r="L35" s="10"/>
      <c r="M35" s="10"/>
      <c r="N35" s="10"/>
      <c r="O35" s="10"/>
      <c r="P35" s="10"/>
      <c r="Q35" s="10"/>
      <c r="R35" s="10"/>
      <c r="S35" s="10"/>
      <c r="T35" s="10"/>
      <c r="U35" s="10"/>
      <c r="V35" s="281"/>
      <c r="W35" s="281"/>
      <c r="X35" s="281"/>
    </row>
    <row r="36" spans="1:24" x14ac:dyDescent="0.2">
      <c r="A36" s="404" t="s">
        <v>277</v>
      </c>
      <c r="B36" s="405" t="s">
        <v>1490</v>
      </c>
      <c r="C36" s="405" t="s">
        <v>1491</v>
      </c>
      <c r="D36" s="438" t="s">
        <v>1492</v>
      </c>
      <c r="E36" s="405" t="s">
        <v>77</v>
      </c>
      <c r="F36" s="439" t="s">
        <v>1493</v>
      </c>
      <c r="G36" s="405" t="s">
        <v>1494</v>
      </c>
      <c r="H36" s="440"/>
      <c r="I36" s="646">
        <v>43862</v>
      </c>
      <c r="J36" s="541" t="s">
        <v>1859</v>
      </c>
      <c r="K36" s="10"/>
      <c r="L36" s="10"/>
      <c r="M36" s="10"/>
      <c r="N36" s="10"/>
      <c r="O36" s="10"/>
      <c r="P36" s="10"/>
      <c r="Q36" s="10"/>
      <c r="R36" s="10"/>
      <c r="S36" s="10"/>
      <c r="T36" s="10"/>
      <c r="U36" s="10"/>
      <c r="V36" s="281"/>
      <c r="W36" s="281"/>
      <c r="X36" s="281"/>
    </row>
    <row r="37" spans="1:24" x14ac:dyDescent="0.2">
      <c r="A37" s="404" t="s">
        <v>277</v>
      </c>
      <c r="B37" s="196" t="s">
        <v>1495</v>
      </c>
      <c r="C37" s="196" t="s">
        <v>1496</v>
      </c>
      <c r="D37" s="441" t="s">
        <v>152</v>
      </c>
      <c r="E37" s="196" t="s">
        <v>77</v>
      </c>
      <c r="F37" s="188" t="s">
        <v>1493</v>
      </c>
      <c r="G37" s="196" t="s">
        <v>1494</v>
      </c>
      <c r="H37" s="442"/>
      <c r="I37" s="646">
        <v>43862</v>
      </c>
      <c r="J37" s="541" t="s">
        <v>1859</v>
      </c>
      <c r="K37" s="10"/>
      <c r="L37" s="10"/>
      <c r="M37" s="10"/>
      <c r="N37" s="10"/>
      <c r="O37" s="10"/>
      <c r="P37" s="10"/>
      <c r="Q37" s="10"/>
      <c r="R37" s="10"/>
      <c r="S37" s="10"/>
      <c r="T37" s="10"/>
      <c r="U37" s="10"/>
      <c r="V37" s="281"/>
      <c r="W37" s="281"/>
      <c r="X37" s="281"/>
    </row>
    <row r="38" spans="1:24" x14ac:dyDescent="0.2">
      <c r="A38" s="404" t="s">
        <v>277</v>
      </c>
      <c r="B38" s="196" t="s">
        <v>1497</v>
      </c>
      <c r="C38" s="196" t="s">
        <v>1498</v>
      </c>
      <c r="D38" s="441" t="s">
        <v>1499</v>
      </c>
      <c r="E38" s="196" t="s">
        <v>77</v>
      </c>
      <c r="F38" s="188" t="s">
        <v>77</v>
      </c>
      <c r="G38" s="196" t="s">
        <v>1500</v>
      </c>
      <c r="H38" s="442"/>
      <c r="I38" s="646">
        <v>43862</v>
      </c>
      <c r="J38" s="541"/>
      <c r="K38" s="10"/>
      <c r="L38" s="10"/>
      <c r="M38" s="10"/>
      <c r="N38" s="10"/>
      <c r="O38" s="10"/>
      <c r="P38" s="10"/>
      <c r="Q38" s="10"/>
      <c r="R38" s="10"/>
      <c r="S38" s="10"/>
      <c r="T38" s="10"/>
      <c r="U38" s="10"/>
      <c r="V38" s="281"/>
      <c r="W38" s="281"/>
      <c r="X38" s="281"/>
    </row>
    <row r="39" spans="1:24" x14ac:dyDescent="0.2">
      <c r="A39" s="404" t="s">
        <v>277</v>
      </c>
      <c r="B39" s="196" t="s">
        <v>1497</v>
      </c>
      <c r="C39" s="196" t="s">
        <v>1498</v>
      </c>
      <c r="D39" s="441" t="s">
        <v>1501</v>
      </c>
      <c r="E39" s="196" t="s">
        <v>77</v>
      </c>
      <c r="F39" s="188" t="s">
        <v>77</v>
      </c>
      <c r="G39" s="196" t="s">
        <v>1502</v>
      </c>
      <c r="H39" s="442"/>
      <c r="I39" s="646">
        <v>43862</v>
      </c>
      <c r="J39" s="541"/>
      <c r="K39" s="10"/>
      <c r="L39" s="10"/>
      <c r="M39" s="10"/>
      <c r="N39" s="10"/>
      <c r="O39" s="10"/>
      <c r="P39" s="10"/>
      <c r="Q39" s="10"/>
      <c r="R39" s="10"/>
      <c r="S39" s="10"/>
      <c r="T39" s="10"/>
      <c r="U39" s="10"/>
      <c r="V39" s="281"/>
      <c r="W39" s="281"/>
      <c r="X39" s="281"/>
    </row>
    <row r="40" spans="1:24" x14ac:dyDescent="0.2">
      <c r="A40" s="404" t="s">
        <v>277</v>
      </c>
      <c r="B40" s="196" t="s">
        <v>1503</v>
      </c>
      <c r="C40" s="196" t="s">
        <v>1504</v>
      </c>
      <c r="D40" s="441" t="s">
        <v>152</v>
      </c>
      <c r="E40" s="196" t="s">
        <v>77</v>
      </c>
      <c r="F40" s="188" t="s">
        <v>1505</v>
      </c>
      <c r="G40" s="196" t="s">
        <v>1506</v>
      </c>
      <c r="H40" s="442"/>
      <c r="I40" s="646">
        <v>43770</v>
      </c>
      <c r="J40" s="541" t="s">
        <v>1860</v>
      </c>
      <c r="K40" s="10"/>
      <c r="L40" s="10"/>
      <c r="M40" s="10"/>
      <c r="N40" s="10"/>
      <c r="O40" s="10"/>
      <c r="P40" s="10"/>
      <c r="Q40" s="10"/>
      <c r="R40" s="10"/>
      <c r="S40" s="10"/>
      <c r="T40" s="10"/>
      <c r="U40" s="10"/>
      <c r="V40" s="281"/>
      <c r="W40" s="281"/>
      <c r="X40" s="281"/>
    </row>
    <row r="41" spans="1:24" x14ac:dyDescent="0.2">
      <c r="A41" s="1"/>
      <c r="B41" s="1"/>
      <c r="C41" s="1"/>
      <c r="D41" s="28"/>
      <c r="E41" s="1"/>
      <c r="F41" s="1"/>
      <c r="G41" s="1"/>
      <c r="H41" s="1"/>
      <c r="I41" s="552"/>
      <c r="J41" s="10"/>
      <c r="K41" s="10"/>
      <c r="L41" s="10"/>
      <c r="M41" s="10"/>
      <c r="N41" s="10"/>
      <c r="O41" s="10"/>
      <c r="P41" s="10"/>
      <c r="Q41" s="10"/>
      <c r="R41" s="10"/>
      <c r="S41" s="10"/>
      <c r="T41" s="10"/>
      <c r="U41" s="10"/>
      <c r="V41" s="10"/>
      <c r="W41" s="10"/>
      <c r="X41" s="10"/>
    </row>
    <row r="42" spans="1:24" x14ac:dyDescent="0.2">
      <c r="A42" s="10"/>
      <c r="B42" s="276"/>
      <c r="C42" s="10"/>
      <c r="D42" s="10"/>
      <c r="E42" s="10"/>
      <c r="F42" s="10"/>
      <c r="G42" s="10"/>
      <c r="H42" s="10"/>
      <c r="I42" s="552"/>
      <c r="J42" s="10"/>
      <c r="K42" s="10"/>
      <c r="L42" s="10"/>
      <c r="M42" s="10"/>
      <c r="N42" s="10"/>
      <c r="O42" s="10"/>
      <c r="P42" s="10"/>
      <c r="Q42" s="10"/>
      <c r="R42" s="10"/>
      <c r="S42" s="10"/>
      <c r="T42" s="10"/>
      <c r="U42" s="10"/>
      <c r="V42" s="281"/>
      <c r="W42" s="281"/>
      <c r="X42" s="281"/>
    </row>
    <row r="43" spans="1:24" x14ac:dyDescent="0.2">
      <c r="A43" s="10"/>
      <c r="B43" s="276"/>
      <c r="C43" s="10"/>
      <c r="D43" s="10"/>
      <c r="E43" s="10"/>
      <c r="F43" s="10"/>
      <c r="G43" s="10"/>
      <c r="H43" s="10"/>
      <c r="I43" s="552"/>
      <c r="J43" s="10"/>
      <c r="K43" s="10"/>
      <c r="L43" s="10"/>
      <c r="M43" s="10"/>
      <c r="N43" s="10"/>
      <c r="O43" s="10"/>
      <c r="P43" s="10"/>
      <c r="Q43" s="10"/>
      <c r="R43" s="10"/>
      <c r="S43" s="10"/>
      <c r="T43" s="10"/>
      <c r="U43" s="10"/>
      <c r="V43" s="281"/>
      <c r="W43" s="281"/>
      <c r="X43" s="281"/>
    </row>
    <row r="44" spans="1:24" x14ac:dyDescent="0.2">
      <c r="A44" s="10"/>
      <c r="B44" s="276"/>
      <c r="C44" s="10"/>
      <c r="D44" s="10"/>
      <c r="E44" s="10"/>
      <c r="F44" s="10"/>
      <c r="G44" s="10"/>
      <c r="H44" s="10"/>
      <c r="I44" s="552"/>
      <c r="J44" s="10"/>
      <c r="K44" s="10"/>
      <c r="L44" s="10"/>
      <c r="M44" s="10"/>
      <c r="N44" s="10"/>
      <c r="O44" s="10"/>
      <c r="P44" s="10"/>
      <c r="Q44" s="10"/>
      <c r="R44" s="10"/>
      <c r="S44" s="10"/>
      <c r="T44" s="10"/>
      <c r="U44" s="10"/>
      <c r="V44" s="281"/>
      <c r="W44" s="281"/>
      <c r="X44" s="281"/>
    </row>
    <row r="45" spans="1:24" x14ac:dyDescent="0.2">
      <c r="A45" s="10"/>
      <c r="B45" s="276"/>
      <c r="C45" s="10"/>
      <c r="D45" s="10"/>
      <c r="E45" s="10"/>
      <c r="F45" s="10"/>
      <c r="G45" s="10"/>
      <c r="H45" s="10"/>
      <c r="I45" s="552"/>
      <c r="J45" s="10"/>
      <c r="K45" s="10"/>
      <c r="L45" s="10"/>
      <c r="M45" s="10"/>
      <c r="N45" s="10"/>
      <c r="O45" s="10"/>
      <c r="P45" s="10"/>
      <c r="Q45" s="10"/>
      <c r="R45" s="10"/>
      <c r="S45" s="10"/>
      <c r="T45" s="10"/>
      <c r="U45" s="10"/>
      <c r="V45" s="10"/>
      <c r="W45" s="10"/>
      <c r="X45" s="10"/>
    </row>
    <row r="46" spans="1:24" x14ac:dyDescent="0.2">
      <c r="A46" s="10"/>
      <c r="B46" s="276"/>
      <c r="C46" s="10"/>
      <c r="D46" s="10"/>
      <c r="E46" s="10"/>
      <c r="F46" s="10"/>
      <c r="G46" s="10"/>
      <c r="H46" s="10"/>
      <c r="I46" s="552"/>
      <c r="J46" s="10"/>
      <c r="K46" s="10"/>
      <c r="L46" s="10"/>
      <c r="M46" s="10"/>
      <c r="N46" s="10"/>
      <c r="O46" s="10"/>
      <c r="P46" s="10"/>
      <c r="Q46" s="10"/>
      <c r="R46" s="10"/>
      <c r="S46" s="10"/>
      <c r="T46" s="10"/>
      <c r="U46" s="10"/>
      <c r="V46" s="281"/>
      <c r="W46" s="281"/>
      <c r="X46" s="281"/>
    </row>
    <row r="47" spans="1:24" x14ac:dyDescent="0.2">
      <c r="A47" s="10"/>
      <c r="B47" s="276"/>
      <c r="C47" s="10"/>
      <c r="D47" s="10"/>
      <c r="E47" s="10"/>
      <c r="F47" s="10"/>
      <c r="G47" s="10"/>
      <c r="H47" s="10"/>
      <c r="I47" s="552"/>
      <c r="J47" s="10"/>
      <c r="K47" s="10"/>
      <c r="L47" s="10"/>
      <c r="M47" s="10"/>
      <c r="N47" s="10"/>
      <c r="O47" s="10"/>
      <c r="P47" s="10"/>
      <c r="Q47" s="10"/>
      <c r="R47" s="10"/>
      <c r="S47" s="10"/>
      <c r="T47" s="10"/>
      <c r="U47" s="10"/>
      <c r="V47" s="281"/>
      <c r="W47" s="281"/>
      <c r="X47" s="281"/>
    </row>
    <row r="48" spans="1:24" x14ac:dyDescent="0.2">
      <c r="A48" s="10"/>
      <c r="B48" s="276"/>
      <c r="C48" s="10"/>
      <c r="D48" s="10"/>
      <c r="E48" s="10"/>
      <c r="F48" s="10"/>
      <c r="G48" s="10"/>
      <c r="H48" s="10"/>
      <c r="I48" s="552"/>
      <c r="J48" s="10"/>
      <c r="K48" s="10"/>
      <c r="L48" s="10"/>
      <c r="M48" s="10"/>
      <c r="N48" s="10"/>
      <c r="O48" s="10"/>
      <c r="P48" s="10"/>
      <c r="Q48" s="10"/>
      <c r="R48" s="10"/>
      <c r="S48" s="10"/>
      <c r="T48" s="10"/>
      <c r="U48" s="10"/>
      <c r="V48" s="281"/>
      <c r="W48" s="281"/>
      <c r="X48" s="281"/>
    </row>
    <row r="49" spans="1:24" x14ac:dyDescent="0.2">
      <c r="A49" s="10"/>
      <c r="B49" s="276"/>
      <c r="C49" s="10"/>
      <c r="D49" s="10"/>
      <c r="E49" s="10"/>
      <c r="F49" s="10"/>
      <c r="G49" s="10"/>
      <c r="H49" s="10"/>
      <c r="I49" s="552"/>
      <c r="J49" s="10"/>
      <c r="K49" s="10"/>
      <c r="L49" s="10"/>
      <c r="M49" s="10"/>
      <c r="N49" s="10"/>
      <c r="O49" s="10"/>
      <c r="P49" s="10"/>
      <c r="Q49" s="10"/>
      <c r="R49" s="10"/>
      <c r="S49" s="10"/>
      <c r="T49" s="10"/>
      <c r="U49" s="10"/>
      <c r="V49" s="281"/>
      <c r="W49" s="281"/>
      <c r="X49" s="281"/>
    </row>
    <row r="50" spans="1:24" x14ac:dyDescent="0.2">
      <c r="A50" s="10"/>
      <c r="B50" s="276"/>
      <c r="C50" s="10"/>
      <c r="D50" s="10"/>
      <c r="E50" s="10"/>
      <c r="F50" s="10"/>
      <c r="G50" s="10"/>
      <c r="H50" s="10"/>
      <c r="I50" s="552"/>
      <c r="J50" s="10"/>
      <c r="K50" s="10"/>
      <c r="L50" s="10"/>
      <c r="M50" s="10"/>
      <c r="N50" s="10"/>
      <c r="O50" s="10"/>
      <c r="P50" s="10"/>
      <c r="Q50" s="10"/>
      <c r="R50" s="10"/>
      <c r="S50" s="10"/>
      <c r="T50" s="10"/>
      <c r="U50" s="10"/>
      <c r="V50" s="281"/>
      <c r="W50" s="281"/>
      <c r="X50" s="281"/>
    </row>
    <row r="51" spans="1:24" x14ac:dyDescent="0.2">
      <c r="A51" s="10"/>
      <c r="B51" s="276"/>
      <c r="C51" s="10"/>
      <c r="D51" s="10"/>
      <c r="E51" s="10"/>
      <c r="F51" s="10"/>
      <c r="G51" s="10"/>
      <c r="H51" s="10"/>
      <c r="I51" s="552"/>
      <c r="J51" s="10"/>
      <c r="K51" s="10"/>
      <c r="L51" s="10"/>
      <c r="M51" s="10"/>
      <c r="N51" s="10"/>
      <c r="O51" s="10"/>
      <c r="P51" s="10"/>
      <c r="Q51" s="10"/>
      <c r="R51" s="10"/>
      <c r="S51" s="10"/>
      <c r="T51" s="10"/>
      <c r="U51" s="10"/>
      <c r="V51" s="281"/>
      <c r="W51" s="281"/>
      <c r="X51" s="281"/>
    </row>
    <row r="52" spans="1:24" x14ac:dyDescent="0.2">
      <c r="A52" s="10"/>
      <c r="B52" s="276"/>
      <c r="C52" s="10"/>
      <c r="D52" s="10"/>
      <c r="E52" s="10"/>
      <c r="F52" s="10"/>
      <c r="G52" s="10"/>
      <c r="H52" s="10"/>
      <c r="I52" s="552"/>
      <c r="J52" s="10"/>
      <c r="K52" s="10"/>
      <c r="L52" s="10"/>
      <c r="M52" s="10"/>
      <c r="N52" s="10"/>
      <c r="O52" s="10"/>
      <c r="P52" s="10"/>
      <c r="Q52" s="10"/>
      <c r="R52" s="10"/>
      <c r="S52" s="10"/>
      <c r="T52" s="10"/>
      <c r="U52" s="10"/>
      <c r="V52" s="281"/>
      <c r="W52" s="281"/>
      <c r="X52" s="281"/>
    </row>
    <row r="53" spans="1:24" x14ac:dyDescent="0.2">
      <c r="C53" s="264"/>
      <c r="D53" s="3"/>
    </row>
    <row r="54" spans="1:24" x14ac:dyDescent="0.2">
      <c r="C54" s="264"/>
      <c r="D54" s="3"/>
    </row>
    <row r="55" spans="1:24" x14ac:dyDescent="0.2">
      <c r="C55" s="264"/>
      <c r="D55" s="3"/>
    </row>
    <row r="56" spans="1:24" x14ac:dyDescent="0.2">
      <c r="C56" s="264"/>
      <c r="D56" s="3"/>
    </row>
  </sheetData>
  <mergeCells count="1">
    <mergeCell ref="A2:F3"/>
  </mergeCells>
  <dataValidations count="1">
    <dataValidation type="textLength" showInputMessage="1" showErrorMessage="1" sqref="H15 H5:H8 J5:J6 J9 I7:J8 J19 I10:J18 I20:J22 I24 J23:J28 I29:J40">
      <formula1>0</formula1>
      <formula2>150</formula2>
    </dataValidation>
  </dataValidations>
  <pageMargins left="0.7" right="0.7" top="0.75" bottom="0.75" header="0.3" footer="0.3"/>
  <pageSetup paperSize="9" scale="72" fitToHeight="0"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Y83"/>
  <sheetViews>
    <sheetView topLeftCell="B40" zoomScale="90" zoomScaleNormal="90" workbookViewId="0">
      <selection activeCell="C18" sqref="C18"/>
    </sheetView>
  </sheetViews>
  <sheetFormatPr defaultColWidth="8.85546875" defaultRowHeight="12.75" x14ac:dyDescent="0.2"/>
  <cols>
    <col min="1" max="1" width="22.42578125" style="3" customWidth="1"/>
    <col min="2" max="2" width="13" style="3" customWidth="1"/>
    <col min="3" max="3" width="73.42578125" style="3" customWidth="1"/>
    <col min="4" max="4" width="18.5703125" style="3" customWidth="1"/>
    <col min="5" max="5" width="23.28515625" style="3" customWidth="1"/>
    <col min="6" max="6" width="18.140625" style="3" customWidth="1"/>
    <col min="7" max="7" width="24" style="3" customWidth="1"/>
    <col min="8" max="8" width="131.5703125" style="3" customWidth="1"/>
    <col min="9" max="9" width="11" style="3" customWidth="1"/>
    <col min="10" max="10" width="66.5703125" style="3" customWidth="1"/>
    <col min="11" max="11" width="8.85546875" style="3"/>
    <col min="12" max="12" width="66.85546875" style="3" customWidth="1"/>
    <col min="13" max="13" width="47.140625" style="3" customWidth="1"/>
    <col min="14" max="14" width="8.85546875" style="3"/>
    <col min="15" max="15" width="57" style="3" customWidth="1"/>
    <col min="16" max="24" width="8.85546875" style="3"/>
    <col min="25" max="25" width="52.7109375" style="3" customWidth="1"/>
    <col min="26" max="16384" width="8.85546875" style="3"/>
  </cols>
  <sheetData>
    <row r="1" spans="1:25" ht="13.5" thickBot="1" x14ac:dyDescent="0.25">
      <c r="A1" s="6" t="s">
        <v>1508</v>
      </c>
      <c r="B1" s="1"/>
      <c r="C1" s="1"/>
      <c r="D1" s="1"/>
      <c r="E1" s="1"/>
      <c r="F1" s="1"/>
      <c r="G1" s="1"/>
      <c r="H1" s="1"/>
    </row>
    <row r="2" spans="1:25" x14ac:dyDescent="0.2">
      <c r="A2" s="444"/>
      <c r="B2" s="44"/>
      <c r="C2" s="44"/>
      <c r="D2" s="44"/>
      <c r="E2" s="44"/>
      <c r="F2" s="1"/>
      <c r="G2" s="657" t="s">
        <v>56</v>
      </c>
      <c r="H2" s="88" t="s">
        <v>50</v>
      </c>
      <c r="I2" s="264"/>
      <c r="J2" s="264"/>
      <c r="K2" s="264"/>
      <c r="L2" s="264"/>
      <c r="M2" s="264"/>
      <c r="N2" s="264"/>
      <c r="O2" s="264"/>
      <c r="P2" s="264"/>
      <c r="Q2" s="264"/>
      <c r="R2" s="412"/>
      <c r="S2" s="264"/>
      <c r="T2" s="264"/>
      <c r="U2" s="264"/>
      <c r="V2" s="264"/>
      <c r="W2" s="264"/>
      <c r="X2" s="264"/>
      <c r="Y2" s="638"/>
    </row>
    <row r="3" spans="1:25" ht="13.5" thickBot="1" x14ac:dyDescent="0.25">
      <c r="A3" s="445"/>
      <c r="B3" s="635"/>
      <c r="C3" s="635"/>
      <c r="D3" s="635"/>
      <c r="E3" s="635"/>
      <c r="F3" s="1"/>
      <c r="G3" s="77" t="s">
        <v>55</v>
      </c>
      <c r="H3" s="150">
        <v>2019</v>
      </c>
      <c r="I3" s="264"/>
      <c r="J3" s="264"/>
      <c r="K3" s="264"/>
      <c r="L3" s="264"/>
      <c r="M3" s="264"/>
      <c r="N3" s="264"/>
      <c r="O3" s="264"/>
      <c r="P3" s="264"/>
      <c r="Q3" s="264"/>
      <c r="R3" s="412"/>
      <c r="S3" s="264"/>
      <c r="T3" s="264"/>
      <c r="U3" s="264"/>
      <c r="V3" s="264"/>
      <c r="W3" s="264"/>
      <c r="X3" s="264"/>
      <c r="Y3" s="7"/>
    </row>
    <row r="4" spans="1:25" ht="26.25" thickBot="1" x14ac:dyDescent="0.25">
      <c r="A4" s="105" t="s">
        <v>0</v>
      </c>
      <c r="B4" s="105" t="s">
        <v>1509</v>
      </c>
      <c r="C4" s="636" t="s">
        <v>1510</v>
      </c>
      <c r="D4" s="105" t="s">
        <v>5</v>
      </c>
      <c r="E4" s="105" t="s">
        <v>1511</v>
      </c>
      <c r="F4" s="639" t="s">
        <v>4</v>
      </c>
      <c r="G4" s="637" t="s">
        <v>1512</v>
      </c>
      <c r="H4" s="637" t="s">
        <v>154</v>
      </c>
      <c r="I4" s="414"/>
      <c r="J4" s="413"/>
      <c r="K4" s="413"/>
      <c r="L4" s="413"/>
      <c r="M4" s="132"/>
      <c r="N4" s="132"/>
      <c r="O4" s="132"/>
      <c r="P4" s="132"/>
      <c r="Q4" s="132"/>
      <c r="R4" s="132"/>
      <c r="S4" s="132"/>
      <c r="T4" s="132"/>
      <c r="U4" s="132"/>
      <c r="V4" s="132"/>
      <c r="W4" s="132"/>
      <c r="X4" s="132"/>
      <c r="Y4" s="132"/>
    </row>
    <row r="5" spans="1:25" x14ac:dyDescent="0.2">
      <c r="A5" s="196" t="s">
        <v>277</v>
      </c>
      <c r="B5" s="183"/>
      <c r="C5" s="183" t="s">
        <v>1513</v>
      </c>
      <c r="D5" s="183" t="s">
        <v>7</v>
      </c>
      <c r="E5" s="188" t="s">
        <v>562</v>
      </c>
      <c r="F5" s="183"/>
      <c r="G5" s="535">
        <v>8</v>
      </c>
      <c r="H5" s="536"/>
      <c r="I5" s="410"/>
      <c r="J5" s="410"/>
      <c r="K5" s="410"/>
      <c r="L5" s="410"/>
      <c r="M5" s="410"/>
      <c r="N5" s="410"/>
      <c r="O5" s="410"/>
      <c r="P5" s="410"/>
      <c r="Q5" s="410"/>
      <c r="R5" s="410"/>
      <c r="S5" s="410"/>
      <c r="T5" s="410"/>
      <c r="U5" s="410"/>
      <c r="V5" s="410"/>
      <c r="W5" s="410"/>
      <c r="X5" s="410"/>
    </row>
    <row r="6" spans="1:25" x14ac:dyDescent="0.2">
      <c r="A6" s="196" t="s">
        <v>277</v>
      </c>
      <c r="B6" s="271" t="s">
        <v>1514</v>
      </c>
      <c r="C6" s="446" t="s">
        <v>1515</v>
      </c>
      <c r="D6" s="183" t="s">
        <v>7</v>
      </c>
      <c r="E6" s="188" t="s">
        <v>562</v>
      </c>
      <c r="F6" s="447"/>
      <c r="G6" s="535">
        <v>1</v>
      </c>
      <c r="H6" s="536"/>
      <c r="I6" s="277"/>
      <c r="J6" s="277"/>
      <c r="K6" s="355"/>
      <c r="L6" s="356"/>
      <c r="M6" s="357"/>
      <c r="N6" s="411"/>
      <c r="O6" s="366"/>
      <c r="P6" s="10"/>
      <c r="Q6" s="10"/>
      <c r="R6" s="10"/>
      <c r="S6" s="10"/>
      <c r="T6" s="10"/>
      <c r="U6" s="10"/>
      <c r="V6" s="281"/>
      <c r="W6" s="281"/>
      <c r="X6" s="281"/>
    </row>
    <row r="7" spans="1:25" x14ac:dyDescent="0.2">
      <c r="A7" s="196" t="s">
        <v>277</v>
      </c>
      <c r="B7" s="271" t="s">
        <v>1516</v>
      </c>
      <c r="C7" s="448" t="s">
        <v>1517</v>
      </c>
      <c r="D7" s="183" t="s">
        <v>74</v>
      </c>
      <c r="E7" s="188" t="s">
        <v>562</v>
      </c>
      <c r="F7" s="339"/>
      <c r="G7" s="535">
        <v>3</v>
      </c>
      <c r="H7" s="536" t="s">
        <v>1789</v>
      </c>
      <c r="I7" s="600"/>
      <c r="J7" s="278"/>
      <c r="K7" s="355"/>
      <c r="L7" s="356"/>
      <c r="M7" s="357"/>
      <c r="N7" s="411"/>
      <c r="O7" s="366"/>
      <c r="P7" s="10"/>
      <c r="Q7" s="10"/>
      <c r="R7" s="10"/>
      <c r="S7" s="10"/>
      <c r="T7" s="10"/>
      <c r="U7" s="10"/>
      <c r="V7" s="281"/>
      <c r="W7" s="281"/>
      <c r="X7" s="281"/>
    </row>
    <row r="8" spans="1:25" x14ac:dyDescent="0.2">
      <c r="A8" s="196" t="s">
        <v>277</v>
      </c>
      <c r="B8" s="183" t="s">
        <v>1518</v>
      </c>
      <c r="C8" s="183" t="s">
        <v>1863</v>
      </c>
      <c r="D8" s="183" t="s">
        <v>7</v>
      </c>
      <c r="E8" s="188" t="s">
        <v>562</v>
      </c>
      <c r="F8" s="183"/>
      <c r="G8" s="535">
        <v>2</v>
      </c>
      <c r="H8" s="577" t="s">
        <v>1861</v>
      </c>
      <c r="I8" s="600"/>
      <c r="J8" s="278"/>
      <c r="K8" s="355"/>
      <c r="L8" s="356"/>
      <c r="M8" s="357"/>
      <c r="N8" s="411"/>
      <c r="O8" s="366"/>
      <c r="P8" s="10"/>
      <c r="Q8" s="10"/>
      <c r="R8" s="10"/>
      <c r="S8" s="10"/>
      <c r="T8" s="10"/>
      <c r="U8" s="10"/>
      <c r="V8" s="281"/>
      <c r="W8" s="281"/>
      <c r="X8" s="281"/>
    </row>
    <row r="9" spans="1:25" x14ac:dyDescent="0.2">
      <c r="A9" s="196" t="s">
        <v>277</v>
      </c>
      <c r="B9" s="183"/>
      <c r="C9" s="198" t="s">
        <v>1519</v>
      </c>
      <c r="D9" s="183" t="s">
        <v>7</v>
      </c>
      <c r="E9" s="188" t="s">
        <v>562</v>
      </c>
      <c r="F9" s="183"/>
      <c r="G9" s="535">
        <v>1</v>
      </c>
      <c r="H9" s="536"/>
      <c r="I9" s="600"/>
      <c r="J9" s="278"/>
      <c r="K9" s="355"/>
      <c r="L9" s="356"/>
      <c r="M9" s="357"/>
      <c r="N9" s="411"/>
      <c r="O9" s="366"/>
      <c r="P9" s="10"/>
      <c r="Q9" s="10"/>
      <c r="R9" s="10"/>
      <c r="S9" s="10"/>
      <c r="T9" s="10"/>
      <c r="U9" s="10"/>
      <c r="V9" s="281"/>
      <c r="W9" s="281"/>
      <c r="X9" s="281"/>
    </row>
    <row r="10" spans="1:25" x14ac:dyDescent="0.2">
      <c r="A10" s="196" t="s">
        <v>277</v>
      </c>
      <c r="B10" s="183" t="s">
        <v>1520</v>
      </c>
      <c r="C10" s="183" t="s">
        <v>1521</v>
      </c>
      <c r="D10" s="183" t="s">
        <v>7</v>
      </c>
      <c r="E10" s="188" t="s">
        <v>562</v>
      </c>
      <c r="F10" s="183"/>
      <c r="G10" s="535">
        <v>3</v>
      </c>
      <c r="H10" s="536"/>
      <c r="I10" s="600"/>
      <c r="J10" s="278"/>
      <c r="K10" s="355"/>
      <c r="L10" s="356"/>
      <c r="M10" s="357"/>
      <c r="N10" s="411"/>
      <c r="O10" s="366"/>
      <c r="P10" s="10"/>
      <c r="Q10" s="10"/>
      <c r="R10" s="10"/>
      <c r="S10" s="10"/>
      <c r="T10" s="10"/>
      <c r="U10" s="10"/>
      <c r="V10" s="281"/>
      <c r="W10" s="281"/>
      <c r="X10" s="281"/>
    </row>
    <row r="11" spans="1:25" x14ac:dyDescent="0.2">
      <c r="A11" s="196" t="s">
        <v>277</v>
      </c>
      <c r="B11" s="183" t="s">
        <v>1522</v>
      </c>
      <c r="C11" s="183" t="s">
        <v>1523</v>
      </c>
      <c r="D11" s="183" t="s">
        <v>74</v>
      </c>
      <c r="E11" s="188" t="s">
        <v>562</v>
      </c>
      <c r="F11" s="183"/>
      <c r="G11" s="535">
        <v>1</v>
      </c>
      <c r="H11" s="536"/>
      <c r="I11" s="600"/>
      <c r="J11" s="278"/>
      <c r="K11" s="355"/>
      <c r="L11" s="356"/>
      <c r="M11" s="357"/>
      <c r="N11" s="411"/>
      <c r="O11" s="366"/>
      <c r="P11" s="10"/>
      <c r="Q11" s="10"/>
      <c r="R11" s="10"/>
      <c r="S11" s="10"/>
      <c r="T11" s="10"/>
      <c r="U11" s="10"/>
      <c r="V11" s="281"/>
      <c r="W11" s="281"/>
      <c r="X11" s="281"/>
    </row>
    <row r="12" spans="1:25" x14ac:dyDescent="0.2">
      <c r="A12" s="196" t="s">
        <v>277</v>
      </c>
      <c r="B12" s="183" t="s">
        <v>1524</v>
      </c>
      <c r="C12" s="183" t="s">
        <v>1525</v>
      </c>
      <c r="D12" s="183" t="s">
        <v>7</v>
      </c>
      <c r="E12" s="188" t="s">
        <v>562</v>
      </c>
      <c r="F12" s="183"/>
      <c r="G12" s="535">
        <v>2</v>
      </c>
      <c r="H12" s="577" t="s">
        <v>1862</v>
      </c>
      <c r="I12" s="600"/>
      <c r="J12" s="278"/>
      <c r="K12" s="355"/>
      <c r="L12" s="356"/>
      <c r="M12" s="357"/>
      <c r="N12" s="411"/>
      <c r="O12" s="366"/>
      <c r="P12" s="10"/>
      <c r="Q12" s="10"/>
      <c r="R12" s="10"/>
      <c r="S12" s="10"/>
      <c r="T12" s="10"/>
      <c r="U12" s="10"/>
      <c r="V12" s="281"/>
      <c r="W12" s="281"/>
      <c r="X12" s="281"/>
    </row>
    <row r="13" spans="1:25" x14ac:dyDescent="0.2">
      <c r="A13" s="196" t="s">
        <v>277</v>
      </c>
      <c r="B13" s="183" t="s">
        <v>1526</v>
      </c>
      <c r="C13" s="183" t="s">
        <v>1527</v>
      </c>
      <c r="D13" s="183" t="s">
        <v>74</v>
      </c>
      <c r="E13" s="188" t="s">
        <v>562</v>
      </c>
      <c r="F13" s="183"/>
      <c r="G13" s="535" t="s">
        <v>1790</v>
      </c>
      <c r="H13" s="536"/>
      <c r="I13" s="600"/>
      <c r="J13" s="277"/>
      <c r="K13" s="355"/>
      <c r="L13" s="355"/>
      <c r="M13" s="357"/>
      <c r="N13" s="411"/>
      <c r="O13" s="366"/>
      <c r="P13" s="10"/>
      <c r="Q13" s="10"/>
      <c r="R13" s="10"/>
      <c r="S13" s="10"/>
      <c r="T13" s="10"/>
      <c r="U13" s="10"/>
      <c r="V13" s="281"/>
      <c r="W13" s="281"/>
      <c r="X13" s="281"/>
      <c r="Y13" s="280"/>
    </row>
    <row r="14" spans="1:25" x14ac:dyDescent="0.2">
      <c r="A14" s="196" t="s">
        <v>277</v>
      </c>
      <c r="B14" s="183" t="s">
        <v>1528</v>
      </c>
      <c r="C14" s="183" t="s">
        <v>1529</v>
      </c>
      <c r="D14" s="183" t="s">
        <v>74</v>
      </c>
      <c r="E14" s="188" t="s">
        <v>562</v>
      </c>
      <c r="F14" s="183"/>
      <c r="G14" s="535" t="s">
        <v>1791</v>
      </c>
      <c r="H14" s="536"/>
      <c r="I14" s="277"/>
      <c r="J14" s="277"/>
      <c r="K14" s="355"/>
      <c r="L14" s="355"/>
      <c r="M14" s="357"/>
      <c r="N14" s="411"/>
      <c r="O14" s="366"/>
      <c r="P14" s="10"/>
      <c r="Q14" s="10"/>
      <c r="R14" s="10"/>
      <c r="S14" s="10"/>
      <c r="T14" s="10"/>
      <c r="U14" s="10"/>
      <c r="V14" s="281"/>
      <c r="W14" s="281"/>
      <c r="X14" s="281"/>
    </row>
    <row r="15" spans="1:25" x14ac:dyDescent="0.2">
      <c r="A15" s="196" t="s">
        <v>277</v>
      </c>
      <c r="B15" s="183" t="s">
        <v>1530</v>
      </c>
      <c r="C15" s="183" t="s">
        <v>1531</v>
      </c>
      <c r="D15" s="183" t="s">
        <v>74</v>
      </c>
      <c r="E15" s="188" t="s">
        <v>562</v>
      </c>
      <c r="F15" s="183"/>
      <c r="G15" s="535" t="s">
        <v>584</v>
      </c>
      <c r="H15" s="536" t="s">
        <v>1923</v>
      </c>
      <c r="I15" s="277"/>
      <c r="J15" s="277"/>
      <c r="K15" s="355"/>
      <c r="L15" s="355"/>
      <c r="M15" s="357"/>
      <c r="N15" s="411"/>
      <c r="O15" s="366"/>
      <c r="P15" s="10"/>
      <c r="Q15" s="10"/>
      <c r="R15" s="10"/>
      <c r="S15" s="10"/>
      <c r="T15" s="10"/>
      <c r="U15" s="10"/>
      <c r="V15" s="281"/>
      <c r="W15" s="281"/>
      <c r="X15" s="281"/>
    </row>
    <row r="16" spans="1:25" x14ac:dyDescent="0.2">
      <c r="A16" s="196" t="s">
        <v>277</v>
      </c>
      <c r="B16" s="183" t="s">
        <v>1532</v>
      </c>
      <c r="C16" s="183" t="s">
        <v>1533</v>
      </c>
      <c r="D16" s="183" t="s">
        <v>74</v>
      </c>
      <c r="E16" s="188" t="s">
        <v>562</v>
      </c>
      <c r="F16" s="183"/>
      <c r="G16" s="535" t="s">
        <v>1791</v>
      </c>
      <c r="H16" s="536"/>
      <c r="I16" s="277"/>
      <c r="J16" s="278"/>
      <c r="K16" s="355"/>
      <c r="L16" s="355"/>
      <c r="M16" s="357"/>
      <c r="N16" s="411"/>
      <c r="O16" s="366"/>
      <c r="P16" s="10"/>
      <c r="Q16" s="10"/>
      <c r="R16" s="10"/>
      <c r="S16" s="10"/>
      <c r="T16" s="10"/>
      <c r="U16" s="10"/>
      <c r="V16" s="281"/>
      <c r="W16" s="281"/>
      <c r="X16" s="281"/>
    </row>
    <row r="17" spans="1:24" x14ac:dyDescent="0.2">
      <c r="A17" s="196" t="s">
        <v>277</v>
      </c>
      <c r="B17" s="183" t="s">
        <v>1534</v>
      </c>
      <c r="C17" s="183" t="s">
        <v>1535</v>
      </c>
      <c r="D17" s="183" t="s">
        <v>74</v>
      </c>
      <c r="E17" s="188" t="s">
        <v>562</v>
      </c>
      <c r="F17" s="183"/>
      <c r="G17" s="535" t="s">
        <v>1791</v>
      </c>
      <c r="H17" s="536"/>
      <c r="I17" s="277"/>
      <c r="J17" s="278"/>
      <c r="K17" s="658"/>
      <c r="L17" s="356"/>
      <c r="M17" s="658"/>
      <c r="N17" s="356"/>
      <c r="O17" s="366"/>
      <c r="P17" s="10"/>
      <c r="Q17" s="10"/>
      <c r="R17" s="10"/>
      <c r="S17" s="10"/>
      <c r="T17" s="10"/>
      <c r="U17" s="10"/>
      <c r="V17" s="281"/>
      <c r="W17" s="281"/>
      <c r="X17" s="281"/>
    </row>
    <row r="18" spans="1:24" x14ac:dyDescent="0.2">
      <c r="A18" s="196" t="s">
        <v>277</v>
      </c>
      <c r="B18" s="183" t="s">
        <v>1536</v>
      </c>
      <c r="C18" s="183" t="s">
        <v>1537</v>
      </c>
      <c r="D18" s="183" t="s">
        <v>74</v>
      </c>
      <c r="E18" s="188" t="s">
        <v>562</v>
      </c>
      <c r="F18" s="183"/>
      <c r="G18" s="535" t="s">
        <v>584</v>
      </c>
      <c r="H18" s="536" t="s">
        <v>1932</v>
      </c>
      <c r="I18" s="277"/>
      <c r="J18" s="278"/>
      <c r="K18" s="658"/>
      <c r="L18" s="356"/>
      <c r="M18" s="658"/>
      <c r="N18" s="356"/>
      <c r="O18" s="366"/>
      <c r="P18" s="10"/>
      <c r="Q18" s="10"/>
      <c r="R18" s="10"/>
      <c r="S18" s="10"/>
      <c r="T18" s="10"/>
      <c r="U18" s="10"/>
      <c r="V18" s="281"/>
      <c r="W18" s="281"/>
      <c r="X18" s="281"/>
    </row>
    <row r="19" spans="1:24" x14ac:dyDescent="0.2">
      <c r="A19" s="196" t="s">
        <v>277</v>
      </c>
      <c r="B19" s="183" t="s">
        <v>1538</v>
      </c>
      <c r="C19" s="183" t="s">
        <v>1539</v>
      </c>
      <c r="D19" s="183" t="s">
        <v>74</v>
      </c>
      <c r="E19" s="188" t="s">
        <v>562</v>
      </c>
      <c r="F19" s="183"/>
      <c r="G19" s="535" t="s">
        <v>1791</v>
      </c>
      <c r="H19" s="536"/>
      <c r="I19" s="277"/>
      <c r="J19" s="278"/>
      <c r="K19" s="658"/>
      <c r="L19" s="356"/>
      <c r="M19" s="658"/>
      <c r="N19" s="356"/>
      <c r="O19" s="366"/>
      <c r="P19" s="10"/>
      <c r="Q19" s="10"/>
      <c r="R19" s="10"/>
      <c r="S19" s="10"/>
      <c r="T19" s="10"/>
      <c r="U19" s="10"/>
      <c r="V19" s="281"/>
      <c r="W19" s="281"/>
      <c r="X19" s="281"/>
    </row>
    <row r="20" spans="1:24" x14ac:dyDescent="0.2">
      <c r="A20" s="196" t="s">
        <v>277</v>
      </c>
      <c r="B20" s="183" t="s">
        <v>1540</v>
      </c>
      <c r="C20" s="183" t="s">
        <v>1541</v>
      </c>
      <c r="D20" s="198" t="s">
        <v>74</v>
      </c>
      <c r="E20" s="188" t="s">
        <v>562</v>
      </c>
      <c r="F20" s="183"/>
      <c r="G20" s="535" t="s">
        <v>584</v>
      </c>
      <c r="H20" s="536" t="s">
        <v>1928</v>
      </c>
      <c r="I20" s="277"/>
      <c r="J20" s="278"/>
      <c r="K20" s="658"/>
      <c r="L20" s="356"/>
      <c r="M20" s="658"/>
      <c r="N20" s="356"/>
      <c r="O20" s="366"/>
      <c r="P20" s="10"/>
      <c r="Q20" s="10"/>
      <c r="R20" s="10"/>
      <c r="S20" s="10"/>
      <c r="T20" s="10"/>
      <c r="U20" s="10"/>
      <c r="V20" s="281"/>
      <c r="W20" s="281"/>
      <c r="X20" s="281"/>
    </row>
    <row r="21" spans="1:24" x14ac:dyDescent="0.2">
      <c r="A21" s="196" t="s">
        <v>277</v>
      </c>
      <c r="B21" s="183" t="s">
        <v>1542</v>
      </c>
      <c r="C21" s="183" t="s">
        <v>1543</v>
      </c>
      <c r="D21" s="198" t="s">
        <v>74</v>
      </c>
      <c r="E21" s="188" t="s">
        <v>562</v>
      </c>
      <c r="F21" s="183"/>
      <c r="G21" s="535" t="s">
        <v>584</v>
      </c>
      <c r="H21" s="536" t="s">
        <v>1929</v>
      </c>
      <c r="I21" s="658"/>
      <c r="J21" s="356"/>
      <c r="K21" s="658"/>
      <c r="L21" s="356"/>
      <c r="M21" s="658"/>
      <c r="N21" s="356"/>
      <c r="O21" s="366"/>
      <c r="P21" s="10"/>
      <c r="Q21" s="10"/>
      <c r="R21" s="10"/>
      <c r="S21" s="10"/>
      <c r="T21" s="10"/>
      <c r="U21" s="10"/>
      <c r="V21" s="281"/>
      <c r="W21" s="281"/>
      <c r="X21" s="281"/>
    </row>
    <row r="22" spans="1:24" x14ac:dyDescent="0.2">
      <c r="A22" s="196" t="s">
        <v>277</v>
      </c>
      <c r="B22" s="183" t="s">
        <v>775</v>
      </c>
      <c r="C22" s="183" t="s">
        <v>1544</v>
      </c>
      <c r="D22" s="198" t="s">
        <v>74</v>
      </c>
      <c r="E22" s="188" t="s">
        <v>562</v>
      </c>
      <c r="F22" s="183"/>
      <c r="G22" s="535" t="s">
        <v>1792</v>
      </c>
      <c r="H22" s="536"/>
      <c r="I22" s="658"/>
      <c r="J22" s="356"/>
      <c r="K22" s="658"/>
      <c r="L22" s="356"/>
      <c r="M22" s="658"/>
      <c r="N22" s="356"/>
      <c r="O22" s="366"/>
      <c r="P22" s="10"/>
      <c r="Q22" s="10"/>
      <c r="R22" s="10"/>
      <c r="S22" s="10"/>
      <c r="T22" s="10"/>
      <c r="U22" s="10"/>
      <c r="V22" s="281"/>
      <c r="W22" s="281"/>
      <c r="X22" s="281"/>
    </row>
    <row r="23" spans="1:24" x14ac:dyDescent="0.2">
      <c r="A23" s="196" t="s">
        <v>277</v>
      </c>
      <c r="B23" s="183" t="s">
        <v>1545</v>
      </c>
      <c r="C23" s="183" t="s">
        <v>1546</v>
      </c>
      <c r="D23" s="198" t="s">
        <v>74</v>
      </c>
      <c r="E23" s="188" t="s">
        <v>562</v>
      </c>
      <c r="F23" s="183"/>
      <c r="G23" s="535" t="s">
        <v>584</v>
      </c>
      <c r="H23" s="536" t="s">
        <v>1921</v>
      </c>
      <c r="I23" s="658"/>
      <c r="J23" s="356"/>
      <c r="K23" s="658"/>
      <c r="L23" s="356"/>
      <c r="M23" s="658"/>
      <c r="N23" s="356"/>
      <c r="O23" s="366"/>
      <c r="P23" s="10"/>
      <c r="Q23" s="10"/>
      <c r="R23" s="10"/>
      <c r="S23" s="10"/>
      <c r="T23" s="10"/>
      <c r="U23" s="10"/>
      <c r="V23" s="281"/>
      <c r="W23" s="281"/>
      <c r="X23" s="281"/>
    </row>
    <row r="24" spans="1:24" x14ac:dyDescent="0.2">
      <c r="A24" s="196" t="s">
        <v>277</v>
      </c>
      <c r="B24" s="183" t="s">
        <v>785</v>
      </c>
      <c r="C24" s="183" t="s">
        <v>1547</v>
      </c>
      <c r="D24" s="198" t="s">
        <v>74</v>
      </c>
      <c r="E24" s="188" t="s">
        <v>562</v>
      </c>
      <c r="F24" s="183"/>
      <c r="G24" s="535" t="s">
        <v>1791</v>
      </c>
      <c r="H24" s="536"/>
      <c r="I24" s="658"/>
      <c r="J24" s="356"/>
      <c r="K24" s="658"/>
      <c r="L24" s="356"/>
      <c r="M24" s="658"/>
      <c r="N24" s="356"/>
      <c r="O24" s="366"/>
      <c r="P24" s="10"/>
      <c r="Q24" s="10"/>
      <c r="R24" s="10"/>
      <c r="S24" s="10"/>
      <c r="T24" s="10"/>
      <c r="U24" s="10"/>
      <c r="V24" s="281"/>
      <c r="W24" s="281"/>
      <c r="X24" s="281"/>
    </row>
    <row r="25" spans="1:24" x14ac:dyDescent="0.2">
      <c r="A25" s="196" t="s">
        <v>277</v>
      </c>
      <c r="B25" s="183" t="s">
        <v>1548</v>
      </c>
      <c r="C25" s="183" t="s">
        <v>1549</v>
      </c>
      <c r="D25" s="198" t="s">
        <v>74</v>
      </c>
      <c r="E25" s="188" t="s">
        <v>562</v>
      </c>
      <c r="F25" s="183"/>
      <c r="G25" s="535">
        <v>2</v>
      </c>
      <c r="H25" s="536"/>
      <c r="I25" s="277"/>
      <c r="J25" s="277"/>
      <c r="K25" s="355"/>
      <c r="L25" s="355"/>
      <c r="M25" s="357"/>
      <c r="N25" s="659"/>
      <c r="O25" s="366"/>
      <c r="P25" s="10"/>
      <c r="Q25" s="10"/>
      <c r="R25" s="10"/>
      <c r="S25" s="10"/>
      <c r="T25" s="10"/>
      <c r="U25" s="10"/>
      <c r="V25" s="281"/>
      <c r="W25" s="281"/>
      <c r="X25" s="281"/>
    </row>
    <row r="26" spans="1:24" x14ac:dyDescent="0.2">
      <c r="A26" s="196" t="s">
        <v>277</v>
      </c>
      <c r="B26" s="183" t="s">
        <v>1550</v>
      </c>
      <c r="C26" s="183" t="s">
        <v>1551</v>
      </c>
      <c r="D26" s="198" t="s">
        <v>74</v>
      </c>
      <c r="E26" s="188" t="s">
        <v>562</v>
      </c>
      <c r="F26" s="183"/>
      <c r="G26" s="535">
        <v>0</v>
      </c>
      <c r="H26" s="536" t="s">
        <v>1929</v>
      </c>
      <c r="I26" s="658"/>
      <c r="J26" s="658"/>
      <c r="K26" s="658"/>
      <c r="L26" s="658"/>
      <c r="M26" s="658"/>
      <c r="N26" s="658"/>
      <c r="O26" s="366"/>
      <c r="P26" s="10"/>
      <c r="Q26" s="10"/>
      <c r="R26" s="10"/>
      <c r="S26" s="10"/>
      <c r="T26" s="10"/>
      <c r="U26" s="10"/>
      <c r="V26" s="281"/>
      <c r="W26" s="281"/>
      <c r="X26" s="281"/>
    </row>
    <row r="27" spans="1:24" x14ac:dyDescent="0.2">
      <c r="A27" s="196" t="s">
        <v>277</v>
      </c>
      <c r="B27" s="183" t="s">
        <v>1552</v>
      </c>
      <c r="C27" s="183" t="s">
        <v>1553</v>
      </c>
      <c r="D27" s="198" t="s">
        <v>74</v>
      </c>
      <c r="E27" s="188" t="s">
        <v>562</v>
      </c>
      <c r="F27" s="183"/>
      <c r="G27" s="535">
        <v>2</v>
      </c>
      <c r="H27" s="536"/>
      <c r="I27" s="658"/>
      <c r="J27" s="658"/>
      <c r="K27" s="658"/>
      <c r="L27" s="658"/>
      <c r="M27" s="658"/>
      <c r="N27" s="658"/>
      <c r="O27" s="366"/>
      <c r="P27" s="10"/>
      <c r="Q27" s="10"/>
      <c r="R27" s="10"/>
      <c r="S27" s="10"/>
      <c r="T27" s="10"/>
      <c r="U27" s="10"/>
      <c r="V27" s="281"/>
      <c r="W27" s="281"/>
      <c r="X27" s="281"/>
    </row>
    <row r="28" spans="1:24" x14ac:dyDescent="0.2">
      <c r="A28" s="196" t="s">
        <v>277</v>
      </c>
      <c r="B28" s="183" t="s">
        <v>1554</v>
      </c>
      <c r="C28" s="183" t="s">
        <v>1555</v>
      </c>
      <c r="D28" s="198" t="s">
        <v>74</v>
      </c>
      <c r="E28" s="188" t="s">
        <v>562</v>
      </c>
      <c r="F28" s="183"/>
      <c r="G28" s="535">
        <v>2</v>
      </c>
      <c r="H28" s="536"/>
      <c r="I28" s="658"/>
      <c r="J28" s="658"/>
      <c r="K28" s="658"/>
      <c r="L28" s="658"/>
      <c r="M28" s="658"/>
      <c r="N28" s="658"/>
      <c r="O28" s="366"/>
      <c r="P28" s="10"/>
      <c r="Q28" s="10"/>
      <c r="R28" s="10"/>
      <c r="S28" s="10"/>
      <c r="T28" s="10"/>
      <c r="U28" s="10"/>
      <c r="V28" s="281"/>
      <c r="W28" s="281"/>
      <c r="X28" s="281"/>
    </row>
    <row r="29" spans="1:24" x14ac:dyDescent="0.2">
      <c r="A29" s="196" t="s">
        <v>277</v>
      </c>
      <c r="B29" s="183" t="s">
        <v>1556</v>
      </c>
      <c r="C29" s="183" t="s">
        <v>1557</v>
      </c>
      <c r="D29" s="198" t="s">
        <v>74</v>
      </c>
      <c r="E29" s="188" t="s">
        <v>562</v>
      </c>
      <c r="F29" s="183"/>
      <c r="G29" s="535">
        <v>0</v>
      </c>
      <c r="H29" s="536" t="s">
        <v>1890</v>
      </c>
      <c r="I29" s="658"/>
      <c r="J29" s="658"/>
      <c r="K29" s="658"/>
      <c r="L29" s="658"/>
      <c r="M29" s="658"/>
      <c r="N29" s="658"/>
      <c r="O29" s="366"/>
      <c r="P29" s="10"/>
      <c r="Q29" s="10"/>
      <c r="R29" s="10"/>
      <c r="S29" s="10"/>
      <c r="T29" s="10"/>
      <c r="U29" s="10"/>
      <c r="V29" s="281"/>
      <c r="W29" s="281"/>
      <c r="X29" s="281"/>
    </row>
    <row r="30" spans="1:24" x14ac:dyDescent="0.2">
      <c r="A30" s="196" t="s">
        <v>277</v>
      </c>
      <c r="B30" s="183" t="s">
        <v>1558</v>
      </c>
      <c r="C30" s="183" t="s">
        <v>1559</v>
      </c>
      <c r="D30" s="198" t="s">
        <v>74</v>
      </c>
      <c r="E30" s="188" t="s">
        <v>562</v>
      </c>
      <c r="F30" s="183"/>
      <c r="G30" s="535" t="s">
        <v>1793</v>
      </c>
      <c r="H30" s="536"/>
      <c r="I30" s="10"/>
      <c r="J30" s="10"/>
      <c r="K30" s="10"/>
      <c r="L30" s="10"/>
      <c r="M30" s="10"/>
      <c r="N30" s="10"/>
      <c r="O30" s="10"/>
      <c r="P30" s="10"/>
      <c r="Q30" s="10"/>
      <c r="R30" s="10"/>
      <c r="S30" s="10"/>
      <c r="T30" s="10"/>
      <c r="U30" s="10"/>
      <c r="V30" s="281"/>
      <c r="W30" s="281"/>
      <c r="X30" s="281"/>
    </row>
    <row r="31" spans="1:24" x14ac:dyDescent="0.2">
      <c r="A31" s="196" t="s">
        <v>277</v>
      </c>
      <c r="B31" s="183" t="s">
        <v>1560</v>
      </c>
      <c r="C31" s="183" t="s">
        <v>1561</v>
      </c>
      <c r="D31" s="198" t="s">
        <v>74</v>
      </c>
      <c r="E31" s="188" t="s">
        <v>562</v>
      </c>
      <c r="F31" s="183"/>
      <c r="G31" s="535" t="s">
        <v>584</v>
      </c>
      <c r="H31" s="536" t="s">
        <v>1924</v>
      </c>
      <c r="I31" s="10"/>
      <c r="J31" s="10"/>
      <c r="K31" s="10"/>
      <c r="L31" s="10"/>
      <c r="M31" s="10"/>
      <c r="N31" s="10"/>
      <c r="O31" s="10"/>
      <c r="P31" s="10"/>
      <c r="Q31" s="10"/>
      <c r="R31" s="10"/>
      <c r="S31" s="10"/>
      <c r="T31" s="10"/>
      <c r="U31" s="10"/>
      <c r="V31" s="281"/>
      <c r="W31" s="281"/>
      <c r="X31" s="281"/>
    </row>
    <row r="32" spans="1:24" x14ac:dyDescent="0.2">
      <c r="A32" s="196" t="s">
        <v>277</v>
      </c>
      <c r="B32" s="183" t="s">
        <v>1562</v>
      </c>
      <c r="C32" s="183" t="s">
        <v>1563</v>
      </c>
      <c r="D32" s="198" t="s">
        <v>74</v>
      </c>
      <c r="E32" s="188" t="s">
        <v>562</v>
      </c>
      <c r="F32" s="183"/>
      <c r="G32" s="535" t="s">
        <v>1791</v>
      </c>
      <c r="H32" s="536"/>
      <c r="I32" s="10"/>
      <c r="J32" s="10"/>
      <c r="K32" s="10"/>
      <c r="L32" s="10"/>
      <c r="M32" s="10"/>
      <c r="N32" s="10"/>
      <c r="O32" s="10"/>
      <c r="P32" s="10"/>
      <c r="Q32" s="10"/>
      <c r="R32" s="10"/>
      <c r="S32" s="10"/>
      <c r="T32" s="10"/>
      <c r="U32" s="10"/>
      <c r="V32" s="281"/>
      <c r="W32" s="281"/>
      <c r="X32" s="281"/>
    </row>
    <row r="33" spans="1:24" x14ac:dyDescent="0.2">
      <c r="A33" s="196" t="s">
        <v>277</v>
      </c>
      <c r="B33" s="183" t="s">
        <v>1564</v>
      </c>
      <c r="C33" s="183" t="s">
        <v>1565</v>
      </c>
      <c r="D33" s="198" t="s">
        <v>74</v>
      </c>
      <c r="E33" s="188" t="s">
        <v>562</v>
      </c>
      <c r="F33" s="183"/>
      <c r="G33" s="535" t="s">
        <v>1792</v>
      </c>
      <c r="H33" s="536"/>
      <c r="I33" s="10"/>
      <c r="J33" s="10"/>
      <c r="K33" s="10"/>
      <c r="L33" s="10"/>
      <c r="M33" s="10"/>
      <c r="N33" s="10"/>
      <c r="O33" s="10"/>
      <c r="P33" s="10"/>
      <c r="Q33" s="10"/>
      <c r="R33" s="10"/>
      <c r="S33" s="10"/>
      <c r="T33" s="10"/>
      <c r="U33" s="10"/>
      <c r="V33" s="281"/>
      <c r="W33" s="281"/>
      <c r="X33" s="281"/>
    </row>
    <row r="34" spans="1:24" x14ac:dyDescent="0.2">
      <c r="A34" s="196" t="s">
        <v>277</v>
      </c>
      <c r="B34" s="183" t="s">
        <v>1566</v>
      </c>
      <c r="C34" s="183" t="s">
        <v>1567</v>
      </c>
      <c r="D34" s="198" t="s">
        <v>74</v>
      </c>
      <c r="E34" s="188" t="s">
        <v>562</v>
      </c>
      <c r="F34" s="183"/>
      <c r="G34" s="535">
        <v>1</v>
      </c>
      <c r="H34" s="536"/>
      <c r="I34" s="10"/>
      <c r="J34" s="279"/>
      <c r="K34" s="279"/>
      <c r="L34" s="279"/>
      <c r="M34" s="10"/>
      <c r="N34" s="10"/>
      <c r="O34" s="10"/>
      <c r="P34" s="10"/>
      <c r="Q34" s="10"/>
      <c r="R34" s="10"/>
      <c r="S34" s="10"/>
      <c r="T34" s="10"/>
      <c r="U34" s="10"/>
      <c r="V34" s="281"/>
      <c r="W34" s="281"/>
      <c r="X34" s="281"/>
    </row>
    <row r="35" spans="1:24" x14ac:dyDescent="0.2">
      <c r="A35" s="196" t="s">
        <v>277</v>
      </c>
      <c r="B35" s="183" t="s">
        <v>1568</v>
      </c>
      <c r="C35" s="183" t="s">
        <v>1569</v>
      </c>
      <c r="D35" s="198" t="s">
        <v>74</v>
      </c>
      <c r="E35" s="188" t="s">
        <v>562</v>
      </c>
      <c r="F35" s="183"/>
      <c r="G35" s="535" t="s">
        <v>1792</v>
      </c>
      <c r="H35" s="536"/>
      <c r="I35" s="10"/>
      <c r="J35" s="10"/>
      <c r="K35" s="10"/>
      <c r="L35" s="10"/>
      <c r="M35" s="10"/>
      <c r="N35" s="10"/>
      <c r="O35" s="10"/>
      <c r="P35" s="10"/>
      <c r="Q35" s="10"/>
      <c r="R35" s="10"/>
      <c r="S35" s="10"/>
      <c r="T35" s="10"/>
      <c r="U35" s="10"/>
      <c r="V35" s="281"/>
      <c r="W35" s="281"/>
      <c r="X35" s="281"/>
    </row>
    <row r="36" spans="1:24" x14ac:dyDescent="0.2">
      <c r="A36" s="196" t="s">
        <v>277</v>
      </c>
      <c r="B36" s="183" t="s">
        <v>1570</v>
      </c>
      <c r="C36" s="183" t="s">
        <v>1571</v>
      </c>
      <c r="D36" s="198" t="s">
        <v>74</v>
      </c>
      <c r="E36" s="188" t="s">
        <v>562</v>
      </c>
      <c r="F36" s="183"/>
      <c r="G36" s="535" t="s">
        <v>584</v>
      </c>
      <c r="H36" s="536" t="s">
        <v>1930</v>
      </c>
      <c r="I36" s="10"/>
      <c r="J36" s="10"/>
      <c r="K36" s="10"/>
      <c r="L36" s="10"/>
      <c r="M36" s="10"/>
      <c r="N36" s="10"/>
      <c r="O36" s="10"/>
      <c r="P36" s="10"/>
      <c r="Q36" s="10"/>
      <c r="R36" s="10"/>
      <c r="S36" s="10"/>
      <c r="T36" s="10"/>
      <c r="U36" s="10"/>
      <c r="V36" s="281"/>
      <c r="W36" s="281"/>
      <c r="X36" s="281"/>
    </row>
    <row r="37" spans="1:24" x14ac:dyDescent="0.2">
      <c r="A37" s="196" t="s">
        <v>277</v>
      </c>
      <c r="B37" s="183" t="s">
        <v>1572</v>
      </c>
      <c r="C37" s="183" t="s">
        <v>1573</v>
      </c>
      <c r="D37" s="198" t="s">
        <v>74</v>
      </c>
      <c r="E37" s="188" t="s">
        <v>562</v>
      </c>
      <c r="F37" s="183"/>
      <c r="G37" s="535" t="s">
        <v>1791</v>
      </c>
      <c r="H37" s="536"/>
      <c r="I37" s="10"/>
      <c r="J37" s="10"/>
      <c r="K37" s="10"/>
      <c r="L37" s="10"/>
      <c r="M37" s="10"/>
      <c r="N37" s="10"/>
      <c r="O37" s="10"/>
      <c r="P37" s="10"/>
      <c r="Q37" s="10"/>
      <c r="R37" s="10"/>
      <c r="S37" s="10"/>
      <c r="T37" s="10"/>
      <c r="U37" s="10"/>
      <c r="V37" s="281"/>
      <c r="W37" s="281"/>
      <c r="X37" s="281"/>
    </row>
    <row r="38" spans="1:24" x14ac:dyDescent="0.2">
      <c r="A38" s="196" t="s">
        <v>277</v>
      </c>
      <c r="B38" s="183" t="s">
        <v>1574</v>
      </c>
      <c r="C38" s="183" t="s">
        <v>1575</v>
      </c>
      <c r="D38" s="198" t="s">
        <v>74</v>
      </c>
      <c r="E38" s="188" t="s">
        <v>562</v>
      </c>
      <c r="F38" s="183"/>
      <c r="G38" s="535" t="s">
        <v>1791</v>
      </c>
      <c r="H38" s="536"/>
      <c r="I38" s="10"/>
      <c r="J38" s="10"/>
      <c r="K38" s="10"/>
      <c r="L38" s="10"/>
      <c r="M38" s="10"/>
      <c r="N38" s="10"/>
      <c r="O38" s="10"/>
      <c r="P38" s="10"/>
      <c r="Q38" s="10"/>
      <c r="R38" s="10"/>
      <c r="S38" s="10"/>
      <c r="T38" s="10"/>
      <c r="U38" s="10"/>
      <c r="V38" s="281"/>
      <c r="W38" s="281"/>
      <c r="X38" s="281"/>
    </row>
    <row r="39" spans="1:24" x14ac:dyDescent="0.2">
      <c r="A39" s="196" t="s">
        <v>277</v>
      </c>
      <c r="B39" s="183" t="s">
        <v>1576</v>
      </c>
      <c r="C39" s="183" t="s">
        <v>1577</v>
      </c>
      <c r="D39" s="198" t="s">
        <v>74</v>
      </c>
      <c r="E39" s="188" t="s">
        <v>562</v>
      </c>
      <c r="F39" s="183"/>
      <c r="G39" s="535" t="s">
        <v>584</v>
      </c>
      <c r="H39" s="536" t="s">
        <v>1931</v>
      </c>
      <c r="I39" s="10"/>
      <c r="J39" s="10"/>
      <c r="K39" s="10"/>
      <c r="L39" s="10"/>
      <c r="M39" s="10"/>
      <c r="N39" s="10"/>
      <c r="O39" s="10"/>
      <c r="P39" s="10"/>
      <c r="Q39" s="10"/>
      <c r="R39" s="10"/>
      <c r="S39" s="10"/>
      <c r="T39" s="10"/>
      <c r="U39" s="10"/>
      <c r="V39" s="281"/>
      <c r="W39" s="281"/>
      <c r="X39" s="281"/>
    </row>
    <row r="40" spans="1:24" x14ac:dyDescent="0.2">
      <c r="A40" s="196" t="s">
        <v>277</v>
      </c>
      <c r="B40" s="183" t="s">
        <v>1578</v>
      </c>
      <c r="C40" s="183" t="s">
        <v>1579</v>
      </c>
      <c r="D40" s="198" t="s">
        <v>74</v>
      </c>
      <c r="E40" s="188" t="s">
        <v>562</v>
      </c>
      <c r="F40" s="183"/>
      <c r="G40" s="535" t="s">
        <v>1791</v>
      </c>
      <c r="H40" s="536"/>
      <c r="I40" s="10"/>
      <c r="J40" s="10"/>
      <c r="K40" s="10"/>
      <c r="L40" s="10"/>
      <c r="M40" s="10"/>
      <c r="N40" s="10"/>
      <c r="O40" s="10"/>
      <c r="P40" s="10"/>
      <c r="Q40" s="10"/>
      <c r="R40" s="10"/>
      <c r="S40" s="10"/>
      <c r="T40" s="10"/>
      <c r="U40" s="10"/>
      <c r="V40" s="281"/>
      <c r="W40" s="281"/>
      <c r="X40" s="281"/>
    </row>
    <row r="41" spans="1:24" x14ac:dyDescent="0.2">
      <c r="A41" s="196" t="s">
        <v>277</v>
      </c>
      <c r="B41" s="183" t="s">
        <v>1580</v>
      </c>
      <c r="C41" s="183" t="s">
        <v>1581</v>
      </c>
      <c r="D41" s="198" t="s">
        <v>74</v>
      </c>
      <c r="E41" s="188" t="s">
        <v>562</v>
      </c>
      <c r="F41" s="183"/>
      <c r="G41" s="535" t="s">
        <v>1794</v>
      </c>
      <c r="H41" s="536"/>
      <c r="I41" s="10"/>
      <c r="J41" s="10"/>
      <c r="K41" s="10"/>
      <c r="L41" s="10"/>
      <c r="M41" s="10"/>
      <c r="N41" s="10"/>
      <c r="O41" s="10"/>
      <c r="P41" s="10"/>
      <c r="Q41" s="10"/>
      <c r="R41" s="10"/>
      <c r="S41" s="10"/>
      <c r="T41" s="10"/>
      <c r="U41" s="10"/>
      <c r="V41" s="10"/>
      <c r="W41" s="10"/>
      <c r="X41" s="10"/>
    </row>
    <row r="42" spans="1:24" x14ac:dyDescent="0.2">
      <c r="A42" s="196" t="s">
        <v>277</v>
      </c>
      <c r="B42" s="183" t="s">
        <v>1582</v>
      </c>
      <c r="C42" s="183" t="s">
        <v>1583</v>
      </c>
      <c r="D42" s="198" t="s">
        <v>74</v>
      </c>
      <c r="E42" s="188" t="s">
        <v>562</v>
      </c>
      <c r="F42" s="183"/>
      <c r="G42" s="535">
        <v>0</v>
      </c>
      <c r="H42" s="536" t="s">
        <v>1943</v>
      </c>
      <c r="I42" s="10"/>
      <c r="J42" s="10"/>
      <c r="K42" s="10"/>
      <c r="L42" s="10"/>
      <c r="M42" s="10"/>
      <c r="N42" s="10"/>
      <c r="O42" s="10"/>
      <c r="P42" s="10"/>
      <c r="Q42" s="10"/>
      <c r="R42" s="10"/>
      <c r="S42" s="10"/>
      <c r="T42" s="10"/>
      <c r="U42" s="10"/>
      <c r="V42" s="281"/>
      <c r="W42" s="281"/>
      <c r="X42" s="281"/>
    </row>
    <row r="43" spans="1:24" x14ac:dyDescent="0.2">
      <c r="A43" s="196" t="s">
        <v>277</v>
      </c>
      <c r="B43" s="183" t="s">
        <v>1584</v>
      </c>
      <c r="C43" s="183" t="s">
        <v>1585</v>
      </c>
      <c r="D43" s="198" t="s">
        <v>74</v>
      </c>
      <c r="E43" s="188" t="s">
        <v>562</v>
      </c>
      <c r="F43" s="183"/>
      <c r="G43" s="535" t="s">
        <v>584</v>
      </c>
      <c r="H43" s="536" t="s">
        <v>1931</v>
      </c>
      <c r="I43" s="10"/>
      <c r="J43" s="10"/>
      <c r="K43" s="10"/>
      <c r="L43" s="10"/>
      <c r="M43" s="10"/>
      <c r="N43" s="10"/>
      <c r="O43" s="10"/>
      <c r="P43" s="10"/>
      <c r="Q43" s="10"/>
      <c r="R43" s="10"/>
      <c r="S43" s="10"/>
      <c r="T43" s="10"/>
      <c r="U43" s="10"/>
      <c r="V43" s="281"/>
      <c r="W43" s="281"/>
      <c r="X43" s="281"/>
    </row>
    <row r="44" spans="1:24" x14ac:dyDescent="0.2">
      <c r="A44" s="196" t="s">
        <v>277</v>
      </c>
      <c r="B44" s="183" t="s">
        <v>1586</v>
      </c>
      <c r="C44" s="183" t="s">
        <v>1587</v>
      </c>
      <c r="D44" s="198" t="s">
        <v>74</v>
      </c>
      <c r="E44" s="188" t="s">
        <v>562</v>
      </c>
      <c r="F44" s="183"/>
      <c r="G44" s="535" t="s">
        <v>584</v>
      </c>
      <c r="H44" s="536" t="s">
        <v>1927</v>
      </c>
      <c r="I44" s="10"/>
      <c r="J44" s="10"/>
      <c r="K44" s="10"/>
      <c r="L44" s="10"/>
      <c r="M44" s="10"/>
      <c r="N44" s="10"/>
      <c r="O44" s="10"/>
      <c r="P44" s="10"/>
      <c r="Q44" s="10"/>
      <c r="R44" s="10"/>
      <c r="S44" s="10"/>
      <c r="T44" s="10"/>
      <c r="U44" s="10"/>
      <c r="V44" s="281"/>
      <c r="W44" s="281"/>
      <c r="X44" s="281"/>
    </row>
    <row r="45" spans="1:24" x14ac:dyDescent="0.2">
      <c r="A45" s="196" t="s">
        <v>277</v>
      </c>
      <c r="B45" s="183" t="s">
        <v>1588</v>
      </c>
      <c r="C45" s="183" t="s">
        <v>1589</v>
      </c>
      <c r="D45" s="198" t="s">
        <v>74</v>
      </c>
      <c r="E45" s="188" t="s">
        <v>562</v>
      </c>
      <c r="F45" s="183"/>
      <c r="G45" s="535" t="s">
        <v>1791</v>
      </c>
      <c r="H45" s="536"/>
      <c r="I45" s="10"/>
      <c r="J45" s="10"/>
      <c r="K45" s="10"/>
      <c r="L45" s="10"/>
      <c r="M45" s="10"/>
      <c r="N45" s="10"/>
      <c r="O45" s="10"/>
      <c r="P45" s="10"/>
      <c r="Q45" s="10"/>
      <c r="R45" s="10"/>
      <c r="S45" s="10"/>
      <c r="T45" s="10"/>
      <c r="U45" s="10"/>
      <c r="V45" s="10"/>
      <c r="W45" s="10"/>
      <c r="X45" s="10"/>
    </row>
    <row r="46" spans="1:24" x14ac:dyDescent="0.2">
      <c r="A46" s="196" t="s">
        <v>277</v>
      </c>
      <c r="B46" s="183" t="s">
        <v>1590</v>
      </c>
      <c r="C46" s="183" t="s">
        <v>1591</v>
      </c>
      <c r="D46" s="198" t="s">
        <v>74</v>
      </c>
      <c r="E46" s="188" t="s">
        <v>562</v>
      </c>
      <c r="F46" s="183"/>
      <c r="G46" s="535" t="s">
        <v>1792</v>
      </c>
      <c r="H46" s="536"/>
      <c r="I46" s="10"/>
      <c r="J46" s="10"/>
      <c r="K46" s="10"/>
      <c r="L46" s="10"/>
      <c r="M46" s="10"/>
      <c r="N46" s="10"/>
      <c r="O46" s="10"/>
      <c r="P46" s="10"/>
      <c r="Q46" s="10"/>
      <c r="R46" s="10"/>
      <c r="S46" s="10"/>
      <c r="T46" s="10"/>
      <c r="U46" s="10"/>
      <c r="V46" s="281"/>
      <c r="W46" s="281"/>
      <c r="X46" s="281"/>
    </row>
    <row r="47" spans="1:24" x14ac:dyDescent="0.2">
      <c r="A47" s="196" t="s">
        <v>277</v>
      </c>
      <c r="B47" s="183" t="s">
        <v>1592</v>
      </c>
      <c r="C47" s="183" t="s">
        <v>1593</v>
      </c>
      <c r="D47" s="198" t="s">
        <v>74</v>
      </c>
      <c r="E47" s="188" t="s">
        <v>562</v>
      </c>
      <c r="F47" s="183"/>
      <c r="G47" s="535">
        <v>0</v>
      </c>
      <c r="H47" s="536" t="s">
        <v>1944</v>
      </c>
      <c r="I47" s="10"/>
      <c r="J47" s="10"/>
      <c r="K47" s="10"/>
      <c r="L47" s="10"/>
      <c r="M47" s="10"/>
      <c r="N47" s="10"/>
      <c r="O47" s="10"/>
      <c r="P47" s="10"/>
      <c r="Q47" s="10"/>
      <c r="R47" s="10"/>
      <c r="S47" s="10"/>
      <c r="T47" s="10"/>
      <c r="U47" s="10"/>
      <c r="V47" s="281"/>
      <c r="W47" s="281"/>
      <c r="X47" s="281"/>
    </row>
    <row r="48" spans="1:24" x14ac:dyDescent="0.2">
      <c r="A48" s="196" t="s">
        <v>277</v>
      </c>
      <c r="B48" s="183" t="s">
        <v>1594</v>
      </c>
      <c r="C48" s="183" t="s">
        <v>1595</v>
      </c>
      <c r="D48" s="198" t="s">
        <v>74</v>
      </c>
      <c r="E48" s="188" t="s">
        <v>562</v>
      </c>
      <c r="F48" s="183"/>
      <c r="G48" s="535" t="s">
        <v>584</v>
      </c>
      <c r="H48" s="536" t="s">
        <v>1883</v>
      </c>
      <c r="I48" s="10"/>
      <c r="J48" s="10"/>
      <c r="K48" s="10"/>
      <c r="L48" s="10"/>
      <c r="M48" s="10"/>
      <c r="N48" s="10"/>
      <c r="O48" s="10"/>
      <c r="P48" s="10"/>
      <c r="Q48" s="10"/>
      <c r="R48" s="10"/>
      <c r="S48" s="10"/>
      <c r="T48" s="10"/>
      <c r="U48" s="10"/>
      <c r="V48" s="281"/>
      <c r="W48" s="281"/>
      <c r="X48" s="281"/>
    </row>
    <row r="49" spans="1:24" x14ac:dyDescent="0.2">
      <c r="A49" s="196" t="s">
        <v>277</v>
      </c>
      <c r="B49" s="183" t="s">
        <v>1596</v>
      </c>
      <c r="C49" s="183" t="s">
        <v>1597</v>
      </c>
      <c r="D49" s="198" t="s">
        <v>74</v>
      </c>
      <c r="E49" s="188" t="s">
        <v>562</v>
      </c>
      <c r="F49" s="183"/>
      <c r="G49" s="535" t="s">
        <v>332</v>
      </c>
      <c r="H49" s="536" t="s">
        <v>1795</v>
      </c>
      <c r="I49" s="10"/>
      <c r="J49" s="10"/>
      <c r="K49" s="10"/>
      <c r="L49" s="10"/>
      <c r="M49" s="10"/>
      <c r="N49" s="10"/>
      <c r="O49" s="10"/>
      <c r="P49" s="10"/>
      <c r="Q49" s="10"/>
      <c r="R49" s="10"/>
      <c r="S49" s="10"/>
      <c r="T49" s="10"/>
      <c r="U49" s="10"/>
      <c r="V49" s="281"/>
      <c r="W49" s="281"/>
      <c r="X49" s="281"/>
    </row>
    <row r="50" spans="1:24" x14ac:dyDescent="0.2">
      <c r="A50" s="196" t="s">
        <v>277</v>
      </c>
      <c r="B50" s="183" t="s">
        <v>1598</v>
      </c>
      <c r="C50" s="183" t="s">
        <v>1599</v>
      </c>
      <c r="D50" s="198" t="s">
        <v>74</v>
      </c>
      <c r="E50" s="188" t="s">
        <v>562</v>
      </c>
      <c r="F50" s="183"/>
      <c r="G50" s="535" t="s">
        <v>332</v>
      </c>
      <c r="H50" s="536" t="s">
        <v>1795</v>
      </c>
      <c r="I50" s="10"/>
      <c r="J50" s="10"/>
      <c r="K50" s="10"/>
      <c r="L50" s="10"/>
      <c r="M50" s="10"/>
      <c r="N50" s="10"/>
      <c r="O50" s="10"/>
      <c r="P50" s="10"/>
      <c r="Q50" s="10"/>
      <c r="R50" s="10"/>
      <c r="S50" s="10"/>
      <c r="T50" s="10"/>
      <c r="U50" s="10"/>
      <c r="V50" s="281"/>
      <c r="W50" s="281"/>
      <c r="X50" s="281"/>
    </row>
    <row r="51" spans="1:24" x14ac:dyDescent="0.2">
      <c r="A51" s="196" t="s">
        <v>277</v>
      </c>
      <c r="B51" s="183" t="s">
        <v>1600</v>
      </c>
      <c r="C51" s="183" t="s">
        <v>1601</v>
      </c>
      <c r="D51" s="198" t="s">
        <v>74</v>
      </c>
      <c r="E51" s="188" t="s">
        <v>562</v>
      </c>
      <c r="F51" s="183"/>
      <c r="G51" s="535" t="s">
        <v>1790</v>
      </c>
      <c r="H51" s="676"/>
      <c r="I51" s="10"/>
      <c r="J51" s="10"/>
      <c r="K51" s="10"/>
      <c r="L51" s="10"/>
      <c r="M51" s="10"/>
      <c r="N51" s="10"/>
      <c r="O51" s="10"/>
      <c r="P51" s="10"/>
      <c r="Q51" s="10"/>
      <c r="R51" s="10"/>
      <c r="S51" s="10"/>
      <c r="T51" s="10"/>
      <c r="U51" s="10"/>
      <c r="V51" s="281"/>
      <c r="W51" s="281"/>
      <c r="X51" s="281"/>
    </row>
    <row r="52" spans="1:24" x14ac:dyDescent="0.2">
      <c r="A52" s="196" t="s">
        <v>277</v>
      </c>
      <c r="B52" s="183" t="s">
        <v>1602</v>
      </c>
      <c r="C52" s="183" t="s">
        <v>1603</v>
      </c>
      <c r="D52" s="198" t="s">
        <v>74</v>
      </c>
      <c r="E52" s="188" t="s">
        <v>562</v>
      </c>
      <c r="F52" s="183"/>
      <c r="G52" s="535" t="s">
        <v>332</v>
      </c>
      <c r="H52" s="536" t="s">
        <v>1795</v>
      </c>
      <c r="I52" s="10"/>
      <c r="J52" s="10"/>
      <c r="K52" s="10"/>
      <c r="L52" s="10"/>
      <c r="M52" s="10"/>
      <c r="N52" s="10"/>
      <c r="O52" s="10"/>
      <c r="P52" s="10"/>
      <c r="Q52" s="10"/>
      <c r="R52" s="10"/>
      <c r="S52" s="10"/>
      <c r="T52" s="10"/>
      <c r="U52" s="10"/>
      <c r="V52" s="281"/>
      <c r="W52" s="281"/>
      <c r="X52" s="281"/>
    </row>
    <row r="53" spans="1:24" x14ac:dyDescent="0.2">
      <c r="A53" s="196" t="s">
        <v>277</v>
      </c>
      <c r="B53" s="183" t="s">
        <v>1604</v>
      </c>
      <c r="C53" s="183" t="s">
        <v>1605</v>
      </c>
      <c r="D53" s="198" t="s">
        <v>74</v>
      </c>
      <c r="E53" s="188" t="s">
        <v>562</v>
      </c>
      <c r="F53" s="183"/>
      <c r="G53" s="535">
        <v>4</v>
      </c>
      <c r="H53" s="536"/>
    </row>
    <row r="54" spans="1:24" x14ac:dyDescent="0.2">
      <c r="A54" s="196" t="s">
        <v>277</v>
      </c>
      <c r="B54" s="183" t="s">
        <v>1606</v>
      </c>
      <c r="C54" s="183" t="s">
        <v>1607</v>
      </c>
      <c r="D54" s="198" t="s">
        <v>74</v>
      </c>
      <c r="E54" s="188" t="s">
        <v>562</v>
      </c>
      <c r="F54" s="183"/>
      <c r="G54" s="535">
        <v>2</v>
      </c>
      <c r="H54" s="536"/>
    </row>
    <row r="55" spans="1:24" x14ac:dyDescent="0.2">
      <c r="A55" s="196" t="s">
        <v>277</v>
      </c>
      <c r="B55" s="183" t="s">
        <v>1608</v>
      </c>
      <c r="C55" s="183" t="s">
        <v>1609</v>
      </c>
      <c r="D55" s="198" t="s">
        <v>74</v>
      </c>
      <c r="E55" s="188" t="s">
        <v>562</v>
      </c>
      <c r="F55" s="183"/>
      <c r="G55" s="535" t="s">
        <v>1889</v>
      </c>
      <c r="H55" s="536" t="s">
        <v>1795</v>
      </c>
    </row>
    <row r="56" spans="1:24" x14ac:dyDescent="0.2">
      <c r="A56" s="196" t="s">
        <v>277</v>
      </c>
      <c r="B56" s="183" t="s">
        <v>1610</v>
      </c>
      <c r="C56" s="183" t="s">
        <v>1611</v>
      </c>
      <c r="D56" s="198" t="s">
        <v>74</v>
      </c>
      <c r="E56" s="188" t="s">
        <v>562</v>
      </c>
      <c r="F56" s="183"/>
      <c r="G56" s="535" t="s">
        <v>1889</v>
      </c>
      <c r="H56" s="536" t="s">
        <v>1795</v>
      </c>
    </row>
    <row r="57" spans="1:24" x14ac:dyDescent="0.2">
      <c r="A57" s="196" t="s">
        <v>277</v>
      </c>
      <c r="B57" s="183" t="s">
        <v>1612</v>
      </c>
      <c r="C57" s="183" t="s">
        <v>1613</v>
      </c>
      <c r="D57" s="198" t="s">
        <v>74</v>
      </c>
      <c r="E57" s="188" t="s">
        <v>562</v>
      </c>
      <c r="F57" s="183"/>
      <c r="G57" s="535" t="s">
        <v>332</v>
      </c>
      <c r="H57" s="536" t="s">
        <v>1795</v>
      </c>
    </row>
    <row r="58" spans="1:24" x14ac:dyDescent="0.2">
      <c r="A58" s="196" t="s">
        <v>277</v>
      </c>
      <c r="B58" s="183"/>
      <c r="C58" s="183" t="s">
        <v>1614</v>
      </c>
      <c r="D58" s="183" t="s">
        <v>392</v>
      </c>
      <c r="E58" s="188" t="s">
        <v>562</v>
      </c>
      <c r="F58" s="183"/>
      <c r="G58" s="535">
        <v>1</v>
      </c>
      <c r="H58" s="536"/>
    </row>
    <row r="59" spans="1:24" x14ac:dyDescent="0.2">
      <c r="A59" s="196" t="s">
        <v>277</v>
      </c>
      <c r="B59" s="183"/>
      <c r="C59" s="183" t="s">
        <v>563</v>
      </c>
      <c r="D59" s="183" t="s">
        <v>392</v>
      </c>
      <c r="E59" s="188" t="s">
        <v>562</v>
      </c>
      <c r="F59" s="183"/>
      <c r="G59" s="535">
        <v>1</v>
      </c>
      <c r="H59" s="536"/>
    </row>
    <row r="60" spans="1:24" x14ac:dyDescent="0.2">
      <c r="A60" s="196" t="s">
        <v>277</v>
      </c>
      <c r="B60" s="183"/>
      <c r="C60" s="183" t="s">
        <v>564</v>
      </c>
      <c r="D60" s="198" t="s">
        <v>536</v>
      </c>
      <c r="E60" s="188" t="s">
        <v>562</v>
      </c>
      <c r="F60" s="183"/>
      <c r="G60" s="535">
        <v>1</v>
      </c>
      <c r="H60" s="679"/>
    </row>
    <row r="61" spans="1:24" x14ac:dyDescent="0.2">
      <c r="A61" s="196" t="s">
        <v>277</v>
      </c>
      <c r="B61" s="183"/>
      <c r="C61" s="183" t="s">
        <v>565</v>
      </c>
      <c r="D61" s="198" t="s">
        <v>536</v>
      </c>
      <c r="E61" s="188" t="s">
        <v>562</v>
      </c>
      <c r="F61" s="183"/>
      <c r="G61" s="535">
        <v>0</v>
      </c>
      <c r="H61" s="536" t="s">
        <v>1933</v>
      </c>
    </row>
    <row r="62" spans="1:24" x14ac:dyDescent="0.2">
      <c r="A62" s="196" t="s">
        <v>277</v>
      </c>
      <c r="B62" s="183"/>
      <c r="C62" s="183" t="s">
        <v>566</v>
      </c>
      <c r="D62" s="198" t="s">
        <v>536</v>
      </c>
      <c r="E62" s="188" t="s">
        <v>562</v>
      </c>
      <c r="F62" s="183"/>
      <c r="G62" s="535">
        <v>1</v>
      </c>
      <c r="H62" s="536"/>
    </row>
    <row r="63" spans="1:24" x14ac:dyDescent="0.2">
      <c r="A63" s="196" t="s">
        <v>277</v>
      </c>
      <c r="B63" s="183"/>
      <c r="C63" s="183" t="s">
        <v>567</v>
      </c>
      <c r="D63" s="198" t="s">
        <v>536</v>
      </c>
      <c r="E63" s="188" t="s">
        <v>562</v>
      </c>
      <c r="F63" s="183"/>
      <c r="G63" s="535">
        <v>1</v>
      </c>
      <c r="H63" s="536"/>
    </row>
    <row r="64" spans="1:24" x14ac:dyDescent="0.2">
      <c r="A64" s="196" t="s">
        <v>277</v>
      </c>
      <c r="B64" s="183"/>
      <c r="C64" s="183" t="s">
        <v>568</v>
      </c>
      <c r="D64" s="198" t="s">
        <v>536</v>
      </c>
      <c r="E64" s="188" t="s">
        <v>562</v>
      </c>
      <c r="F64" s="183"/>
      <c r="G64" s="535">
        <v>1</v>
      </c>
      <c r="H64" s="536"/>
    </row>
    <row r="65" spans="1:9" x14ac:dyDescent="0.2">
      <c r="A65" s="537" t="s">
        <v>277</v>
      </c>
      <c r="B65" s="538" t="s">
        <v>1796</v>
      </c>
      <c r="C65" s="538" t="s">
        <v>1797</v>
      </c>
      <c r="D65" s="538" t="s">
        <v>74</v>
      </c>
      <c r="E65" s="632"/>
      <c r="F65" s="539"/>
      <c r="G65" s="535">
        <v>1</v>
      </c>
      <c r="H65" s="536" t="s">
        <v>1841</v>
      </c>
    </row>
    <row r="66" spans="1:9" x14ac:dyDescent="0.2">
      <c r="A66" s="537" t="s">
        <v>277</v>
      </c>
      <c r="B66" s="538" t="s">
        <v>1798</v>
      </c>
      <c r="C66" s="538" t="s">
        <v>1799</v>
      </c>
      <c r="D66" s="538" t="s">
        <v>74</v>
      </c>
      <c r="E66" s="537"/>
      <c r="F66" s="539"/>
      <c r="G66" s="549">
        <v>1</v>
      </c>
      <c r="H66" s="536" t="s">
        <v>1841</v>
      </c>
    </row>
    <row r="67" spans="1:9" x14ac:dyDescent="0.2">
      <c r="A67" s="537" t="s">
        <v>277</v>
      </c>
      <c r="B67" s="538" t="s">
        <v>1800</v>
      </c>
      <c r="C67" s="538" t="s">
        <v>1801</v>
      </c>
      <c r="D67" s="538" t="s">
        <v>74</v>
      </c>
      <c r="E67" s="537"/>
      <c r="F67" s="539"/>
      <c r="G67" s="535">
        <v>2</v>
      </c>
      <c r="H67" s="536" t="s">
        <v>1841</v>
      </c>
    </row>
    <row r="68" spans="1:9" x14ac:dyDescent="0.2">
      <c r="A68" s="537" t="s">
        <v>277</v>
      </c>
      <c r="B68" s="538" t="s">
        <v>1802</v>
      </c>
      <c r="C68" s="538" t="s">
        <v>1803</v>
      </c>
      <c r="D68" s="538" t="s">
        <v>74</v>
      </c>
      <c r="E68" s="537"/>
      <c r="F68" s="539"/>
      <c r="G68" s="535">
        <v>1</v>
      </c>
      <c r="H68" s="536" t="s">
        <v>1841</v>
      </c>
    </row>
    <row r="69" spans="1:9" x14ac:dyDescent="0.2">
      <c r="A69" s="537" t="s">
        <v>277</v>
      </c>
      <c r="B69" s="538" t="s">
        <v>1804</v>
      </c>
      <c r="C69" s="538" t="s">
        <v>1805</v>
      </c>
      <c r="D69" s="538" t="s">
        <v>74</v>
      </c>
      <c r="E69" s="537"/>
      <c r="F69" s="539"/>
      <c r="G69" s="535">
        <v>1</v>
      </c>
      <c r="H69" s="536" t="s">
        <v>1841</v>
      </c>
    </row>
    <row r="70" spans="1:9" x14ac:dyDescent="0.2">
      <c r="A70" s="537" t="s">
        <v>277</v>
      </c>
      <c r="B70" s="538" t="s">
        <v>1806</v>
      </c>
      <c r="C70" s="538" t="s">
        <v>1807</v>
      </c>
      <c r="D70" s="538" t="s">
        <v>74</v>
      </c>
      <c r="E70" s="537"/>
      <c r="F70" s="539"/>
      <c r="G70" s="535">
        <v>1</v>
      </c>
      <c r="H70" s="536" t="s">
        <v>1841</v>
      </c>
    </row>
    <row r="71" spans="1:9" x14ac:dyDescent="0.2">
      <c r="A71" s="537" t="s">
        <v>277</v>
      </c>
      <c r="B71" s="538" t="s">
        <v>1808</v>
      </c>
      <c r="C71" s="538" t="s">
        <v>1809</v>
      </c>
      <c r="D71" s="538" t="s">
        <v>74</v>
      </c>
      <c r="E71" s="537"/>
      <c r="F71" s="539"/>
      <c r="G71" s="535">
        <v>1</v>
      </c>
      <c r="H71" s="536" t="s">
        <v>1841</v>
      </c>
    </row>
    <row r="72" spans="1:9" x14ac:dyDescent="0.2">
      <c r="A72" s="537" t="s">
        <v>277</v>
      </c>
      <c r="B72" s="538" t="s">
        <v>1810</v>
      </c>
      <c r="C72" s="538" t="s">
        <v>1811</v>
      </c>
      <c r="D72" s="538" t="s">
        <v>74</v>
      </c>
      <c r="E72" s="537"/>
      <c r="F72" s="539"/>
      <c r="G72" s="535">
        <v>3</v>
      </c>
      <c r="H72" s="536" t="s">
        <v>1841</v>
      </c>
    </row>
    <row r="73" spans="1:9" x14ac:dyDescent="0.2">
      <c r="A73" s="537" t="s">
        <v>277</v>
      </c>
      <c r="B73" s="538" t="s">
        <v>1812</v>
      </c>
      <c r="C73" s="538" t="s">
        <v>1813</v>
      </c>
      <c r="D73" s="538" t="s">
        <v>74</v>
      </c>
      <c r="E73" s="537"/>
      <c r="F73" s="539"/>
      <c r="G73" s="535">
        <v>1</v>
      </c>
      <c r="H73" s="536" t="s">
        <v>1841</v>
      </c>
    </row>
    <row r="74" spans="1:9" x14ac:dyDescent="0.2">
      <c r="A74" s="537" t="s">
        <v>277</v>
      </c>
      <c r="B74" s="538" t="s">
        <v>1814</v>
      </c>
      <c r="C74" s="538" t="s">
        <v>1815</v>
      </c>
      <c r="D74" s="538" t="s">
        <v>74</v>
      </c>
      <c r="E74" s="537"/>
      <c r="F74" s="539"/>
      <c r="G74" s="535">
        <v>1</v>
      </c>
      <c r="H74" s="536" t="s">
        <v>1841</v>
      </c>
    </row>
    <row r="75" spans="1:9" x14ac:dyDescent="0.2">
      <c r="A75" s="537" t="s">
        <v>277</v>
      </c>
      <c r="B75" s="538" t="s">
        <v>1816</v>
      </c>
      <c r="C75" s="538" t="s">
        <v>1817</v>
      </c>
      <c r="D75" s="538" t="s">
        <v>74</v>
      </c>
      <c r="E75" s="537"/>
      <c r="F75" s="539"/>
      <c r="G75" s="535">
        <v>1</v>
      </c>
      <c r="H75" s="536" t="s">
        <v>1841</v>
      </c>
    </row>
    <row r="76" spans="1:9" x14ac:dyDescent="0.2">
      <c r="A76" s="537" t="s">
        <v>277</v>
      </c>
      <c r="B76" s="538" t="s">
        <v>1818</v>
      </c>
      <c r="C76" s="538" t="s">
        <v>1819</v>
      </c>
      <c r="D76" s="538" t="s">
        <v>74</v>
      </c>
      <c r="E76" s="537"/>
      <c r="F76" s="539"/>
      <c r="G76" s="535">
        <v>1</v>
      </c>
      <c r="H76" s="536" t="s">
        <v>1881</v>
      </c>
      <c r="I76" s="601"/>
    </row>
    <row r="77" spans="1:9" x14ac:dyDescent="0.2">
      <c r="A77" s="537" t="s">
        <v>277</v>
      </c>
      <c r="B77" s="538" t="s">
        <v>1820</v>
      </c>
      <c r="C77" s="538" t="s">
        <v>1925</v>
      </c>
      <c r="D77" s="538" t="s">
        <v>1926</v>
      </c>
      <c r="E77" s="537"/>
      <c r="F77" s="539"/>
      <c r="G77" s="535">
        <v>1</v>
      </c>
      <c r="H77" s="536" t="s">
        <v>1841</v>
      </c>
    </row>
    <row r="78" spans="1:9" x14ac:dyDescent="0.2">
      <c r="A78" s="537" t="s">
        <v>277</v>
      </c>
      <c r="B78" s="538" t="s">
        <v>1821</v>
      </c>
      <c r="C78" s="538" t="s">
        <v>1822</v>
      </c>
      <c r="D78" s="538" t="s">
        <v>74</v>
      </c>
      <c r="E78" s="537"/>
      <c r="F78" s="539"/>
      <c r="G78" s="535">
        <v>1</v>
      </c>
      <c r="H78" s="536" t="s">
        <v>1841</v>
      </c>
    </row>
    <row r="79" spans="1:9" x14ac:dyDescent="0.2">
      <c r="A79" s="537" t="s">
        <v>277</v>
      </c>
      <c r="B79" s="538" t="s">
        <v>1823</v>
      </c>
      <c r="C79" s="538"/>
      <c r="D79" s="538" t="s">
        <v>74</v>
      </c>
      <c r="E79" s="537"/>
      <c r="F79" s="539"/>
      <c r="G79" s="535">
        <v>3</v>
      </c>
      <c r="H79" s="536" t="s">
        <v>1841</v>
      </c>
    </row>
    <row r="80" spans="1:9" x14ac:dyDescent="0.2">
      <c r="A80" s="537" t="s">
        <v>277</v>
      </c>
      <c r="B80" s="538" t="s">
        <v>1824</v>
      </c>
      <c r="C80" s="538" t="s">
        <v>1825</v>
      </c>
      <c r="D80" s="538" t="s">
        <v>74</v>
      </c>
      <c r="E80" s="537"/>
      <c r="F80" s="539"/>
      <c r="G80" s="535">
        <v>2</v>
      </c>
      <c r="H80" s="536" t="s">
        <v>1841</v>
      </c>
    </row>
    <row r="81" spans="1:8" x14ac:dyDescent="0.2">
      <c r="A81" s="537" t="s">
        <v>277</v>
      </c>
      <c r="B81" s="538" t="s">
        <v>1826</v>
      </c>
      <c r="C81" s="538" t="s">
        <v>1827</v>
      </c>
      <c r="D81" s="538" t="s">
        <v>74</v>
      </c>
      <c r="E81" s="537"/>
      <c r="F81" s="539"/>
      <c r="G81" s="535">
        <v>2</v>
      </c>
      <c r="H81" s="536" t="s">
        <v>1841</v>
      </c>
    </row>
    <row r="82" spans="1:8" x14ac:dyDescent="0.2">
      <c r="A82" s="537" t="s">
        <v>277</v>
      </c>
      <c r="B82" s="538" t="s">
        <v>1828</v>
      </c>
      <c r="C82" s="538" t="s">
        <v>1829</v>
      </c>
      <c r="D82" s="538" t="s">
        <v>74</v>
      </c>
      <c r="E82" s="537"/>
      <c r="F82" s="539"/>
      <c r="G82" s="535">
        <v>2</v>
      </c>
      <c r="H82" s="536" t="s">
        <v>1841</v>
      </c>
    </row>
    <row r="83" spans="1:8" x14ac:dyDescent="0.2">
      <c r="A83" s="537" t="s">
        <v>277</v>
      </c>
      <c r="B83" s="538" t="s">
        <v>1524</v>
      </c>
      <c r="C83" s="538" t="s">
        <v>1864</v>
      </c>
      <c r="D83" s="538" t="s">
        <v>1926</v>
      </c>
      <c r="E83" s="538"/>
      <c r="F83" s="538"/>
      <c r="G83" s="660">
        <v>2</v>
      </c>
      <c r="H83" s="536" t="s">
        <v>1881</v>
      </c>
    </row>
  </sheetData>
  <autoFilter ref="A4:Y83"/>
  <dataValidations count="1">
    <dataValidation type="textLength" showInputMessage="1" showErrorMessage="1" sqref="G6:G7 F7">
      <formula1>0</formula1>
      <formula2>150</formula2>
    </dataValidation>
  </dataValidations>
  <pageMargins left="0.7" right="0.7" top="0.75" bottom="0.75" header="0.3" footer="0.3"/>
  <pageSetup paperSize="9" scale="86"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X56"/>
  <sheetViews>
    <sheetView topLeftCell="F1" zoomScaleNormal="100" workbookViewId="0">
      <selection sqref="A1:A1048576"/>
    </sheetView>
  </sheetViews>
  <sheetFormatPr defaultColWidth="8.85546875" defaultRowHeight="12.75" x14ac:dyDescent="0.2"/>
  <cols>
    <col min="1" max="1" width="12.5703125" style="3" customWidth="1"/>
    <col min="2" max="2" width="13" style="3" customWidth="1"/>
    <col min="3" max="3" width="9.140625" style="3" customWidth="1"/>
    <col min="4" max="4" width="13.85546875" style="3" customWidth="1"/>
    <col min="5" max="5" width="19.5703125" style="3" customWidth="1"/>
    <col min="6" max="6" width="13.5703125" style="3" customWidth="1"/>
    <col min="7" max="7" width="22.85546875" style="3" customWidth="1"/>
    <col min="8" max="8" width="29.140625" style="3" customWidth="1"/>
    <col min="9" max="9" width="36.140625" style="3" customWidth="1"/>
    <col min="10" max="10" width="30.42578125" style="3" customWidth="1"/>
    <col min="11" max="11" width="36.42578125" style="3" customWidth="1"/>
    <col min="12" max="12" width="47.140625" style="3" customWidth="1"/>
    <col min="13" max="13" width="8.85546875" style="3"/>
    <col min="14" max="14" width="57" style="3" customWidth="1"/>
    <col min="15" max="23" width="8.85546875" style="3"/>
    <col min="24" max="24" width="52.7109375" style="3" customWidth="1"/>
    <col min="25" max="16384" width="8.85546875" style="3"/>
  </cols>
  <sheetData>
    <row r="1" spans="1:24" ht="13.5" thickBot="1" x14ac:dyDescent="0.25">
      <c r="A1" s="7" t="s">
        <v>1615</v>
      </c>
      <c r="B1" s="1"/>
      <c r="C1" s="5"/>
      <c r="D1" s="1"/>
      <c r="E1" s="1"/>
      <c r="F1" s="1"/>
      <c r="G1" s="1"/>
      <c r="H1" s="1"/>
      <c r="I1" s="1"/>
      <c r="J1" s="1"/>
      <c r="K1" s="1"/>
    </row>
    <row r="2" spans="1:24" x14ac:dyDescent="0.2">
      <c r="A2" s="449"/>
      <c r="B2" s="44"/>
      <c r="C2" s="44"/>
      <c r="D2" s="44"/>
      <c r="E2" s="44"/>
      <c r="F2" s="44"/>
      <c r="G2" s="44"/>
      <c r="H2" s="44"/>
      <c r="I2" s="44"/>
      <c r="J2" s="96" t="s">
        <v>56</v>
      </c>
      <c r="K2" s="88" t="s">
        <v>50</v>
      </c>
      <c r="L2" s="264"/>
      <c r="M2" s="264"/>
      <c r="N2" s="264"/>
      <c r="O2" s="264"/>
      <c r="P2" s="264"/>
      <c r="Q2" s="412"/>
      <c r="R2" s="264"/>
      <c r="S2" s="264"/>
      <c r="T2" s="264"/>
      <c r="U2" s="264"/>
      <c r="V2" s="264"/>
      <c r="W2" s="264"/>
      <c r="X2" s="187"/>
    </row>
    <row r="3" spans="1:24" ht="13.5" thickBot="1" x14ac:dyDescent="0.25">
      <c r="A3" s="206"/>
      <c r="B3" s="207"/>
      <c r="C3" s="207"/>
      <c r="D3" s="207"/>
      <c r="E3" s="207"/>
      <c r="F3" s="207"/>
      <c r="G3" s="207"/>
      <c r="H3" s="207"/>
      <c r="I3" s="207"/>
      <c r="J3" s="77" t="s">
        <v>55</v>
      </c>
      <c r="K3" s="150">
        <v>2019</v>
      </c>
      <c r="L3" s="264"/>
      <c r="M3" s="264"/>
      <c r="N3" s="264"/>
      <c r="O3" s="264"/>
      <c r="P3" s="264"/>
      <c r="Q3" s="412"/>
      <c r="R3" s="264"/>
      <c r="S3" s="264"/>
      <c r="T3" s="264"/>
      <c r="U3" s="264"/>
      <c r="V3" s="264"/>
      <c r="W3" s="264"/>
      <c r="X3" s="7"/>
    </row>
    <row r="4" spans="1:24" ht="26.25" thickBot="1" x14ac:dyDescent="0.25">
      <c r="A4" s="105" t="s">
        <v>0</v>
      </c>
      <c r="B4" s="105" t="s">
        <v>1</v>
      </c>
      <c r="C4" s="105" t="s">
        <v>5</v>
      </c>
      <c r="D4" s="105" t="s">
        <v>1616</v>
      </c>
      <c r="E4" s="105" t="s">
        <v>1617</v>
      </c>
      <c r="F4" s="105" t="s">
        <v>1618</v>
      </c>
      <c r="G4" s="105" t="s">
        <v>1619</v>
      </c>
      <c r="H4" s="105" t="s">
        <v>1620</v>
      </c>
      <c r="I4" s="105" t="s">
        <v>1621</v>
      </c>
      <c r="J4" s="105" t="s">
        <v>4</v>
      </c>
      <c r="K4" s="166" t="s">
        <v>1622</v>
      </c>
      <c r="L4" s="132"/>
      <c r="M4" s="132"/>
      <c r="N4" s="132"/>
      <c r="O4" s="132"/>
      <c r="P4" s="132"/>
      <c r="Q4" s="132"/>
      <c r="R4" s="132"/>
      <c r="S4" s="132"/>
      <c r="T4" s="132"/>
      <c r="U4" s="132"/>
      <c r="V4" s="132"/>
      <c r="W4" s="132"/>
      <c r="X4" s="132"/>
    </row>
    <row r="5" spans="1:24" ht="127.5" x14ac:dyDescent="0.2">
      <c r="A5" s="295" t="s">
        <v>277</v>
      </c>
      <c r="B5" s="295" t="s">
        <v>79</v>
      </c>
      <c r="C5" s="295" t="s">
        <v>74</v>
      </c>
      <c r="D5" s="295" t="s">
        <v>1623</v>
      </c>
      <c r="E5" s="373" t="s">
        <v>1624</v>
      </c>
      <c r="F5" s="295" t="s">
        <v>1625</v>
      </c>
      <c r="G5" s="295">
        <v>3</v>
      </c>
      <c r="H5" s="295" t="s">
        <v>1626</v>
      </c>
      <c r="I5" s="295" t="s">
        <v>1627</v>
      </c>
      <c r="J5" s="373" t="s">
        <v>1628</v>
      </c>
      <c r="K5" s="541" t="s">
        <v>1884</v>
      </c>
      <c r="L5" s="410"/>
      <c r="M5" s="410"/>
      <c r="N5" s="410"/>
      <c r="O5" s="410"/>
      <c r="P5" s="410"/>
      <c r="Q5" s="410"/>
      <c r="R5" s="410"/>
      <c r="S5" s="410"/>
      <c r="T5" s="410"/>
      <c r="U5" s="410"/>
      <c r="V5" s="410"/>
      <c r="W5" s="410"/>
    </row>
    <row r="6" spans="1:24" ht="267.75" x14ac:dyDescent="0.2">
      <c r="A6" s="295" t="s">
        <v>277</v>
      </c>
      <c r="B6" s="295" t="s">
        <v>79</v>
      </c>
      <c r="C6" s="295" t="s">
        <v>74</v>
      </c>
      <c r="D6" s="295" t="s">
        <v>1623</v>
      </c>
      <c r="E6" s="295" t="s">
        <v>1629</v>
      </c>
      <c r="F6" s="373" t="s">
        <v>1630</v>
      </c>
      <c r="G6" s="295">
        <v>7</v>
      </c>
      <c r="H6" s="295" t="s">
        <v>1631</v>
      </c>
      <c r="I6" s="373" t="s">
        <v>1632</v>
      </c>
      <c r="J6" s="373"/>
      <c r="K6" s="541" t="s">
        <v>1830</v>
      </c>
      <c r="L6" s="357"/>
      <c r="M6" s="365"/>
      <c r="N6" s="366"/>
      <c r="O6" s="10"/>
      <c r="P6" s="10"/>
      <c r="Q6" s="10"/>
      <c r="R6" s="10"/>
      <c r="S6" s="10"/>
      <c r="T6" s="10"/>
      <c r="U6" s="281"/>
      <c r="V6" s="281"/>
      <c r="W6" s="281"/>
    </row>
    <row r="7" spans="1:24" ht="229.5" x14ac:dyDescent="0.2">
      <c r="A7" s="295" t="s">
        <v>277</v>
      </c>
      <c r="B7" s="295" t="s">
        <v>79</v>
      </c>
      <c r="C7" s="295" t="s">
        <v>74</v>
      </c>
      <c r="D7" s="295" t="s">
        <v>1633</v>
      </c>
      <c r="E7" s="295" t="s">
        <v>1634</v>
      </c>
      <c r="F7" s="295" t="s">
        <v>1635</v>
      </c>
      <c r="G7" s="295" t="s">
        <v>1636</v>
      </c>
      <c r="H7" s="295" t="s">
        <v>1637</v>
      </c>
      <c r="I7" s="295" t="s">
        <v>1638</v>
      </c>
      <c r="J7" s="373" t="s">
        <v>1639</v>
      </c>
      <c r="K7" s="541" t="s">
        <v>1831</v>
      </c>
      <c r="L7" s="357"/>
      <c r="M7" s="365"/>
      <c r="N7" s="366"/>
      <c r="O7" s="10"/>
      <c r="P7" s="10"/>
      <c r="Q7" s="10"/>
      <c r="R7" s="10"/>
      <c r="S7" s="10"/>
      <c r="T7" s="10"/>
      <c r="U7" s="281"/>
      <c r="V7" s="281"/>
      <c r="W7" s="281"/>
    </row>
    <row r="8" spans="1:24" ht="76.5" x14ac:dyDescent="0.2">
      <c r="A8" s="295" t="s">
        <v>277</v>
      </c>
      <c r="B8" s="295" t="s">
        <v>79</v>
      </c>
      <c r="C8" s="295" t="s">
        <v>74</v>
      </c>
      <c r="D8" s="295" t="s">
        <v>1633</v>
      </c>
      <c r="E8" s="295" t="s">
        <v>1640</v>
      </c>
      <c r="F8" s="295" t="s">
        <v>1641</v>
      </c>
      <c r="G8" s="295" t="s">
        <v>1642</v>
      </c>
      <c r="H8" s="295" t="s">
        <v>1643</v>
      </c>
      <c r="I8" s="373" t="s">
        <v>1644</v>
      </c>
      <c r="J8" s="295"/>
      <c r="K8" s="541"/>
      <c r="L8" s="357"/>
      <c r="M8" s="365"/>
      <c r="N8" s="366"/>
      <c r="O8" s="10"/>
      <c r="P8" s="10"/>
      <c r="Q8" s="10"/>
      <c r="R8" s="10"/>
      <c r="S8" s="10"/>
      <c r="T8" s="10"/>
      <c r="U8" s="281"/>
      <c r="V8" s="281"/>
      <c r="W8" s="281"/>
    </row>
    <row r="9" spans="1:24" ht="153" x14ac:dyDescent="0.2">
      <c r="A9" s="373" t="s">
        <v>277</v>
      </c>
      <c r="B9" s="295" t="s">
        <v>79</v>
      </c>
      <c r="C9" s="295" t="s">
        <v>74</v>
      </c>
      <c r="D9" s="295" t="s">
        <v>1633</v>
      </c>
      <c r="E9" s="295" t="s">
        <v>1645</v>
      </c>
      <c r="F9" s="295" t="s">
        <v>1646</v>
      </c>
      <c r="G9" s="295" t="s">
        <v>1647</v>
      </c>
      <c r="H9" s="295" t="s">
        <v>1648</v>
      </c>
      <c r="I9" s="373" t="s">
        <v>1649</v>
      </c>
      <c r="J9" s="183"/>
      <c r="K9" s="541" t="s">
        <v>1832</v>
      </c>
      <c r="L9" s="357"/>
      <c r="M9" s="365"/>
      <c r="N9" s="366"/>
      <c r="O9" s="10"/>
      <c r="P9" s="10"/>
      <c r="Q9" s="10"/>
      <c r="R9" s="10"/>
      <c r="S9" s="10"/>
      <c r="T9" s="10"/>
      <c r="U9" s="281"/>
      <c r="V9" s="281"/>
      <c r="W9" s="281"/>
    </row>
    <row r="10" spans="1:24" ht="89.25" x14ac:dyDescent="0.2">
      <c r="A10" s="295" t="s">
        <v>277</v>
      </c>
      <c r="B10" s="295" t="s">
        <v>79</v>
      </c>
      <c r="C10" s="295" t="s">
        <v>74</v>
      </c>
      <c r="D10" s="295" t="s">
        <v>1650</v>
      </c>
      <c r="E10" s="295" t="s">
        <v>1651</v>
      </c>
      <c r="F10" s="295" t="s">
        <v>1652</v>
      </c>
      <c r="G10" s="295" t="s">
        <v>1653</v>
      </c>
      <c r="H10" s="295" t="s">
        <v>1654</v>
      </c>
      <c r="I10" s="295" t="s">
        <v>1655</v>
      </c>
      <c r="J10" s="295" t="s">
        <v>1656</v>
      </c>
      <c r="K10" s="541" t="s">
        <v>1833</v>
      </c>
      <c r="L10" s="357"/>
      <c r="M10" s="365"/>
      <c r="N10" s="366"/>
      <c r="O10" s="10"/>
      <c r="P10" s="10"/>
      <c r="Q10" s="10"/>
      <c r="R10" s="10"/>
      <c r="S10" s="10"/>
      <c r="T10" s="10"/>
      <c r="U10" s="281"/>
      <c r="V10" s="281"/>
      <c r="W10" s="281"/>
    </row>
    <row r="11" spans="1:24" ht="242.25" x14ac:dyDescent="0.2">
      <c r="A11" s="295" t="s">
        <v>277</v>
      </c>
      <c r="B11" s="295" t="s">
        <v>79</v>
      </c>
      <c r="C11" s="295" t="s">
        <v>74</v>
      </c>
      <c r="D11" s="295" t="s">
        <v>1657</v>
      </c>
      <c r="E11" s="295" t="s">
        <v>1651</v>
      </c>
      <c r="F11" s="295" t="s">
        <v>1658</v>
      </c>
      <c r="G11" s="295" t="s">
        <v>1659</v>
      </c>
      <c r="H11" s="295" t="s">
        <v>1660</v>
      </c>
      <c r="I11" s="295" t="s">
        <v>1661</v>
      </c>
      <c r="J11" s="295" t="s">
        <v>1662</v>
      </c>
      <c r="K11" s="541" t="s">
        <v>1872</v>
      </c>
      <c r="L11" s="357"/>
      <c r="M11" s="365"/>
      <c r="N11" s="366"/>
      <c r="O11" s="10"/>
      <c r="P11" s="10"/>
      <c r="Q11" s="10"/>
      <c r="R11" s="10"/>
      <c r="S11" s="10"/>
      <c r="T11" s="10"/>
      <c r="U11" s="281"/>
      <c r="V11" s="281"/>
      <c r="W11" s="281"/>
    </row>
    <row r="12" spans="1:24" ht="216.75" x14ac:dyDescent="0.2">
      <c r="A12" s="633" t="s">
        <v>277</v>
      </c>
      <c r="B12" s="633" t="s">
        <v>79</v>
      </c>
      <c r="C12" s="633" t="s">
        <v>74</v>
      </c>
      <c r="D12" s="633" t="s">
        <v>1650</v>
      </c>
      <c r="E12" s="633"/>
      <c r="F12" s="633" t="s">
        <v>1663</v>
      </c>
      <c r="G12" s="633" t="s">
        <v>1664</v>
      </c>
      <c r="H12" s="633" t="s">
        <v>1665</v>
      </c>
      <c r="I12" s="633" t="s">
        <v>1666</v>
      </c>
      <c r="J12" s="633" t="s">
        <v>1667</v>
      </c>
      <c r="K12" s="541" t="s">
        <v>1873</v>
      </c>
      <c r="L12" s="357"/>
      <c r="M12" s="365"/>
      <c r="N12" s="366"/>
      <c r="O12" s="10"/>
      <c r="P12" s="10"/>
      <c r="Q12" s="10"/>
      <c r="R12" s="10"/>
      <c r="S12" s="10"/>
      <c r="T12" s="10"/>
      <c r="U12" s="281"/>
      <c r="V12" s="281"/>
      <c r="W12" s="281"/>
    </row>
    <row r="13" spans="1:24" x14ac:dyDescent="0.2">
      <c r="A13" s="2"/>
      <c r="B13" s="2"/>
      <c r="C13" s="2"/>
      <c r="D13" s="2"/>
      <c r="E13" s="2"/>
      <c r="F13" s="2"/>
      <c r="G13" s="2"/>
      <c r="H13" s="451"/>
      <c r="I13" s="15"/>
      <c r="J13" s="2"/>
      <c r="K13" s="1"/>
      <c r="L13" s="357"/>
      <c r="M13" s="365"/>
      <c r="N13" s="366"/>
      <c r="O13" s="10"/>
      <c r="P13" s="10"/>
      <c r="Q13" s="10"/>
      <c r="R13" s="10"/>
      <c r="S13" s="10"/>
      <c r="T13" s="10"/>
      <c r="U13" s="281"/>
      <c r="V13" s="281"/>
      <c r="W13" s="281"/>
      <c r="X13" s="280"/>
    </row>
    <row r="14" spans="1:24" x14ac:dyDescent="0.2">
      <c r="A14" s="2"/>
      <c r="B14" s="2"/>
      <c r="C14" s="2"/>
      <c r="D14" s="2"/>
      <c r="E14" s="2"/>
      <c r="F14" s="2"/>
      <c r="G14" s="2"/>
      <c r="H14" s="451"/>
      <c r="I14" s="2"/>
      <c r="J14" s="2"/>
      <c r="K14" s="1"/>
      <c r="L14" s="357"/>
      <c r="M14" s="365"/>
      <c r="N14" s="366"/>
      <c r="O14" s="10"/>
      <c r="P14" s="10"/>
      <c r="Q14" s="10"/>
      <c r="R14" s="10"/>
      <c r="S14" s="10"/>
      <c r="T14" s="10"/>
      <c r="U14" s="281"/>
      <c r="V14" s="281"/>
      <c r="W14" s="281"/>
    </row>
    <row r="15" spans="1:24" x14ac:dyDescent="0.2">
      <c r="A15" s="2"/>
      <c r="B15" s="2"/>
      <c r="C15" s="2"/>
      <c r="D15" s="2"/>
      <c r="E15" s="2"/>
      <c r="F15" s="2"/>
      <c r="G15" s="2"/>
      <c r="H15" s="451"/>
      <c r="I15" s="2"/>
      <c r="J15" s="2"/>
      <c r="K15" s="1"/>
      <c r="L15" s="357"/>
      <c r="M15" s="365"/>
      <c r="N15" s="366"/>
      <c r="O15" s="10"/>
      <c r="P15" s="10"/>
      <c r="Q15" s="10"/>
      <c r="R15" s="10"/>
      <c r="S15" s="10"/>
      <c r="T15" s="10"/>
      <c r="U15" s="281"/>
      <c r="V15" s="281"/>
      <c r="W15" s="281"/>
    </row>
    <row r="16" spans="1:24" x14ac:dyDescent="0.2">
      <c r="A16" s="277"/>
      <c r="B16" s="277"/>
      <c r="C16" s="277"/>
      <c r="D16" s="277"/>
      <c r="E16" s="277"/>
      <c r="F16" s="277"/>
      <c r="G16" s="277"/>
      <c r="H16" s="277"/>
      <c r="I16" s="277"/>
      <c r="J16" s="278"/>
      <c r="K16" s="355"/>
      <c r="L16" s="357"/>
      <c r="M16" s="365"/>
      <c r="N16" s="366"/>
      <c r="O16" s="10"/>
      <c r="P16" s="10"/>
      <c r="Q16" s="10"/>
      <c r="R16" s="10"/>
      <c r="S16" s="10"/>
      <c r="T16" s="10"/>
      <c r="U16" s="281"/>
      <c r="V16" s="281"/>
      <c r="W16" s="281"/>
    </row>
    <row r="17" spans="1:23" x14ac:dyDescent="0.2">
      <c r="A17" s="277"/>
      <c r="B17" s="277"/>
      <c r="C17" s="277"/>
      <c r="D17" s="277"/>
      <c r="E17" s="277"/>
      <c r="F17" s="277"/>
      <c r="G17" s="277"/>
      <c r="H17" s="277"/>
      <c r="I17" s="277"/>
      <c r="J17" s="278"/>
      <c r="K17" s="358"/>
      <c r="L17" s="358"/>
      <c r="M17" s="356"/>
      <c r="N17" s="366"/>
      <c r="O17" s="10"/>
      <c r="P17" s="10"/>
      <c r="Q17" s="10"/>
      <c r="R17" s="10"/>
      <c r="S17" s="10"/>
      <c r="T17" s="10"/>
      <c r="U17" s="281"/>
      <c r="V17" s="281"/>
      <c r="W17" s="281"/>
    </row>
    <row r="18" spans="1:23" x14ac:dyDescent="0.2">
      <c r="A18" s="277"/>
      <c r="B18" s="277"/>
      <c r="C18" s="277"/>
      <c r="D18" s="277"/>
      <c r="E18" s="277"/>
      <c r="F18" s="277"/>
      <c r="G18" s="277"/>
      <c r="H18" s="277"/>
      <c r="I18" s="277"/>
      <c r="J18" s="278"/>
      <c r="K18" s="358"/>
      <c r="L18" s="358"/>
      <c r="M18" s="356"/>
      <c r="N18" s="366"/>
      <c r="O18" s="10"/>
      <c r="P18" s="10"/>
      <c r="Q18" s="10"/>
      <c r="R18" s="10"/>
      <c r="S18" s="10"/>
      <c r="T18" s="10"/>
      <c r="U18" s="281"/>
      <c r="V18" s="281"/>
      <c r="W18" s="281"/>
    </row>
    <row r="19" spans="1:23" x14ac:dyDescent="0.2">
      <c r="A19" s="277"/>
      <c r="B19" s="277"/>
      <c r="C19" s="277"/>
      <c r="D19" s="277"/>
      <c r="E19" s="277"/>
      <c r="F19" s="277"/>
      <c r="G19" s="277"/>
      <c r="H19" s="277"/>
      <c r="I19" s="277"/>
      <c r="J19" s="278"/>
      <c r="K19" s="358"/>
      <c r="L19" s="358"/>
      <c r="M19" s="356"/>
      <c r="N19" s="366"/>
      <c r="O19" s="10"/>
      <c r="P19" s="10"/>
      <c r="Q19" s="10"/>
      <c r="R19" s="10"/>
      <c r="S19" s="10"/>
      <c r="T19" s="10"/>
      <c r="U19" s="281"/>
      <c r="V19" s="281"/>
      <c r="W19" s="281"/>
    </row>
    <row r="20" spans="1:23" x14ac:dyDescent="0.2">
      <c r="A20" s="277"/>
      <c r="B20" s="277"/>
      <c r="C20" s="277"/>
      <c r="D20" s="277"/>
      <c r="E20" s="277"/>
      <c r="F20" s="277"/>
      <c r="G20" s="277"/>
      <c r="H20" s="277"/>
      <c r="I20" s="277"/>
      <c r="J20" s="278"/>
      <c r="K20" s="358"/>
      <c r="L20" s="358"/>
      <c r="M20" s="356"/>
      <c r="N20" s="366"/>
      <c r="O20" s="10"/>
      <c r="P20" s="10"/>
      <c r="Q20" s="10"/>
      <c r="R20" s="10"/>
      <c r="S20" s="10"/>
      <c r="T20" s="10"/>
      <c r="U20" s="281"/>
      <c r="V20" s="281"/>
      <c r="W20" s="281"/>
    </row>
    <row r="21" spans="1:23" x14ac:dyDescent="0.2">
      <c r="A21" s="358"/>
      <c r="B21" s="356"/>
      <c r="C21" s="358"/>
      <c r="D21" s="356"/>
      <c r="E21" s="393"/>
      <c r="F21" s="364"/>
      <c r="G21" s="364"/>
      <c r="H21" s="367"/>
      <c r="I21" s="358"/>
      <c r="J21" s="356"/>
      <c r="K21" s="358"/>
      <c r="L21" s="358"/>
      <c r="M21" s="356"/>
      <c r="N21" s="366"/>
      <c r="O21" s="10"/>
      <c r="P21" s="10"/>
      <c r="Q21" s="10"/>
      <c r="R21" s="10"/>
      <c r="S21" s="10"/>
      <c r="T21" s="10"/>
      <c r="U21" s="281"/>
      <c r="V21" s="281"/>
      <c r="W21" s="281"/>
    </row>
    <row r="22" spans="1:23" x14ac:dyDescent="0.2">
      <c r="A22" s="358"/>
      <c r="B22" s="356"/>
      <c r="C22" s="358"/>
      <c r="D22" s="356"/>
      <c r="E22" s="393"/>
      <c r="F22" s="364"/>
      <c r="G22" s="364"/>
      <c r="H22" s="367"/>
      <c r="I22" s="358"/>
      <c r="J22" s="356"/>
      <c r="K22" s="358"/>
      <c r="L22" s="358"/>
      <c r="M22" s="356"/>
      <c r="N22" s="366"/>
      <c r="O22" s="10"/>
      <c r="P22" s="10"/>
      <c r="Q22" s="10"/>
      <c r="R22" s="10"/>
      <c r="S22" s="10"/>
      <c r="T22" s="10"/>
      <c r="U22" s="281"/>
      <c r="V22" s="281"/>
      <c r="W22" s="281"/>
    </row>
    <row r="23" spans="1:23" x14ac:dyDescent="0.2">
      <c r="A23" s="358"/>
      <c r="B23" s="356"/>
      <c r="C23" s="358"/>
      <c r="D23" s="356"/>
      <c r="E23" s="393"/>
      <c r="F23" s="364"/>
      <c r="G23" s="364"/>
      <c r="H23" s="367"/>
      <c r="I23" s="358"/>
      <c r="J23" s="356"/>
      <c r="K23" s="358"/>
      <c r="L23" s="358"/>
      <c r="M23" s="356"/>
      <c r="N23" s="366"/>
      <c r="O23" s="10"/>
      <c r="P23" s="10"/>
      <c r="Q23" s="10"/>
      <c r="R23" s="10"/>
      <c r="S23" s="10"/>
      <c r="T23" s="10"/>
      <c r="U23" s="281"/>
      <c r="V23" s="281"/>
      <c r="W23" s="281"/>
    </row>
    <row r="24" spans="1:23" x14ac:dyDescent="0.2">
      <c r="A24" s="358"/>
      <c r="B24" s="356"/>
      <c r="C24" s="358"/>
      <c r="D24" s="356"/>
      <c r="E24" s="393"/>
      <c r="F24" s="364"/>
      <c r="G24" s="364"/>
      <c r="H24" s="367"/>
      <c r="I24" s="358"/>
      <c r="J24" s="356"/>
      <c r="K24" s="358"/>
      <c r="L24" s="358"/>
      <c r="M24" s="356"/>
      <c r="N24" s="366"/>
      <c r="O24" s="10"/>
      <c r="P24" s="10"/>
      <c r="Q24" s="10"/>
      <c r="R24" s="10"/>
      <c r="S24" s="10"/>
      <c r="T24" s="10"/>
      <c r="U24" s="281"/>
      <c r="V24" s="281"/>
      <c r="W24" s="281"/>
    </row>
    <row r="25" spans="1:23" x14ac:dyDescent="0.2">
      <c r="A25" s="390"/>
      <c r="B25" s="391"/>
      <c r="C25" s="392"/>
      <c r="D25" s="392"/>
      <c r="E25" s="393"/>
      <c r="F25" s="364"/>
      <c r="G25" s="359"/>
      <c r="H25" s="359"/>
      <c r="I25" s="360"/>
      <c r="J25" s="360"/>
      <c r="K25" s="361"/>
      <c r="L25" s="362"/>
      <c r="M25" s="363"/>
      <c r="N25" s="366"/>
      <c r="O25" s="10"/>
      <c r="P25" s="10"/>
      <c r="Q25" s="10"/>
      <c r="R25" s="10"/>
      <c r="S25" s="10"/>
      <c r="T25" s="10"/>
      <c r="U25" s="281"/>
      <c r="V25" s="281"/>
      <c r="W25" s="281"/>
    </row>
    <row r="26" spans="1:23" x14ac:dyDescent="0.2">
      <c r="A26" s="358"/>
      <c r="B26" s="358"/>
      <c r="C26" s="358"/>
      <c r="D26" s="358"/>
      <c r="E26" s="393"/>
      <c r="F26" s="364"/>
      <c r="G26" s="358"/>
      <c r="H26" s="358"/>
      <c r="I26" s="358"/>
      <c r="J26" s="358"/>
      <c r="K26" s="358"/>
      <c r="L26" s="358"/>
      <c r="M26" s="358"/>
      <c r="N26" s="366"/>
      <c r="O26" s="10"/>
      <c r="P26" s="10"/>
      <c r="Q26" s="10"/>
      <c r="R26" s="10"/>
      <c r="S26" s="10"/>
      <c r="T26" s="10"/>
      <c r="U26" s="281"/>
      <c r="V26" s="281"/>
      <c r="W26" s="281"/>
    </row>
    <row r="27" spans="1:23" x14ac:dyDescent="0.2">
      <c r="A27" s="358"/>
      <c r="B27" s="358"/>
      <c r="C27" s="358"/>
      <c r="D27" s="358"/>
      <c r="E27" s="393"/>
      <c r="F27" s="364"/>
      <c r="G27" s="358"/>
      <c r="H27" s="358"/>
      <c r="I27" s="358"/>
      <c r="J27" s="358"/>
      <c r="K27" s="358"/>
      <c r="L27" s="358"/>
      <c r="M27" s="358"/>
      <c r="N27" s="366"/>
      <c r="O27" s="10"/>
      <c r="P27" s="10"/>
      <c r="Q27" s="10"/>
      <c r="R27" s="10"/>
      <c r="S27" s="10"/>
      <c r="T27" s="10"/>
      <c r="U27" s="281"/>
      <c r="V27" s="281"/>
      <c r="W27" s="281"/>
    </row>
    <row r="28" spans="1:23" x14ac:dyDescent="0.2">
      <c r="A28" s="358"/>
      <c r="B28" s="358"/>
      <c r="C28" s="358"/>
      <c r="D28" s="358"/>
      <c r="E28" s="393"/>
      <c r="F28" s="364"/>
      <c r="G28" s="358"/>
      <c r="H28" s="358"/>
      <c r="I28" s="358"/>
      <c r="J28" s="358"/>
      <c r="K28" s="358"/>
      <c r="L28" s="358"/>
      <c r="M28" s="358"/>
      <c r="N28" s="366"/>
      <c r="O28" s="10"/>
      <c r="P28" s="10"/>
      <c r="Q28" s="10"/>
      <c r="R28" s="10"/>
      <c r="S28" s="10"/>
      <c r="T28" s="10"/>
      <c r="U28" s="281"/>
      <c r="V28" s="281"/>
      <c r="W28" s="281"/>
    </row>
    <row r="29" spans="1:23" x14ac:dyDescent="0.2">
      <c r="A29" s="358"/>
      <c r="B29" s="358"/>
      <c r="C29" s="394"/>
      <c r="D29" s="358"/>
      <c r="E29" s="395"/>
      <c r="F29" s="364"/>
      <c r="G29" s="358"/>
      <c r="H29" s="358"/>
      <c r="I29" s="358"/>
      <c r="J29" s="358"/>
      <c r="K29" s="358"/>
      <c r="L29" s="358"/>
      <c r="M29" s="358"/>
      <c r="N29" s="366"/>
      <c r="O29" s="10"/>
      <c r="P29" s="10"/>
      <c r="Q29" s="10"/>
      <c r="R29" s="10"/>
      <c r="S29" s="10"/>
      <c r="T29" s="10"/>
      <c r="U29" s="281"/>
      <c r="V29" s="281"/>
      <c r="W29" s="281"/>
    </row>
    <row r="30" spans="1:23" x14ac:dyDescent="0.2">
      <c r="A30" s="10"/>
      <c r="B30" s="276"/>
      <c r="C30" s="10"/>
      <c r="D30" s="10"/>
      <c r="E30" s="10"/>
      <c r="F30" s="10"/>
      <c r="G30" s="10"/>
      <c r="H30" s="10"/>
      <c r="I30" s="10"/>
      <c r="J30" s="10"/>
      <c r="K30" s="10"/>
      <c r="L30" s="10"/>
      <c r="M30" s="10"/>
      <c r="N30" s="10"/>
      <c r="O30" s="10"/>
      <c r="P30" s="10"/>
      <c r="Q30" s="10"/>
      <c r="R30" s="10"/>
      <c r="S30" s="10"/>
      <c r="T30" s="10"/>
      <c r="U30" s="281"/>
      <c r="V30" s="281"/>
      <c r="W30" s="281"/>
    </row>
    <row r="31" spans="1:23" x14ac:dyDescent="0.2">
      <c r="A31" s="10"/>
      <c r="B31" s="276"/>
      <c r="C31" s="10"/>
      <c r="D31" s="10"/>
      <c r="E31" s="10"/>
      <c r="F31" s="10"/>
      <c r="G31" s="10"/>
      <c r="H31" s="10"/>
      <c r="I31" s="10"/>
      <c r="J31" s="10"/>
      <c r="K31" s="10"/>
      <c r="L31" s="10"/>
      <c r="M31" s="10"/>
      <c r="N31" s="10"/>
      <c r="O31" s="10"/>
      <c r="P31" s="10"/>
      <c r="Q31" s="10"/>
      <c r="R31" s="10"/>
      <c r="S31" s="10"/>
      <c r="T31" s="10"/>
      <c r="U31" s="281"/>
      <c r="V31" s="281"/>
      <c r="W31" s="281"/>
    </row>
    <row r="32" spans="1:23" x14ac:dyDescent="0.2">
      <c r="A32" s="10"/>
      <c r="B32" s="276"/>
      <c r="C32" s="10"/>
      <c r="D32" s="10"/>
      <c r="E32" s="10"/>
      <c r="F32" s="10"/>
      <c r="G32" s="10"/>
      <c r="H32" s="10"/>
      <c r="I32" s="10"/>
      <c r="J32" s="10"/>
      <c r="K32" s="10"/>
      <c r="L32" s="10"/>
      <c r="M32" s="10"/>
      <c r="N32" s="10"/>
      <c r="O32" s="10"/>
      <c r="P32" s="10"/>
      <c r="Q32" s="10"/>
      <c r="R32" s="10"/>
      <c r="S32" s="10"/>
      <c r="T32" s="10"/>
      <c r="U32" s="281"/>
      <c r="V32" s="281"/>
      <c r="W32" s="281"/>
    </row>
    <row r="33" spans="1:23" x14ac:dyDescent="0.2">
      <c r="A33" s="10"/>
      <c r="B33" s="276"/>
      <c r="C33" s="10"/>
      <c r="D33" s="10"/>
      <c r="E33" s="10"/>
      <c r="F33" s="10"/>
      <c r="G33" s="10"/>
      <c r="H33" s="10"/>
      <c r="I33" s="10"/>
      <c r="J33" s="10"/>
      <c r="K33" s="10"/>
      <c r="L33" s="10"/>
      <c r="M33" s="10"/>
      <c r="N33" s="10"/>
      <c r="O33" s="10"/>
      <c r="P33" s="10"/>
      <c r="Q33" s="10"/>
      <c r="R33" s="10"/>
      <c r="S33" s="10"/>
      <c r="T33" s="10"/>
      <c r="U33" s="281"/>
      <c r="V33" s="281"/>
      <c r="W33" s="281"/>
    </row>
    <row r="34" spans="1:23" x14ac:dyDescent="0.2">
      <c r="A34" s="10"/>
      <c r="B34" s="276"/>
      <c r="C34" s="10"/>
      <c r="D34" s="10"/>
      <c r="E34" s="10"/>
      <c r="F34" s="10"/>
      <c r="G34" s="10"/>
      <c r="H34" s="10"/>
      <c r="I34" s="10"/>
      <c r="J34" s="279"/>
      <c r="K34" s="279"/>
      <c r="L34" s="10"/>
      <c r="M34" s="10"/>
      <c r="N34" s="10"/>
      <c r="O34" s="10"/>
      <c r="P34" s="10"/>
      <c r="Q34" s="10"/>
      <c r="R34" s="10"/>
      <c r="S34" s="10"/>
      <c r="T34" s="10"/>
      <c r="U34" s="281"/>
      <c r="V34" s="281"/>
      <c r="W34" s="281"/>
    </row>
    <row r="35" spans="1:23" x14ac:dyDescent="0.2">
      <c r="A35" s="10"/>
      <c r="B35" s="276"/>
      <c r="C35" s="10"/>
      <c r="D35" s="10"/>
      <c r="E35" s="10"/>
      <c r="F35" s="10"/>
      <c r="G35" s="10"/>
      <c r="H35" s="10"/>
      <c r="I35" s="10"/>
      <c r="J35" s="10"/>
      <c r="K35" s="10"/>
      <c r="L35" s="10"/>
      <c r="M35" s="10"/>
      <c r="N35" s="10"/>
      <c r="O35" s="10"/>
      <c r="P35" s="10"/>
      <c r="Q35" s="10"/>
      <c r="R35" s="10"/>
      <c r="S35" s="10"/>
      <c r="T35" s="10"/>
      <c r="U35" s="281"/>
      <c r="V35" s="281"/>
      <c r="W35" s="281"/>
    </row>
    <row r="36" spans="1:23" x14ac:dyDescent="0.2">
      <c r="A36" s="10"/>
      <c r="B36" s="276"/>
      <c r="C36" s="10"/>
      <c r="D36" s="10"/>
      <c r="E36" s="10"/>
      <c r="F36" s="10"/>
      <c r="G36" s="10"/>
      <c r="H36" s="10"/>
      <c r="I36" s="10"/>
      <c r="J36" s="10"/>
      <c r="K36" s="10"/>
      <c r="L36" s="10"/>
      <c r="M36" s="10"/>
      <c r="N36" s="10"/>
      <c r="O36" s="10"/>
      <c r="P36" s="10"/>
      <c r="Q36" s="10"/>
      <c r="R36" s="10"/>
      <c r="S36" s="10"/>
      <c r="T36" s="10"/>
      <c r="U36" s="281"/>
      <c r="V36" s="281"/>
      <c r="W36" s="281"/>
    </row>
    <row r="37" spans="1:23" x14ac:dyDescent="0.2">
      <c r="A37" s="10"/>
      <c r="B37" s="276"/>
      <c r="C37" s="10"/>
      <c r="D37" s="10"/>
      <c r="E37" s="10"/>
      <c r="F37" s="10"/>
      <c r="G37" s="10"/>
      <c r="H37" s="10"/>
      <c r="I37" s="10"/>
      <c r="J37" s="10"/>
      <c r="K37" s="10"/>
      <c r="L37" s="10"/>
      <c r="M37" s="10"/>
      <c r="N37" s="10"/>
      <c r="O37" s="10"/>
      <c r="P37" s="10"/>
      <c r="Q37" s="10"/>
      <c r="R37" s="10"/>
      <c r="S37" s="10"/>
      <c r="T37" s="10"/>
      <c r="U37" s="281"/>
      <c r="V37" s="281"/>
      <c r="W37" s="281"/>
    </row>
    <row r="38" spans="1:23" x14ac:dyDescent="0.2">
      <c r="A38" s="10"/>
      <c r="B38" s="276"/>
      <c r="C38" s="10"/>
      <c r="D38" s="10"/>
      <c r="E38" s="10"/>
      <c r="F38" s="10"/>
      <c r="G38" s="10"/>
      <c r="H38" s="10"/>
      <c r="I38" s="10"/>
      <c r="J38" s="10"/>
      <c r="K38" s="10"/>
      <c r="L38" s="10"/>
      <c r="M38" s="10"/>
      <c r="N38" s="10"/>
      <c r="O38" s="10"/>
      <c r="P38" s="10"/>
      <c r="Q38" s="10"/>
      <c r="R38" s="10"/>
      <c r="S38" s="10"/>
      <c r="T38" s="10"/>
      <c r="U38" s="281"/>
      <c r="V38" s="281"/>
      <c r="W38" s="281"/>
    </row>
    <row r="39" spans="1:23" x14ac:dyDescent="0.2">
      <c r="A39" s="10"/>
      <c r="B39" s="276"/>
      <c r="C39" s="10"/>
      <c r="D39" s="10"/>
      <c r="E39" s="10"/>
      <c r="F39" s="10"/>
      <c r="G39" s="10"/>
      <c r="H39" s="10"/>
      <c r="I39" s="10"/>
      <c r="J39" s="10"/>
      <c r="K39" s="10"/>
      <c r="L39" s="10"/>
      <c r="M39" s="10"/>
      <c r="N39" s="10"/>
      <c r="O39" s="10"/>
      <c r="P39" s="10"/>
      <c r="Q39" s="10"/>
      <c r="R39" s="10"/>
      <c r="S39" s="10"/>
      <c r="T39" s="10"/>
      <c r="U39" s="281"/>
      <c r="V39" s="281"/>
      <c r="W39" s="281"/>
    </row>
    <row r="40" spans="1:23" x14ac:dyDescent="0.2">
      <c r="A40" s="10"/>
      <c r="B40" s="276"/>
      <c r="C40" s="10"/>
      <c r="D40" s="10"/>
      <c r="E40" s="10"/>
      <c r="F40" s="10"/>
      <c r="G40" s="10"/>
      <c r="H40" s="10"/>
      <c r="I40" s="10"/>
      <c r="J40" s="10"/>
      <c r="K40" s="10"/>
      <c r="L40" s="10"/>
      <c r="M40" s="10"/>
      <c r="N40" s="10"/>
      <c r="O40" s="10"/>
      <c r="P40" s="10"/>
      <c r="Q40" s="10"/>
      <c r="R40" s="10"/>
      <c r="S40" s="10"/>
      <c r="T40" s="10"/>
      <c r="U40" s="281"/>
      <c r="V40" s="281"/>
      <c r="W40" s="281"/>
    </row>
    <row r="41" spans="1:23" x14ac:dyDescent="0.2">
      <c r="A41" s="10"/>
      <c r="B41" s="276"/>
      <c r="C41" s="10"/>
      <c r="D41" s="10"/>
      <c r="E41" s="10"/>
      <c r="F41" s="10"/>
      <c r="G41" s="10"/>
      <c r="H41" s="10"/>
      <c r="I41" s="10"/>
      <c r="J41" s="10"/>
      <c r="K41" s="10"/>
      <c r="L41" s="10"/>
      <c r="M41" s="10"/>
      <c r="N41" s="10"/>
      <c r="O41" s="10"/>
      <c r="P41" s="10"/>
      <c r="Q41" s="10"/>
      <c r="R41" s="10"/>
      <c r="S41" s="10"/>
      <c r="T41" s="10"/>
      <c r="U41" s="10"/>
      <c r="V41" s="10"/>
      <c r="W41" s="10"/>
    </row>
    <row r="42" spans="1:23" x14ac:dyDescent="0.2">
      <c r="A42" s="10"/>
      <c r="B42" s="276"/>
      <c r="C42" s="10"/>
      <c r="D42" s="10"/>
      <c r="E42" s="10"/>
      <c r="F42" s="10"/>
      <c r="G42" s="10"/>
      <c r="H42" s="10"/>
      <c r="I42" s="10"/>
      <c r="J42" s="10"/>
      <c r="K42" s="10"/>
      <c r="L42" s="10"/>
      <c r="M42" s="10"/>
      <c r="N42" s="10"/>
      <c r="O42" s="10"/>
      <c r="P42" s="10"/>
      <c r="Q42" s="10"/>
      <c r="R42" s="10"/>
      <c r="S42" s="10"/>
      <c r="T42" s="10"/>
      <c r="U42" s="281"/>
      <c r="V42" s="281"/>
      <c r="W42" s="281"/>
    </row>
    <row r="43" spans="1:23" x14ac:dyDescent="0.2">
      <c r="A43" s="10"/>
      <c r="B43" s="276"/>
      <c r="C43" s="10"/>
      <c r="D43" s="10"/>
      <c r="E43" s="10"/>
      <c r="F43" s="10"/>
      <c r="G43" s="10"/>
      <c r="H43" s="10"/>
      <c r="I43" s="10"/>
      <c r="J43" s="10"/>
      <c r="K43" s="10"/>
      <c r="L43" s="10"/>
      <c r="M43" s="10"/>
      <c r="N43" s="10"/>
      <c r="O43" s="10"/>
      <c r="P43" s="10"/>
      <c r="Q43" s="10"/>
      <c r="R43" s="10"/>
      <c r="S43" s="10"/>
      <c r="T43" s="10"/>
      <c r="U43" s="281"/>
      <c r="V43" s="281"/>
      <c r="W43" s="281"/>
    </row>
    <row r="44" spans="1:23" x14ac:dyDescent="0.2">
      <c r="A44" s="10"/>
      <c r="B44" s="276"/>
      <c r="C44" s="10"/>
      <c r="D44" s="10"/>
      <c r="E44" s="10"/>
      <c r="F44" s="10"/>
      <c r="G44" s="10"/>
      <c r="H44" s="10"/>
      <c r="I44" s="10"/>
      <c r="J44" s="10"/>
      <c r="K44" s="10"/>
      <c r="L44" s="10"/>
      <c r="M44" s="10"/>
      <c r="N44" s="10"/>
      <c r="O44" s="10"/>
      <c r="P44" s="10"/>
      <c r="Q44" s="10"/>
      <c r="R44" s="10"/>
      <c r="S44" s="10"/>
      <c r="T44" s="10"/>
      <c r="U44" s="281"/>
      <c r="V44" s="281"/>
      <c r="W44" s="281"/>
    </row>
    <row r="45" spans="1:23" x14ac:dyDescent="0.2">
      <c r="A45" s="10"/>
      <c r="B45" s="276"/>
      <c r="C45" s="10"/>
      <c r="D45" s="10"/>
      <c r="E45" s="10"/>
      <c r="F45" s="10"/>
      <c r="G45" s="10"/>
      <c r="H45" s="10"/>
      <c r="I45" s="10"/>
      <c r="J45" s="10"/>
      <c r="K45" s="10"/>
      <c r="L45" s="10"/>
      <c r="M45" s="10"/>
      <c r="N45" s="10"/>
      <c r="O45" s="10"/>
      <c r="P45" s="10"/>
      <c r="Q45" s="10"/>
      <c r="R45" s="10"/>
      <c r="S45" s="10"/>
      <c r="T45" s="10"/>
      <c r="U45" s="10"/>
      <c r="V45" s="10"/>
      <c r="W45" s="10"/>
    </row>
    <row r="46" spans="1:23" x14ac:dyDescent="0.2">
      <c r="A46" s="10"/>
      <c r="B46" s="276"/>
      <c r="C46" s="10"/>
      <c r="D46" s="10"/>
      <c r="E46" s="10"/>
      <c r="F46" s="10"/>
      <c r="G46" s="10"/>
      <c r="H46" s="10"/>
      <c r="I46" s="10"/>
      <c r="J46" s="10"/>
      <c r="K46" s="10"/>
      <c r="L46" s="10"/>
      <c r="M46" s="10"/>
      <c r="N46" s="10"/>
      <c r="O46" s="10"/>
      <c r="P46" s="10"/>
      <c r="Q46" s="10"/>
      <c r="R46" s="10"/>
      <c r="S46" s="10"/>
      <c r="T46" s="10"/>
      <c r="U46" s="281"/>
      <c r="V46" s="281"/>
      <c r="W46" s="281"/>
    </row>
    <row r="47" spans="1:23" x14ac:dyDescent="0.2">
      <c r="A47" s="10"/>
      <c r="B47" s="276"/>
      <c r="C47" s="10"/>
      <c r="D47" s="10"/>
      <c r="E47" s="10"/>
      <c r="F47" s="10"/>
      <c r="G47" s="10"/>
      <c r="H47" s="10"/>
      <c r="I47" s="10"/>
      <c r="J47" s="10"/>
      <c r="K47" s="10"/>
      <c r="L47" s="10"/>
      <c r="M47" s="10"/>
      <c r="N47" s="10"/>
      <c r="O47" s="10"/>
      <c r="P47" s="10"/>
      <c r="Q47" s="10"/>
      <c r="R47" s="10"/>
      <c r="S47" s="10"/>
      <c r="T47" s="10"/>
      <c r="U47" s="281"/>
      <c r="V47" s="281"/>
      <c r="W47" s="281"/>
    </row>
    <row r="48" spans="1:23" x14ac:dyDescent="0.2">
      <c r="A48" s="10"/>
      <c r="B48" s="276"/>
      <c r="C48" s="10"/>
      <c r="D48" s="10"/>
      <c r="E48" s="10"/>
      <c r="F48" s="10"/>
      <c r="G48" s="10"/>
      <c r="H48" s="10"/>
      <c r="I48" s="10"/>
      <c r="J48" s="10"/>
      <c r="K48" s="10"/>
      <c r="L48" s="10"/>
      <c r="M48" s="10"/>
      <c r="N48" s="10"/>
      <c r="O48" s="10"/>
      <c r="P48" s="10"/>
      <c r="Q48" s="10"/>
      <c r="R48" s="10"/>
      <c r="S48" s="10"/>
      <c r="T48" s="10"/>
      <c r="U48" s="281"/>
      <c r="V48" s="281"/>
      <c r="W48" s="281"/>
    </row>
    <row r="49" spans="1:23" x14ac:dyDescent="0.2">
      <c r="A49" s="10"/>
      <c r="B49" s="276"/>
      <c r="C49" s="10"/>
      <c r="D49" s="10"/>
      <c r="E49" s="10"/>
      <c r="F49" s="10"/>
      <c r="G49" s="10"/>
      <c r="H49" s="10"/>
      <c r="I49" s="10"/>
      <c r="J49" s="10"/>
      <c r="K49" s="10"/>
      <c r="L49" s="10"/>
      <c r="M49" s="10"/>
      <c r="N49" s="10"/>
      <c r="O49" s="10"/>
      <c r="P49" s="10"/>
      <c r="Q49" s="10"/>
      <c r="R49" s="10"/>
      <c r="S49" s="10"/>
      <c r="T49" s="10"/>
      <c r="U49" s="281"/>
      <c r="V49" s="281"/>
      <c r="W49" s="281"/>
    </row>
    <row r="50" spans="1:23" x14ac:dyDescent="0.2">
      <c r="A50" s="10"/>
      <c r="B50" s="276"/>
      <c r="C50" s="10"/>
      <c r="D50" s="10"/>
      <c r="E50" s="10"/>
      <c r="F50" s="10"/>
      <c r="G50" s="10"/>
      <c r="H50" s="10"/>
      <c r="I50" s="10"/>
      <c r="J50" s="10"/>
      <c r="K50" s="10"/>
      <c r="L50" s="10"/>
      <c r="M50" s="10"/>
      <c r="N50" s="10"/>
      <c r="O50" s="10"/>
      <c r="P50" s="10"/>
      <c r="Q50" s="10"/>
      <c r="R50" s="10"/>
      <c r="S50" s="10"/>
      <c r="T50" s="10"/>
      <c r="U50" s="281"/>
      <c r="V50" s="281"/>
      <c r="W50" s="281"/>
    </row>
    <row r="51" spans="1:23" x14ac:dyDescent="0.2">
      <c r="A51" s="10"/>
      <c r="B51" s="276"/>
      <c r="C51" s="10"/>
      <c r="D51" s="10"/>
      <c r="E51" s="10"/>
      <c r="F51" s="10"/>
      <c r="G51" s="10"/>
      <c r="H51" s="10"/>
      <c r="I51" s="10"/>
      <c r="J51" s="10"/>
      <c r="K51" s="10"/>
      <c r="L51" s="10"/>
      <c r="M51" s="10"/>
      <c r="N51" s="10"/>
      <c r="O51" s="10"/>
      <c r="P51" s="10"/>
      <c r="Q51" s="10"/>
      <c r="R51" s="10"/>
      <c r="S51" s="10"/>
      <c r="T51" s="10"/>
      <c r="U51" s="281"/>
      <c r="V51" s="281"/>
      <c r="W51" s="281"/>
    </row>
    <row r="52" spans="1:23" x14ac:dyDescent="0.2">
      <c r="A52" s="10"/>
      <c r="B52" s="276"/>
      <c r="C52" s="10"/>
      <c r="D52" s="10"/>
      <c r="E52" s="10"/>
      <c r="F52" s="10"/>
      <c r="G52" s="10"/>
      <c r="H52" s="10"/>
      <c r="I52" s="10"/>
      <c r="J52" s="10"/>
      <c r="K52" s="10"/>
      <c r="L52" s="10"/>
      <c r="M52" s="10"/>
      <c r="N52" s="10"/>
      <c r="O52" s="10"/>
      <c r="P52" s="10"/>
      <c r="Q52" s="10"/>
      <c r="R52" s="10"/>
      <c r="S52" s="10"/>
      <c r="T52" s="10"/>
      <c r="U52" s="281"/>
      <c r="V52" s="281"/>
      <c r="W52" s="281"/>
    </row>
    <row r="53" spans="1:23" x14ac:dyDescent="0.2">
      <c r="C53" s="264"/>
    </row>
    <row r="54" spans="1:23" x14ac:dyDescent="0.2">
      <c r="C54" s="264"/>
    </row>
    <row r="55" spans="1:23" x14ac:dyDescent="0.2">
      <c r="C55" s="264"/>
    </row>
    <row r="56" spans="1:23" x14ac:dyDescent="0.2">
      <c r="C56" s="264"/>
    </row>
  </sheetData>
  <dataValidations count="2">
    <dataValidation type="list" allowBlank="1" showInputMessage="1" showErrorMessage="1" sqref="B5:B12">
      <formula1>$BA$6:$BA$7</formula1>
    </dataValidation>
    <dataValidation type="textLength" showInputMessage="1" showErrorMessage="1" sqref="K5:K10">
      <formula1>0</formula1>
      <formula2>150</formula2>
    </dataValidation>
  </dataValidations>
  <pageMargins left="0.7" right="0.7" top="0.75" bottom="0.75" header="0.3" footer="0.3"/>
  <pageSetup paperSize="9" scale="64"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Y56"/>
  <sheetViews>
    <sheetView topLeftCell="G5" zoomScaleNormal="100" workbookViewId="0">
      <selection activeCell="J7" sqref="J7"/>
    </sheetView>
  </sheetViews>
  <sheetFormatPr defaultColWidth="8.85546875" defaultRowHeight="12.75" x14ac:dyDescent="0.2"/>
  <cols>
    <col min="1" max="1" width="23.42578125" style="3" customWidth="1"/>
    <col min="2" max="2" width="24.42578125" style="3" customWidth="1"/>
    <col min="3" max="3" width="30" style="3" customWidth="1"/>
    <col min="4" max="4" width="18.5703125" style="3" customWidth="1"/>
    <col min="5" max="5" width="23.28515625" style="3" customWidth="1"/>
    <col min="6" max="6" width="29.28515625" style="3" customWidth="1"/>
    <col min="7" max="7" width="29.140625" style="3" customWidth="1"/>
    <col min="8" max="8" width="18.5703125" style="3" customWidth="1"/>
    <col min="9" max="9" width="47.28515625" style="3" customWidth="1"/>
    <col min="10" max="10" width="44.140625" style="3" customWidth="1"/>
    <col min="11" max="11" width="8.85546875" style="3"/>
    <col min="12" max="12" width="66.85546875" style="3" customWidth="1"/>
    <col min="13" max="13" width="47.140625" style="3" customWidth="1"/>
    <col min="14" max="14" width="8.85546875" style="3"/>
    <col min="15" max="15" width="57" style="3" customWidth="1"/>
    <col min="16" max="24" width="8.85546875" style="3"/>
    <col min="25" max="25" width="52.7109375" style="3" customWidth="1"/>
    <col min="26" max="16384" width="8.85546875" style="3"/>
  </cols>
  <sheetData>
    <row r="1" spans="1:25" x14ac:dyDescent="0.2">
      <c r="A1" s="452" t="s">
        <v>1668</v>
      </c>
      <c r="B1" s="1"/>
      <c r="C1" s="1"/>
      <c r="D1" s="1"/>
      <c r="E1" s="1"/>
      <c r="F1" s="1"/>
      <c r="G1" s="1"/>
      <c r="H1" s="1"/>
      <c r="I1" s="1"/>
      <c r="J1" s="1"/>
      <c r="K1" s="1"/>
      <c r="L1" s="1"/>
    </row>
    <row r="2" spans="1:25" ht="13.5" thickBot="1" x14ac:dyDescent="0.25">
      <c r="A2" s="452"/>
      <c r="B2" s="1"/>
      <c r="C2" s="1"/>
      <c r="D2" s="1"/>
      <c r="E2" s="1"/>
      <c r="F2" s="1"/>
      <c r="G2" s="1"/>
      <c r="H2" s="1"/>
      <c r="I2" s="1"/>
      <c r="J2" s="1"/>
      <c r="K2" s="1"/>
      <c r="L2" s="1"/>
      <c r="M2" s="264"/>
      <c r="N2" s="264"/>
      <c r="O2" s="264"/>
      <c r="P2" s="264"/>
      <c r="Q2" s="264"/>
      <c r="R2" s="412"/>
      <c r="S2" s="264"/>
      <c r="T2" s="264"/>
      <c r="U2" s="264"/>
      <c r="V2" s="264"/>
      <c r="W2" s="264"/>
      <c r="X2" s="264"/>
      <c r="Y2" s="187"/>
    </row>
    <row r="3" spans="1:25" x14ac:dyDescent="0.2">
      <c r="A3" s="452"/>
      <c r="B3" s="1"/>
      <c r="C3" s="1"/>
      <c r="D3" s="1"/>
      <c r="E3" s="1"/>
      <c r="F3" s="1"/>
      <c r="G3" s="1"/>
      <c r="H3" s="1"/>
      <c r="I3" s="96" t="s">
        <v>56</v>
      </c>
      <c r="J3" s="88" t="s">
        <v>50</v>
      </c>
      <c r="K3" s="1"/>
      <c r="L3" s="1"/>
      <c r="M3" s="264"/>
      <c r="N3" s="264"/>
      <c r="O3" s="264"/>
      <c r="P3" s="264"/>
      <c r="Q3" s="264"/>
      <c r="R3" s="412"/>
      <c r="S3" s="264"/>
      <c r="T3" s="264"/>
      <c r="U3" s="264"/>
      <c r="V3" s="264"/>
      <c r="W3" s="264"/>
      <c r="X3" s="264"/>
      <c r="Y3" s="7"/>
    </row>
    <row r="4" spans="1:25" ht="13.5" thickBot="1" x14ac:dyDescent="0.25">
      <c r="A4" s="449"/>
      <c r="B4" s="44"/>
      <c r="C4" s="44"/>
      <c r="D4" s="44"/>
      <c r="E4" s="44"/>
      <c r="F4" s="44"/>
      <c r="G4" s="44"/>
      <c r="H4" s="44"/>
      <c r="I4" s="77" t="s">
        <v>55</v>
      </c>
      <c r="J4" s="150">
        <v>2019</v>
      </c>
      <c r="K4" s="1"/>
      <c r="L4" s="1"/>
      <c r="M4" s="132"/>
      <c r="N4" s="132"/>
      <c r="O4" s="132"/>
      <c r="P4" s="132"/>
      <c r="Q4" s="132"/>
      <c r="R4" s="132"/>
      <c r="S4" s="132"/>
      <c r="T4" s="132"/>
      <c r="U4" s="132"/>
      <c r="V4" s="132"/>
      <c r="W4" s="132"/>
      <c r="X4" s="132"/>
      <c r="Y4" s="132"/>
    </row>
    <row r="5" spans="1:25" ht="39" thickBot="1" x14ac:dyDescent="0.25">
      <c r="A5" s="105" t="s">
        <v>1669</v>
      </c>
      <c r="B5" s="105" t="s">
        <v>1670</v>
      </c>
      <c r="C5" s="105" t="s">
        <v>1671</v>
      </c>
      <c r="D5" s="105" t="s">
        <v>1672</v>
      </c>
      <c r="E5" s="105" t="s">
        <v>1673</v>
      </c>
      <c r="F5" s="105" t="s">
        <v>1674</v>
      </c>
      <c r="G5" s="105" t="s">
        <v>1675</v>
      </c>
      <c r="H5" s="105" t="s">
        <v>1676</v>
      </c>
      <c r="I5" s="185" t="s">
        <v>4</v>
      </c>
      <c r="J5" s="186" t="s">
        <v>154</v>
      </c>
      <c r="K5" s="1"/>
      <c r="L5" s="1"/>
      <c r="M5" s="410"/>
      <c r="N5" s="410"/>
      <c r="O5" s="410"/>
      <c r="P5" s="410"/>
      <c r="Q5" s="410"/>
      <c r="R5" s="410"/>
      <c r="S5" s="410"/>
      <c r="T5" s="410"/>
      <c r="U5" s="410"/>
      <c r="V5" s="410"/>
      <c r="W5" s="410"/>
      <c r="X5" s="410"/>
    </row>
    <row r="6" spans="1:25" ht="191.25" x14ac:dyDescent="0.2">
      <c r="A6" s="454" t="s">
        <v>1677</v>
      </c>
      <c r="B6" s="455" t="s">
        <v>1678</v>
      </c>
      <c r="C6" s="456" t="s">
        <v>1679</v>
      </c>
      <c r="D6" s="453" t="s">
        <v>1339</v>
      </c>
      <c r="E6" s="453" t="s">
        <v>1680</v>
      </c>
      <c r="F6" s="453" t="s">
        <v>1681</v>
      </c>
      <c r="G6" s="453" t="s">
        <v>1682</v>
      </c>
      <c r="H6" s="456" t="s">
        <v>1683</v>
      </c>
      <c r="I6" s="456" t="s">
        <v>1684</v>
      </c>
      <c r="J6" s="540" t="s">
        <v>1945</v>
      </c>
      <c r="K6" s="1"/>
      <c r="L6" s="1"/>
      <c r="M6" s="357"/>
      <c r="N6" s="365"/>
      <c r="O6" s="366"/>
      <c r="P6" s="10"/>
      <c r="Q6" s="10"/>
      <c r="R6" s="10"/>
      <c r="S6" s="10"/>
      <c r="T6" s="10"/>
      <c r="U6" s="10"/>
      <c r="V6" s="281"/>
      <c r="W6" s="281"/>
      <c r="X6" s="281"/>
    </row>
    <row r="7" spans="1:25" ht="153" x14ac:dyDescent="0.2">
      <c r="A7" s="183" t="s">
        <v>1677</v>
      </c>
      <c r="B7" s="455" t="s">
        <v>1678</v>
      </c>
      <c r="C7" s="456" t="s">
        <v>1685</v>
      </c>
      <c r="D7" s="453" t="s">
        <v>1339</v>
      </c>
      <c r="E7" s="453" t="s">
        <v>1686</v>
      </c>
      <c r="F7" s="456" t="s">
        <v>1687</v>
      </c>
      <c r="G7" s="453" t="s">
        <v>1682</v>
      </c>
      <c r="H7" s="456" t="s">
        <v>1683</v>
      </c>
      <c r="I7" s="456" t="s">
        <v>1688</v>
      </c>
      <c r="J7" s="540" t="s">
        <v>1945</v>
      </c>
      <c r="K7" s="1"/>
      <c r="L7" s="1"/>
      <c r="M7" s="357"/>
      <c r="N7" s="365"/>
      <c r="O7" s="366"/>
      <c r="P7" s="10"/>
      <c r="Q7" s="10"/>
      <c r="R7" s="10"/>
      <c r="S7" s="10"/>
      <c r="T7" s="10"/>
      <c r="U7" s="10"/>
      <c r="V7" s="281"/>
      <c r="W7" s="281"/>
      <c r="X7" s="281"/>
    </row>
    <row r="8" spans="1:25" ht="153" x14ac:dyDescent="0.2">
      <c r="A8" s="453" t="s">
        <v>1689</v>
      </c>
      <c r="B8" s="455" t="s">
        <v>1690</v>
      </c>
      <c r="C8" s="453" t="s">
        <v>1691</v>
      </c>
      <c r="D8" s="453"/>
      <c r="E8" s="453" t="s">
        <v>1692</v>
      </c>
      <c r="F8" s="453" t="s">
        <v>1693</v>
      </c>
      <c r="G8" s="453" t="s">
        <v>1682</v>
      </c>
      <c r="H8" s="456" t="s">
        <v>1683</v>
      </c>
      <c r="I8" s="453" t="s">
        <v>1694</v>
      </c>
      <c r="J8" s="540" t="s">
        <v>1945</v>
      </c>
      <c r="K8" s="1"/>
      <c r="L8" s="1"/>
      <c r="M8" s="357"/>
      <c r="N8" s="365"/>
      <c r="O8" s="366"/>
      <c r="P8" s="10"/>
      <c r="Q8" s="10"/>
      <c r="R8" s="10"/>
      <c r="S8" s="10"/>
      <c r="T8" s="10"/>
      <c r="U8" s="10"/>
      <c r="V8" s="281"/>
      <c r="W8" s="281"/>
      <c r="X8" s="281"/>
    </row>
    <row r="9" spans="1:25" ht="165.75" x14ac:dyDescent="0.2">
      <c r="A9" s="453" t="s">
        <v>1695</v>
      </c>
      <c r="B9" s="456" t="s">
        <v>1696</v>
      </c>
      <c r="C9" s="456" t="s">
        <v>1697</v>
      </c>
      <c r="D9" s="453"/>
      <c r="E9" s="453" t="s">
        <v>1698</v>
      </c>
      <c r="F9" s="456" t="s">
        <v>1699</v>
      </c>
      <c r="G9" s="453"/>
      <c r="H9" s="456" t="s">
        <v>1700</v>
      </c>
      <c r="I9" s="456" t="s">
        <v>1694</v>
      </c>
      <c r="J9" s="540" t="s">
        <v>1945</v>
      </c>
      <c r="K9" s="1"/>
      <c r="L9" s="1"/>
      <c r="M9" s="357"/>
      <c r="N9" s="365"/>
      <c r="O9" s="366"/>
      <c r="P9" s="10"/>
      <c r="Q9" s="10"/>
      <c r="R9" s="10"/>
      <c r="S9" s="10"/>
      <c r="T9" s="10"/>
      <c r="U9" s="10"/>
      <c r="V9" s="281"/>
      <c r="W9" s="281"/>
      <c r="X9" s="281"/>
    </row>
    <row r="10" spans="1:25" ht="306" x14ac:dyDescent="0.2">
      <c r="A10" s="453"/>
      <c r="B10" s="456" t="s">
        <v>1696</v>
      </c>
      <c r="C10" s="456" t="s">
        <v>1701</v>
      </c>
      <c r="D10" s="453"/>
      <c r="E10" s="456" t="s">
        <v>1702</v>
      </c>
      <c r="F10" s="457" t="s">
        <v>1703</v>
      </c>
      <c r="G10" s="453"/>
      <c r="H10" s="456" t="s">
        <v>1700</v>
      </c>
      <c r="I10" s="453" t="s">
        <v>1694</v>
      </c>
      <c r="J10" s="540" t="s">
        <v>1945</v>
      </c>
      <c r="K10" s="355"/>
      <c r="L10" s="356"/>
      <c r="M10" s="357"/>
      <c r="N10" s="365"/>
      <c r="O10" s="366"/>
      <c r="P10" s="10"/>
      <c r="Q10" s="10"/>
      <c r="R10" s="10"/>
      <c r="S10" s="10"/>
      <c r="T10" s="10"/>
      <c r="U10" s="10"/>
      <c r="V10" s="281"/>
      <c r="W10" s="281"/>
      <c r="X10" s="281"/>
    </row>
    <row r="11" spans="1:25" ht="140.25" x14ac:dyDescent="0.2">
      <c r="A11" s="458" t="s">
        <v>1704</v>
      </c>
      <c r="B11" s="455" t="s">
        <v>1690</v>
      </c>
      <c r="C11" s="453" t="s">
        <v>1705</v>
      </c>
      <c r="D11" s="453" t="s">
        <v>1339</v>
      </c>
      <c r="E11" s="453" t="s">
        <v>1706</v>
      </c>
      <c r="F11" s="453" t="s">
        <v>1693</v>
      </c>
      <c r="G11" s="453" t="s">
        <v>1682</v>
      </c>
      <c r="H11" s="456" t="s">
        <v>1707</v>
      </c>
      <c r="I11" s="456" t="s">
        <v>1708</v>
      </c>
      <c r="J11" s="540" t="s">
        <v>1946</v>
      </c>
      <c r="K11" s="355"/>
      <c r="L11" s="356"/>
      <c r="M11" s="357"/>
      <c r="N11" s="365"/>
      <c r="O11" s="366"/>
      <c r="P11" s="10"/>
      <c r="Q11" s="10"/>
      <c r="R11" s="10"/>
      <c r="S11" s="10"/>
      <c r="T11" s="10"/>
      <c r="U11" s="10"/>
      <c r="V11" s="281"/>
      <c r="W11" s="281"/>
      <c r="X11" s="281"/>
    </row>
    <row r="12" spans="1:25" x14ac:dyDescent="0.2">
      <c r="A12" s="1"/>
      <c r="B12" s="1"/>
      <c r="C12" s="1"/>
      <c r="D12" s="1"/>
      <c r="E12" s="1"/>
      <c r="F12" s="1"/>
      <c r="G12" s="1"/>
      <c r="H12" s="1"/>
      <c r="I12" s="1"/>
      <c r="J12" s="278"/>
      <c r="K12" s="355"/>
      <c r="L12" s="356"/>
      <c r="M12" s="357"/>
      <c r="N12" s="365"/>
      <c r="O12" s="366"/>
      <c r="P12" s="10"/>
      <c r="Q12" s="10"/>
      <c r="R12" s="10"/>
      <c r="S12" s="10"/>
      <c r="T12" s="10"/>
      <c r="U12" s="10"/>
      <c r="V12" s="281"/>
      <c r="W12" s="281"/>
      <c r="X12" s="281"/>
    </row>
    <row r="13" spans="1:25" x14ac:dyDescent="0.2">
      <c r="A13" s="277"/>
      <c r="B13" s="277"/>
      <c r="C13" s="277"/>
      <c r="D13" s="277"/>
      <c r="E13" s="277"/>
      <c r="F13" s="277"/>
      <c r="G13" s="277"/>
      <c r="H13" s="277"/>
      <c r="I13" s="277"/>
      <c r="J13" s="277"/>
      <c r="K13" s="355"/>
      <c r="L13" s="355"/>
      <c r="M13" s="357"/>
      <c r="N13" s="365"/>
      <c r="O13" s="366"/>
      <c r="P13" s="10"/>
      <c r="Q13" s="10"/>
      <c r="R13" s="10"/>
      <c r="S13" s="10"/>
      <c r="T13" s="10"/>
      <c r="U13" s="10"/>
      <c r="V13" s="281"/>
      <c r="W13" s="281"/>
      <c r="X13" s="281"/>
      <c r="Y13" s="280"/>
    </row>
    <row r="14" spans="1:25" x14ac:dyDescent="0.2">
      <c r="A14" s="277"/>
      <c r="B14" s="277"/>
      <c r="C14" s="277"/>
      <c r="D14" s="277"/>
      <c r="E14" s="277"/>
      <c r="F14" s="277"/>
      <c r="G14" s="277"/>
      <c r="H14" s="277"/>
      <c r="I14" s="277"/>
      <c r="J14" s="277"/>
      <c r="K14" s="355"/>
      <c r="L14" s="355"/>
      <c r="M14" s="357"/>
      <c r="N14" s="365"/>
      <c r="O14" s="366"/>
      <c r="P14" s="10"/>
      <c r="Q14" s="10"/>
      <c r="R14" s="10"/>
      <c r="S14" s="10"/>
      <c r="T14" s="10"/>
      <c r="U14" s="10"/>
      <c r="V14" s="281"/>
      <c r="W14" s="281"/>
      <c r="X14" s="281"/>
    </row>
    <row r="15" spans="1:25" x14ac:dyDescent="0.2">
      <c r="A15" s="277"/>
      <c r="B15" s="277"/>
      <c r="C15" s="277"/>
      <c r="D15" s="277"/>
      <c r="E15" s="277"/>
      <c r="F15" s="277"/>
      <c r="G15" s="277"/>
      <c r="H15" s="277"/>
      <c r="I15" s="277"/>
      <c r="J15" s="277"/>
      <c r="K15" s="355"/>
      <c r="L15" s="355"/>
      <c r="M15" s="357"/>
      <c r="N15" s="365"/>
      <c r="O15" s="366"/>
      <c r="P15" s="10"/>
      <c r="Q15" s="10"/>
      <c r="R15" s="10"/>
      <c r="S15" s="10"/>
      <c r="T15" s="10"/>
      <c r="U15" s="10"/>
      <c r="V15" s="281"/>
      <c r="W15" s="281"/>
      <c r="X15" s="281"/>
    </row>
    <row r="16" spans="1:25" x14ac:dyDescent="0.2">
      <c r="A16" s="277"/>
      <c r="B16" s="277"/>
      <c r="C16" s="277"/>
      <c r="D16" s="277"/>
      <c r="E16" s="277"/>
      <c r="F16" s="277"/>
      <c r="G16" s="277"/>
      <c r="H16" s="277"/>
      <c r="I16" s="277"/>
      <c r="J16" s="278"/>
      <c r="K16" s="355"/>
      <c r="L16" s="355"/>
      <c r="M16" s="357"/>
      <c r="N16" s="365"/>
      <c r="O16" s="366"/>
      <c r="P16" s="10"/>
      <c r="Q16" s="10"/>
      <c r="R16" s="10"/>
      <c r="S16" s="10"/>
      <c r="T16" s="10"/>
      <c r="U16" s="10"/>
      <c r="V16" s="281"/>
      <c r="W16" s="281"/>
      <c r="X16" s="281"/>
    </row>
    <row r="17" spans="1:24" x14ac:dyDescent="0.2">
      <c r="A17" s="277"/>
      <c r="B17" s="277"/>
      <c r="C17" s="277"/>
      <c r="D17" s="277"/>
      <c r="E17" s="277"/>
      <c r="F17" s="277"/>
      <c r="G17" s="277"/>
      <c r="H17" s="277"/>
      <c r="I17" s="277"/>
      <c r="J17" s="278"/>
      <c r="K17" s="358"/>
      <c r="L17" s="356"/>
      <c r="M17" s="358"/>
      <c r="N17" s="356"/>
      <c r="O17" s="366"/>
      <c r="P17" s="10"/>
      <c r="Q17" s="10"/>
      <c r="R17" s="10"/>
      <c r="S17" s="10"/>
      <c r="T17" s="10"/>
      <c r="U17" s="10"/>
      <c r="V17" s="281"/>
      <c r="W17" s="281"/>
      <c r="X17" s="281"/>
    </row>
    <row r="18" spans="1:24" x14ac:dyDescent="0.2">
      <c r="A18" s="277"/>
      <c r="B18" s="277"/>
      <c r="C18" s="277"/>
      <c r="D18" s="277"/>
      <c r="E18" s="277"/>
      <c r="F18" s="277"/>
      <c r="G18" s="277"/>
      <c r="H18" s="277"/>
      <c r="I18" s="277"/>
      <c r="J18" s="278"/>
      <c r="K18" s="358"/>
      <c r="L18" s="356"/>
      <c r="M18" s="358"/>
      <c r="N18" s="356"/>
      <c r="O18" s="366"/>
      <c r="P18" s="10"/>
      <c r="Q18" s="10"/>
      <c r="R18" s="10"/>
      <c r="S18" s="10"/>
      <c r="T18" s="10"/>
      <c r="U18" s="10"/>
      <c r="V18" s="281"/>
      <c r="W18" s="281"/>
      <c r="X18" s="281"/>
    </row>
    <row r="19" spans="1:24" x14ac:dyDescent="0.2">
      <c r="A19" s="277"/>
      <c r="B19" s="277"/>
      <c r="C19" s="277"/>
      <c r="D19" s="277"/>
      <c r="E19" s="277"/>
      <c r="F19" s="277"/>
      <c r="G19" s="277"/>
      <c r="H19" s="277"/>
      <c r="I19" s="277"/>
      <c r="J19" s="278"/>
      <c r="K19" s="358"/>
      <c r="L19" s="356"/>
      <c r="M19" s="358"/>
      <c r="N19" s="356"/>
      <c r="O19" s="366"/>
      <c r="P19" s="10"/>
      <c r="Q19" s="10"/>
      <c r="R19" s="10"/>
      <c r="S19" s="10"/>
      <c r="T19" s="10"/>
      <c r="U19" s="10"/>
      <c r="V19" s="281"/>
      <c r="W19" s="281"/>
      <c r="X19" s="281"/>
    </row>
    <row r="20" spans="1:24" x14ac:dyDescent="0.2">
      <c r="A20" s="277"/>
      <c r="B20" s="277"/>
      <c r="C20" s="277"/>
      <c r="D20" s="277"/>
      <c r="E20" s="277"/>
      <c r="F20" s="277"/>
      <c r="G20" s="277"/>
      <c r="H20" s="277"/>
      <c r="I20" s="277"/>
      <c r="J20" s="278"/>
      <c r="K20" s="358"/>
      <c r="L20" s="356"/>
      <c r="M20" s="358"/>
      <c r="N20" s="356"/>
      <c r="O20" s="366"/>
      <c r="P20" s="10"/>
      <c r="Q20" s="10"/>
      <c r="R20" s="10"/>
      <c r="S20" s="10"/>
      <c r="T20" s="10"/>
      <c r="U20" s="10"/>
      <c r="V20" s="281"/>
      <c r="W20" s="281"/>
      <c r="X20" s="281"/>
    </row>
    <row r="21" spans="1:24" x14ac:dyDescent="0.2">
      <c r="A21" s="358"/>
      <c r="B21" s="356"/>
      <c r="C21" s="358"/>
      <c r="D21" s="356"/>
      <c r="E21" s="393"/>
      <c r="F21" s="364"/>
      <c r="G21" s="364"/>
      <c r="H21" s="367"/>
      <c r="I21" s="358"/>
      <c r="J21" s="356"/>
      <c r="K21" s="358"/>
      <c r="L21" s="356"/>
      <c r="M21" s="358"/>
      <c r="N21" s="356"/>
      <c r="O21" s="366"/>
      <c r="P21" s="10"/>
      <c r="Q21" s="10"/>
      <c r="R21" s="10"/>
      <c r="S21" s="10"/>
      <c r="T21" s="10"/>
      <c r="U21" s="10"/>
      <c r="V21" s="281"/>
      <c r="W21" s="281"/>
      <c r="X21" s="281"/>
    </row>
    <row r="22" spans="1:24" x14ac:dyDescent="0.2">
      <c r="A22" s="358"/>
      <c r="B22" s="356"/>
      <c r="C22" s="358"/>
      <c r="D22" s="356"/>
      <c r="E22" s="393"/>
      <c r="F22" s="364"/>
      <c r="G22" s="364"/>
      <c r="H22" s="367"/>
      <c r="I22" s="358"/>
      <c r="J22" s="356"/>
      <c r="K22" s="358"/>
      <c r="L22" s="356"/>
      <c r="M22" s="358"/>
      <c r="N22" s="356"/>
      <c r="O22" s="366"/>
      <c r="P22" s="10"/>
      <c r="Q22" s="10"/>
      <c r="R22" s="10"/>
      <c r="S22" s="10"/>
      <c r="T22" s="10"/>
      <c r="U22" s="10"/>
      <c r="V22" s="281"/>
      <c r="W22" s="281"/>
      <c r="X22" s="281"/>
    </row>
    <row r="23" spans="1:24" x14ac:dyDescent="0.2">
      <c r="A23" s="358"/>
      <c r="B23" s="356"/>
      <c r="C23" s="358"/>
      <c r="D23" s="356"/>
      <c r="E23" s="393"/>
      <c r="F23" s="364"/>
      <c r="G23" s="364"/>
      <c r="H23" s="367"/>
      <c r="I23" s="358"/>
      <c r="J23" s="356"/>
      <c r="K23" s="358"/>
      <c r="L23" s="356"/>
      <c r="M23" s="358"/>
      <c r="N23" s="356"/>
      <c r="O23" s="366"/>
      <c r="P23" s="10"/>
      <c r="Q23" s="10"/>
      <c r="R23" s="10"/>
      <c r="S23" s="10"/>
      <c r="T23" s="10"/>
      <c r="U23" s="10"/>
      <c r="V23" s="281"/>
      <c r="W23" s="281"/>
      <c r="X23" s="281"/>
    </row>
    <row r="24" spans="1:24" x14ac:dyDescent="0.2">
      <c r="A24" s="358"/>
      <c r="B24" s="356"/>
      <c r="C24" s="358"/>
      <c r="D24" s="356"/>
      <c r="E24" s="393"/>
      <c r="F24" s="364"/>
      <c r="G24" s="364"/>
      <c r="H24" s="367"/>
      <c r="I24" s="358"/>
      <c r="J24" s="356"/>
      <c r="K24" s="358"/>
      <c r="L24" s="356"/>
      <c r="M24" s="358"/>
      <c r="N24" s="356"/>
      <c r="O24" s="366"/>
      <c r="P24" s="10"/>
      <c r="Q24" s="10"/>
      <c r="R24" s="10"/>
      <c r="S24" s="10"/>
      <c r="T24" s="10"/>
      <c r="U24" s="10"/>
      <c r="V24" s="281"/>
      <c r="W24" s="281"/>
      <c r="X24" s="281"/>
    </row>
    <row r="25" spans="1:24" x14ac:dyDescent="0.2">
      <c r="A25" s="390"/>
      <c r="B25" s="391"/>
      <c r="C25" s="392"/>
      <c r="D25" s="392"/>
      <c r="E25" s="393"/>
      <c r="F25" s="364"/>
      <c r="G25" s="359"/>
      <c r="H25" s="359"/>
      <c r="I25" s="360"/>
      <c r="J25" s="360"/>
      <c r="K25" s="361"/>
      <c r="L25" s="361"/>
      <c r="M25" s="362"/>
      <c r="N25" s="363"/>
      <c r="O25" s="366"/>
      <c r="P25" s="10"/>
      <c r="Q25" s="10"/>
      <c r="R25" s="10"/>
      <c r="S25" s="10"/>
      <c r="T25" s="10"/>
      <c r="U25" s="10"/>
      <c r="V25" s="281"/>
      <c r="W25" s="281"/>
      <c r="X25" s="281"/>
    </row>
    <row r="26" spans="1:24" x14ac:dyDescent="0.2">
      <c r="A26" s="358"/>
      <c r="B26" s="358"/>
      <c r="C26" s="358"/>
      <c r="D26" s="358"/>
      <c r="E26" s="393"/>
      <c r="F26" s="364"/>
      <c r="G26" s="358"/>
      <c r="H26" s="358"/>
      <c r="I26" s="358"/>
      <c r="J26" s="358"/>
      <c r="K26" s="358"/>
      <c r="L26" s="358"/>
      <c r="M26" s="358"/>
      <c r="N26" s="358"/>
      <c r="O26" s="366"/>
      <c r="P26" s="10"/>
      <c r="Q26" s="10"/>
      <c r="R26" s="10"/>
      <c r="S26" s="10"/>
      <c r="T26" s="10"/>
      <c r="U26" s="10"/>
      <c r="V26" s="281"/>
      <c r="W26" s="281"/>
      <c r="X26" s="281"/>
    </row>
    <row r="27" spans="1:24" x14ac:dyDescent="0.2">
      <c r="A27" s="358"/>
      <c r="B27" s="358"/>
      <c r="C27" s="358"/>
      <c r="D27" s="358"/>
      <c r="E27" s="393"/>
      <c r="F27" s="364"/>
      <c r="G27" s="358"/>
      <c r="H27" s="358"/>
      <c r="I27" s="358"/>
      <c r="J27" s="358"/>
      <c r="K27" s="358"/>
      <c r="L27" s="358"/>
      <c r="M27" s="358"/>
      <c r="N27" s="358"/>
      <c r="O27" s="366"/>
      <c r="P27" s="10"/>
      <c r="Q27" s="10"/>
      <c r="R27" s="10"/>
      <c r="S27" s="10"/>
      <c r="T27" s="10"/>
      <c r="U27" s="10"/>
      <c r="V27" s="281"/>
      <c r="W27" s="281"/>
      <c r="X27" s="281"/>
    </row>
    <row r="28" spans="1:24" x14ac:dyDescent="0.2">
      <c r="A28" s="358"/>
      <c r="B28" s="358"/>
      <c r="C28" s="358"/>
      <c r="D28" s="358"/>
      <c r="E28" s="393"/>
      <c r="F28" s="364"/>
      <c r="G28" s="358"/>
      <c r="H28" s="358"/>
      <c r="I28" s="358"/>
      <c r="J28" s="358"/>
      <c r="K28" s="358"/>
      <c r="L28" s="358"/>
      <c r="M28" s="358"/>
      <c r="N28" s="358"/>
      <c r="O28" s="366"/>
      <c r="P28" s="10"/>
      <c r="Q28" s="10"/>
      <c r="R28" s="10"/>
      <c r="S28" s="10"/>
      <c r="T28" s="10"/>
      <c r="U28" s="10"/>
      <c r="V28" s="281"/>
      <c r="W28" s="281"/>
      <c r="X28" s="281"/>
    </row>
    <row r="29" spans="1:24" x14ac:dyDescent="0.2">
      <c r="A29" s="358"/>
      <c r="B29" s="358"/>
      <c r="C29" s="394"/>
      <c r="D29" s="358"/>
      <c r="E29" s="395"/>
      <c r="F29" s="364"/>
      <c r="G29" s="358"/>
      <c r="H29" s="358"/>
      <c r="I29" s="358"/>
      <c r="J29" s="358"/>
      <c r="K29" s="358"/>
      <c r="L29" s="358"/>
      <c r="M29" s="358"/>
      <c r="N29" s="358"/>
      <c r="O29" s="366"/>
      <c r="P29" s="10"/>
      <c r="Q29" s="10"/>
      <c r="R29" s="10"/>
      <c r="S29" s="10"/>
      <c r="T29" s="10"/>
      <c r="U29" s="10"/>
      <c r="V29" s="281"/>
      <c r="W29" s="281"/>
      <c r="X29" s="281"/>
    </row>
    <row r="30" spans="1:24" x14ac:dyDescent="0.2">
      <c r="A30" s="10"/>
      <c r="B30" s="276"/>
      <c r="C30" s="10"/>
      <c r="D30" s="10"/>
      <c r="E30" s="10"/>
      <c r="F30" s="10"/>
      <c r="G30" s="10"/>
      <c r="H30" s="10"/>
      <c r="I30" s="10"/>
      <c r="J30" s="10"/>
      <c r="K30" s="10"/>
      <c r="L30" s="10"/>
      <c r="M30" s="10"/>
      <c r="N30" s="10"/>
      <c r="O30" s="10"/>
      <c r="P30" s="10"/>
      <c r="Q30" s="10"/>
      <c r="R30" s="10"/>
      <c r="S30" s="10"/>
      <c r="T30" s="10"/>
      <c r="U30" s="10"/>
      <c r="V30" s="281"/>
      <c r="W30" s="281"/>
      <c r="X30" s="281"/>
    </row>
    <row r="31" spans="1:24" x14ac:dyDescent="0.2">
      <c r="A31" s="10"/>
      <c r="B31" s="276"/>
      <c r="C31" s="10"/>
      <c r="D31" s="10"/>
      <c r="E31" s="10"/>
      <c r="F31" s="10"/>
      <c r="G31" s="10"/>
      <c r="H31" s="10"/>
      <c r="I31" s="10"/>
      <c r="J31" s="10"/>
      <c r="K31" s="10"/>
      <c r="L31" s="10"/>
      <c r="M31" s="10"/>
      <c r="N31" s="10"/>
      <c r="O31" s="10"/>
      <c r="P31" s="10"/>
      <c r="Q31" s="10"/>
      <c r="R31" s="10"/>
      <c r="S31" s="10"/>
      <c r="T31" s="10"/>
      <c r="U31" s="10"/>
      <c r="V31" s="281"/>
      <c r="W31" s="281"/>
      <c r="X31" s="281"/>
    </row>
    <row r="32" spans="1:24" x14ac:dyDescent="0.2">
      <c r="A32" s="10"/>
      <c r="B32" s="276"/>
      <c r="C32" s="10"/>
      <c r="D32" s="10"/>
      <c r="E32" s="10"/>
      <c r="F32" s="10"/>
      <c r="G32" s="10"/>
      <c r="H32" s="10"/>
      <c r="I32" s="10"/>
      <c r="J32" s="10"/>
      <c r="K32" s="10"/>
      <c r="L32" s="10"/>
      <c r="M32" s="10"/>
      <c r="N32" s="10"/>
      <c r="O32" s="10"/>
      <c r="P32" s="10"/>
      <c r="Q32" s="10"/>
      <c r="R32" s="10"/>
      <c r="S32" s="10"/>
      <c r="T32" s="10"/>
      <c r="U32" s="10"/>
      <c r="V32" s="281"/>
      <c r="W32" s="281"/>
      <c r="X32" s="281"/>
    </row>
    <row r="33" spans="1:24" x14ac:dyDescent="0.2">
      <c r="A33" s="10"/>
      <c r="B33" s="276"/>
      <c r="C33" s="10"/>
      <c r="D33" s="10"/>
      <c r="E33" s="10"/>
      <c r="F33" s="10"/>
      <c r="G33" s="10"/>
      <c r="H33" s="10"/>
      <c r="I33" s="10"/>
      <c r="J33" s="10"/>
      <c r="K33" s="10"/>
      <c r="L33" s="10"/>
      <c r="M33" s="10"/>
      <c r="N33" s="10"/>
      <c r="O33" s="10"/>
      <c r="P33" s="10"/>
      <c r="Q33" s="10"/>
      <c r="R33" s="10"/>
      <c r="S33" s="10"/>
      <c r="T33" s="10"/>
      <c r="U33" s="10"/>
      <c r="V33" s="281"/>
      <c r="W33" s="281"/>
      <c r="X33" s="281"/>
    </row>
    <row r="34" spans="1:24" x14ac:dyDescent="0.2">
      <c r="A34" s="10"/>
      <c r="B34" s="276"/>
      <c r="C34" s="10"/>
      <c r="D34" s="10"/>
      <c r="E34" s="10"/>
      <c r="F34" s="10"/>
      <c r="G34" s="10"/>
      <c r="H34" s="10"/>
      <c r="I34" s="10"/>
      <c r="J34" s="279"/>
      <c r="K34" s="279"/>
      <c r="L34" s="279"/>
      <c r="M34" s="10"/>
      <c r="N34" s="10"/>
      <c r="O34" s="10"/>
      <c r="P34" s="10"/>
      <c r="Q34" s="10"/>
      <c r="R34" s="10"/>
      <c r="S34" s="10"/>
      <c r="T34" s="10"/>
      <c r="U34" s="10"/>
      <c r="V34" s="281"/>
      <c r="W34" s="281"/>
      <c r="X34" s="281"/>
    </row>
    <row r="35" spans="1:24" x14ac:dyDescent="0.2">
      <c r="A35" s="10"/>
      <c r="B35" s="276"/>
      <c r="C35" s="10"/>
      <c r="D35" s="10"/>
      <c r="E35" s="10"/>
      <c r="F35" s="10"/>
      <c r="G35" s="10"/>
      <c r="H35" s="10"/>
      <c r="I35" s="10"/>
      <c r="J35" s="10"/>
      <c r="K35" s="10"/>
      <c r="L35" s="10"/>
      <c r="M35" s="10"/>
      <c r="N35" s="10"/>
      <c r="O35" s="10"/>
      <c r="P35" s="10"/>
      <c r="Q35" s="10"/>
      <c r="R35" s="10"/>
      <c r="S35" s="10"/>
      <c r="T35" s="10"/>
      <c r="U35" s="10"/>
      <c r="V35" s="281"/>
      <c r="W35" s="281"/>
      <c r="X35" s="281"/>
    </row>
    <row r="36" spans="1:24" x14ac:dyDescent="0.2">
      <c r="A36" s="10"/>
      <c r="B36" s="276"/>
      <c r="C36" s="10"/>
      <c r="D36" s="10"/>
      <c r="E36" s="10"/>
      <c r="F36" s="10"/>
      <c r="G36" s="10"/>
      <c r="H36" s="10"/>
      <c r="I36" s="10"/>
      <c r="J36" s="10"/>
      <c r="K36" s="10"/>
      <c r="L36" s="10"/>
      <c r="M36" s="10"/>
      <c r="N36" s="10"/>
      <c r="O36" s="10"/>
      <c r="P36" s="10"/>
      <c r="Q36" s="10"/>
      <c r="R36" s="10"/>
      <c r="S36" s="10"/>
      <c r="T36" s="10"/>
      <c r="U36" s="10"/>
      <c r="V36" s="281"/>
      <c r="W36" s="281"/>
      <c r="X36" s="281"/>
    </row>
    <row r="37" spans="1:24" x14ac:dyDescent="0.2">
      <c r="A37" s="10"/>
      <c r="B37" s="276"/>
      <c r="C37" s="10"/>
      <c r="D37" s="10"/>
      <c r="E37" s="10"/>
      <c r="F37" s="10"/>
      <c r="G37" s="10"/>
      <c r="H37" s="10"/>
      <c r="I37" s="10"/>
      <c r="J37" s="10"/>
      <c r="K37" s="10"/>
      <c r="L37" s="10"/>
      <c r="M37" s="10"/>
      <c r="N37" s="10"/>
      <c r="O37" s="10"/>
      <c r="P37" s="10"/>
      <c r="Q37" s="10"/>
      <c r="R37" s="10"/>
      <c r="S37" s="10"/>
      <c r="T37" s="10"/>
      <c r="U37" s="10"/>
      <c r="V37" s="281"/>
      <c r="W37" s="281"/>
      <c r="X37" s="281"/>
    </row>
    <row r="38" spans="1:24" x14ac:dyDescent="0.2">
      <c r="A38" s="10"/>
      <c r="B38" s="276"/>
      <c r="C38" s="10"/>
      <c r="D38" s="10"/>
      <c r="E38" s="10"/>
      <c r="F38" s="10"/>
      <c r="G38" s="10"/>
      <c r="H38" s="10"/>
      <c r="I38" s="10"/>
      <c r="J38" s="10"/>
      <c r="K38" s="10"/>
      <c r="L38" s="10"/>
      <c r="M38" s="10"/>
      <c r="N38" s="10"/>
      <c r="O38" s="10"/>
      <c r="P38" s="10"/>
      <c r="Q38" s="10"/>
      <c r="R38" s="10"/>
      <c r="S38" s="10"/>
      <c r="T38" s="10"/>
      <c r="U38" s="10"/>
      <c r="V38" s="281"/>
      <c r="W38" s="281"/>
      <c r="X38" s="281"/>
    </row>
    <row r="39" spans="1:24" x14ac:dyDescent="0.2">
      <c r="A39" s="10"/>
      <c r="B39" s="276"/>
      <c r="C39" s="10"/>
      <c r="D39" s="10"/>
      <c r="E39" s="10"/>
      <c r="F39" s="10"/>
      <c r="G39" s="10"/>
      <c r="H39" s="10"/>
      <c r="I39" s="10"/>
      <c r="J39" s="10"/>
      <c r="K39" s="10"/>
      <c r="L39" s="10"/>
      <c r="M39" s="10"/>
      <c r="N39" s="10"/>
      <c r="O39" s="10"/>
      <c r="P39" s="10"/>
      <c r="Q39" s="10"/>
      <c r="R39" s="10"/>
      <c r="S39" s="10"/>
      <c r="T39" s="10"/>
      <c r="U39" s="10"/>
      <c r="V39" s="281"/>
      <c r="W39" s="281"/>
      <c r="X39" s="281"/>
    </row>
    <row r="40" spans="1:24" x14ac:dyDescent="0.2">
      <c r="A40" s="10"/>
      <c r="B40" s="276"/>
      <c r="C40" s="10"/>
      <c r="D40" s="10"/>
      <c r="E40" s="10"/>
      <c r="F40" s="10"/>
      <c r="G40" s="10"/>
      <c r="H40" s="10"/>
      <c r="I40" s="10"/>
      <c r="J40" s="10"/>
      <c r="K40" s="10"/>
      <c r="L40" s="10"/>
      <c r="M40" s="10"/>
      <c r="N40" s="10"/>
      <c r="O40" s="10"/>
      <c r="P40" s="10"/>
      <c r="Q40" s="10"/>
      <c r="R40" s="10"/>
      <c r="S40" s="10"/>
      <c r="T40" s="10"/>
      <c r="U40" s="10"/>
      <c r="V40" s="281"/>
      <c r="W40" s="281"/>
      <c r="X40" s="281"/>
    </row>
    <row r="41" spans="1:24" x14ac:dyDescent="0.2">
      <c r="A41" s="10"/>
      <c r="B41" s="276"/>
      <c r="C41" s="10"/>
      <c r="D41" s="10"/>
      <c r="E41" s="10"/>
      <c r="F41" s="10"/>
      <c r="G41" s="10"/>
      <c r="H41" s="10"/>
      <c r="I41" s="10"/>
      <c r="J41" s="10"/>
      <c r="K41" s="10"/>
      <c r="L41" s="10"/>
      <c r="M41" s="10"/>
      <c r="N41" s="10"/>
      <c r="O41" s="10"/>
      <c r="P41" s="10"/>
      <c r="Q41" s="10"/>
      <c r="R41" s="10"/>
      <c r="S41" s="10"/>
      <c r="T41" s="10"/>
      <c r="U41" s="10"/>
      <c r="V41" s="10"/>
      <c r="W41" s="10"/>
      <c r="X41" s="10"/>
    </row>
    <row r="42" spans="1:24" x14ac:dyDescent="0.2">
      <c r="A42" s="10"/>
      <c r="B42" s="276"/>
      <c r="C42" s="10"/>
      <c r="D42" s="10"/>
      <c r="E42" s="10"/>
      <c r="F42" s="10"/>
      <c r="G42" s="10"/>
      <c r="H42" s="10"/>
      <c r="I42" s="10"/>
      <c r="J42" s="10"/>
      <c r="K42" s="10"/>
      <c r="L42" s="10"/>
      <c r="M42" s="10"/>
      <c r="N42" s="10"/>
      <c r="O42" s="10"/>
      <c r="P42" s="10"/>
      <c r="Q42" s="10"/>
      <c r="R42" s="10"/>
      <c r="S42" s="10"/>
      <c r="T42" s="10"/>
      <c r="U42" s="10"/>
      <c r="V42" s="281"/>
      <c r="W42" s="281"/>
      <c r="X42" s="281"/>
    </row>
    <row r="43" spans="1:24" x14ac:dyDescent="0.2">
      <c r="A43" s="10"/>
      <c r="B43" s="276"/>
      <c r="C43" s="10"/>
      <c r="D43" s="10"/>
      <c r="E43" s="10"/>
      <c r="F43" s="10"/>
      <c r="G43" s="10"/>
      <c r="H43" s="10"/>
      <c r="I43" s="10"/>
      <c r="J43" s="10"/>
      <c r="K43" s="10"/>
      <c r="L43" s="10"/>
      <c r="M43" s="10"/>
      <c r="N43" s="10"/>
      <c r="O43" s="10"/>
      <c r="P43" s="10"/>
      <c r="Q43" s="10"/>
      <c r="R43" s="10"/>
      <c r="S43" s="10"/>
      <c r="T43" s="10"/>
      <c r="U43" s="10"/>
      <c r="V43" s="281"/>
      <c r="W43" s="281"/>
      <c r="X43" s="281"/>
    </row>
    <row r="44" spans="1:24" x14ac:dyDescent="0.2">
      <c r="A44" s="10"/>
      <c r="B44" s="276"/>
      <c r="C44" s="10"/>
      <c r="D44" s="10"/>
      <c r="E44" s="10"/>
      <c r="F44" s="10"/>
      <c r="G44" s="10"/>
      <c r="H44" s="10"/>
      <c r="I44" s="10"/>
      <c r="J44" s="10"/>
      <c r="K44" s="10"/>
      <c r="L44" s="10"/>
      <c r="M44" s="10"/>
      <c r="N44" s="10"/>
      <c r="O44" s="10"/>
      <c r="P44" s="10"/>
      <c r="Q44" s="10"/>
      <c r="R44" s="10"/>
      <c r="S44" s="10"/>
      <c r="T44" s="10"/>
      <c r="U44" s="10"/>
      <c r="V44" s="281"/>
      <c r="W44" s="281"/>
      <c r="X44" s="281"/>
    </row>
    <row r="45" spans="1:24" x14ac:dyDescent="0.2">
      <c r="A45" s="10"/>
      <c r="B45" s="276"/>
      <c r="C45" s="10"/>
      <c r="D45" s="10"/>
      <c r="E45" s="10"/>
      <c r="F45" s="10"/>
      <c r="G45" s="10"/>
      <c r="H45" s="10"/>
      <c r="I45" s="10"/>
      <c r="J45" s="10"/>
      <c r="K45" s="10"/>
      <c r="L45" s="10"/>
      <c r="M45" s="10"/>
      <c r="N45" s="10"/>
      <c r="O45" s="10"/>
      <c r="P45" s="10"/>
      <c r="Q45" s="10"/>
      <c r="R45" s="10"/>
      <c r="S45" s="10"/>
      <c r="T45" s="10"/>
      <c r="U45" s="10"/>
      <c r="V45" s="10"/>
      <c r="W45" s="10"/>
      <c r="X45" s="10"/>
    </row>
    <row r="46" spans="1:24" x14ac:dyDescent="0.2">
      <c r="A46" s="10"/>
      <c r="B46" s="276"/>
      <c r="C46" s="10"/>
      <c r="D46" s="10"/>
      <c r="E46" s="10"/>
      <c r="F46" s="10"/>
      <c r="G46" s="10"/>
      <c r="H46" s="10"/>
      <c r="I46" s="10"/>
      <c r="J46" s="10"/>
      <c r="K46" s="10"/>
      <c r="L46" s="10"/>
      <c r="M46" s="10"/>
      <c r="N46" s="10"/>
      <c r="O46" s="10"/>
      <c r="P46" s="10"/>
      <c r="Q46" s="10"/>
      <c r="R46" s="10"/>
      <c r="S46" s="10"/>
      <c r="T46" s="10"/>
      <c r="U46" s="10"/>
      <c r="V46" s="281"/>
      <c r="W46" s="281"/>
      <c r="X46" s="281"/>
    </row>
    <row r="47" spans="1:24" x14ac:dyDescent="0.2">
      <c r="A47" s="10"/>
      <c r="B47" s="276"/>
      <c r="C47" s="10"/>
      <c r="D47" s="10"/>
      <c r="E47" s="10"/>
      <c r="F47" s="10"/>
      <c r="G47" s="10"/>
      <c r="H47" s="10"/>
      <c r="I47" s="10"/>
      <c r="J47" s="10"/>
      <c r="K47" s="10"/>
      <c r="L47" s="10"/>
      <c r="M47" s="10"/>
      <c r="N47" s="10"/>
      <c r="O47" s="10"/>
      <c r="P47" s="10"/>
      <c r="Q47" s="10"/>
      <c r="R47" s="10"/>
      <c r="S47" s="10"/>
      <c r="T47" s="10"/>
      <c r="U47" s="10"/>
      <c r="V47" s="281"/>
      <c r="W47" s="281"/>
      <c r="X47" s="281"/>
    </row>
    <row r="48" spans="1:24" x14ac:dyDescent="0.2">
      <c r="A48" s="10"/>
      <c r="B48" s="276"/>
      <c r="C48" s="10"/>
      <c r="D48" s="10"/>
      <c r="E48" s="10"/>
      <c r="F48" s="10"/>
      <c r="G48" s="10"/>
      <c r="H48" s="10"/>
      <c r="I48" s="10"/>
      <c r="J48" s="10"/>
      <c r="K48" s="10"/>
      <c r="L48" s="10"/>
      <c r="M48" s="10"/>
      <c r="N48" s="10"/>
      <c r="O48" s="10"/>
      <c r="P48" s="10"/>
      <c r="Q48" s="10"/>
      <c r="R48" s="10"/>
      <c r="S48" s="10"/>
      <c r="T48" s="10"/>
      <c r="U48" s="10"/>
      <c r="V48" s="281"/>
      <c r="W48" s="281"/>
      <c r="X48" s="281"/>
    </row>
    <row r="49" spans="1:24" x14ac:dyDescent="0.2">
      <c r="A49" s="10"/>
      <c r="B49" s="276"/>
      <c r="C49" s="10"/>
      <c r="D49" s="10"/>
      <c r="E49" s="10"/>
      <c r="F49" s="10"/>
      <c r="G49" s="10"/>
      <c r="H49" s="10"/>
      <c r="I49" s="10"/>
      <c r="J49" s="10"/>
      <c r="K49" s="10"/>
      <c r="L49" s="10"/>
      <c r="M49" s="10"/>
      <c r="N49" s="10"/>
      <c r="O49" s="10"/>
      <c r="P49" s="10"/>
      <c r="Q49" s="10"/>
      <c r="R49" s="10"/>
      <c r="S49" s="10"/>
      <c r="T49" s="10"/>
      <c r="U49" s="10"/>
      <c r="V49" s="281"/>
      <c r="W49" s="281"/>
      <c r="X49" s="281"/>
    </row>
    <row r="50" spans="1:24" x14ac:dyDescent="0.2">
      <c r="A50" s="10"/>
      <c r="B50" s="276"/>
      <c r="C50" s="10"/>
      <c r="D50" s="10"/>
      <c r="E50" s="10"/>
      <c r="F50" s="10"/>
      <c r="G50" s="10"/>
      <c r="H50" s="10"/>
      <c r="I50" s="10"/>
      <c r="J50" s="10"/>
      <c r="K50" s="10"/>
      <c r="L50" s="10"/>
      <c r="M50" s="10"/>
      <c r="N50" s="10"/>
      <c r="O50" s="10"/>
      <c r="P50" s="10"/>
      <c r="Q50" s="10"/>
      <c r="R50" s="10"/>
      <c r="S50" s="10"/>
      <c r="T50" s="10"/>
      <c r="U50" s="10"/>
      <c r="V50" s="281"/>
      <c r="W50" s="281"/>
      <c r="X50" s="281"/>
    </row>
    <row r="51" spans="1:24" x14ac:dyDescent="0.2">
      <c r="A51" s="10"/>
      <c r="B51" s="276"/>
      <c r="C51" s="10"/>
      <c r="D51" s="10"/>
      <c r="E51" s="10"/>
      <c r="F51" s="10"/>
      <c r="G51" s="10"/>
      <c r="H51" s="10"/>
      <c r="I51" s="10"/>
      <c r="J51" s="10"/>
      <c r="K51" s="10"/>
      <c r="L51" s="10"/>
      <c r="M51" s="10"/>
      <c r="N51" s="10"/>
      <c r="O51" s="10"/>
      <c r="P51" s="10"/>
      <c r="Q51" s="10"/>
      <c r="R51" s="10"/>
      <c r="S51" s="10"/>
      <c r="T51" s="10"/>
      <c r="U51" s="10"/>
      <c r="V51" s="281"/>
      <c r="W51" s="281"/>
      <c r="X51" s="281"/>
    </row>
    <row r="52" spans="1:24" x14ac:dyDescent="0.2">
      <c r="A52" s="10"/>
      <c r="B52" s="276"/>
      <c r="C52" s="10"/>
      <c r="D52" s="10"/>
      <c r="E52" s="10"/>
      <c r="F52" s="10"/>
      <c r="G52" s="10"/>
      <c r="H52" s="10"/>
      <c r="I52" s="10"/>
      <c r="J52" s="10"/>
      <c r="K52" s="10"/>
      <c r="L52" s="10"/>
      <c r="M52" s="10"/>
      <c r="N52" s="10"/>
      <c r="O52" s="10"/>
      <c r="P52" s="10"/>
      <c r="Q52" s="10"/>
      <c r="R52" s="10"/>
      <c r="S52" s="10"/>
      <c r="T52" s="10"/>
      <c r="U52" s="10"/>
      <c r="V52" s="281"/>
      <c r="W52" s="281"/>
      <c r="X52" s="281"/>
    </row>
    <row r="53" spans="1:24" x14ac:dyDescent="0.2">
      <c r="C53" s="264"/>
    </row>
    <row r="54" spans="1:24" x14ac:dyDescent="0.2">
      <c r="C54" s="264"/>
    </row>
    <row r="55" spans="1:24" x14ac:dyDescent="0.2">
      <c r="C55" s="264"/>
    </row>
    <row r="56" spans="1:24" x14ac:dyDescent="0.2">
      <c r="C56" s="264"/>
    </row>
  </sheetData>
  <hyperlinks>
    <hyperlink ref="B6" r:id="rId1" display="leonie.odowd@marine.ie     "/>
    <hyperlink ref="B8" r:id="rId2" display="leonie.odowd@marine.ie "/>
    <hyperlink ref="B11" r:id="rId3" display="leonie.odowd@marine.ie "/>
    <hyperlink ref="B7" r:id="rId4" display="leonie.odowd@marine.ie     "/>
  </hyperlinks>
  <pageMargins left="0.7" right="0.7" top="0.75" bottom="0.75" header="0.3" footer="0.3"/>
  <pageSetup paperSize="9" scale="59" fitToHeight="0" orientation="landscape" r:id="rId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L25" sqref="L25"/>
    </sheetView>
  </sheetViews>
  <sheetFormatPr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2</vt:i4>
      </vt:variant>
    </vt:vector>
  </HeadingPairs>
  <TitlesOfParts>
    <vt:vector size="25" baseType="lpstr">
      <vt:lpstr>Table1A List of required stocks</vt:lpstr>
      <vt:lpstr>Table1B Planning of sampling </vt:lpstr>
      <vt:lpstr>Table1C Sampling intensity </vt:lpstr>
      <vt:lpstr>Table1D Recreational Fisheries</vt:lpstr>
      <vt:lpstr>Table1E Anadromous catadromous</vt:lpstr>
      <vt:lpstr>Table1F Incidental by catch</vt:lpstr>
      <vt:lpstr>Table1G List of research survey</vt:lpstr>
      <vt:lpstr>Table1H Research survey data</vt:lpstr>
      <vt:lpstr>Table2A Fishing activity variab</vt:lpstr>
      <vt:lpstr>Table3A  Pop segment fisheries</vt:lpstr>
      <vt:lpstr>Table3B Pop segments aquacultur</vt:lpstr>
      <vt:lpstr>Table3C Pop segments processin</vt:lpstr>
      <vt:lpstr>Table4A Sampling plan descripti</vt:lpstr>
      <vt:lpstr>Table4B Sampling frame descrip</vt:lpstr>
      <vt:lpstr>Table4C Data on the fisheries</vt:lpstr>
      <vt:lpstr>Table4D Landing locations</vt:lpstr>
      <vt:lpstr>Table5A Quality assurance frame</vt:lpstr>
      <vt:lpstr>Table5B Quality assurance frame</vt:lpstr>
      <vt:lpstr>Table6A_Data_availability</vt:lpstr>
      <vt:lpstr>Table7A_Planned Regional_coord</vt:lpstr>
      <vt:lpstr>Table7B_Follow up of Recommenda</vt:lpstr>
      <vt:lpstr>Table7C_Bi- and multilateral </vt:lpstr>
      <vt:lpstr>Sheet1</vt:lpstr>
      <vt:lpstr>'Table1G List of research survey'!Print_Area</vt:lpstr>
      <vt:lpstr>'Table1H Research survey data'!Print_Area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KOSTOPOULOU Venetia (MARE)</dc:creator>
  <cp:lastModifiedBy>Guillermo Martin</cp:lastModifiedBy>
  <cp:lastPrinted>2018-03-05T08:55:41Z</cp:lastPrinted>
  <dcterms:created xsi:type="dcterms:W3CDTF">2014-09-03T13:43:33Z</dcterms:created>
  <dcterms:modified xsi:type="dcterms:W3CDTF">2021-05-14T08:28:37Z</dcterms:modified>
</cp:coreProperties>
</file>